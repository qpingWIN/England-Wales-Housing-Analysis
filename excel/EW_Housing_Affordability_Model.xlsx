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hidePivotFieldList="1" defaultThemeVersion="202300"/>
  <mc:AlternateContent xmlns:mc="http://schemas.openxmlformats.org/markup-compatibility/2006">
    <mc:Choice Requires="x15">
      <x15ac:absPath xmlns:x15ac="http://schemas.microsoft.com/office/spreadsheetml/2010/11/ac" url="/Users/qpingwin/Documents/Claude_ALL/EW_housing_analysis/excel/"/>
    </mc:Choice>
  </mc:AlternateContent>
  <xr:revisionPtr revIDLastSave="0" documentId="13_ncr:1_{249DF60C-1A7A-B44A-8B90-F07F93A39DFA}" xr6:coauthVersionLast="47" xr6:coauthVersionMax="47" xr10:uidLastSave="{00000000-0000-0000-0000-000000000000}"/>
  <bookViews>
    <workbookView xWindow="0" yWindow="740" windowWidth="34560" windowHeight="21600" xr2:uid="{9C9981A7-E303-394E-8341-B00692860C8A}"/>
  </bookViews>
  <sheets>
    <sheet name="Affordability" sheetId="8" r:id="rId1"/>
    <sheet name="Lists" sheetId="9" state="hidden" r:id="rId2"/>
    <sheet name="Pivot" sheetId="7" r:id="rId3"/>
    <sheet name="PivotSource" sheetId="6" r:id="rId4"/>
    <sheet name="Merged" sheetId="5" r:id="rId5"/>
    <sheet name="DistrictExport" sheetId="4" r:id="rId6"/>
    <sheet name="EarningsExport" sheetId="3" r:id="rId7"/>
    <sheet name="PriceExport" sheetId="2" r:id="rId8"/>
  </sheets>
  <definedNames>
    <definedName name="DistrictList">_xlfn.ANCHORARRAY(Lists!$A$2)</definedName>
    <definedName name="ExternalData_1" localSheetId="7" hidden="1">PriceExport!$A$1:$J$1706</definedName>
    <definedName name="ExternalData_2" localSheetId="6" hidden="1">EarningsExport!$A$1:$D$319</definedName>
    <definedName name="ExternalData_3" localSheetId="5" hidden="1">DistrictExport!$A$1:$L$318</definedName>
    <definedName name="ExternalData_4" localSheetId="4" hidden="1">Merged!$A$1:$K$318</definedName>
    <definedName name="ExternalData_5" localSheetId="3" hidden="1">PivotSource!$A$1:$H$1241</definedName>
    <definedName name="Slicer_type_name">#N/A</definedName>
  </definedNames>
  <calcPr calcId="181029"/>
  <pivotCaches>
    <pivotCache cacheId="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0" i="8" l="1"/>
  <c r="A44" i="8" s="1"/>
  <c r="B24" i="8"/>
  <c r="B22" i="8"/>
  <c r="B20" i="8"/>
  <c r="B42" i="8"/>
  <c r="B41" i="8"/>
  <c r="A2" i="9" a="1"/>
  <c r="B8" i="8"/>
  <c r="B7" i="8"/>
  <c r="B4" i="8"/>
  <c r="B9" i="8" l="1"/>
  <c r="B18" i="8"/>
  <c r="B19" i="8" s="1"/>
  <c r="B21" i="8" l="1"/>
  <c r="B23" i="8"/>
  <c r="A28"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5DCA68-DB4C-8243-9CAE-1CD19ED55FCB}" keepAlive="1" name="Query - DistrictExport" description="Connection to the 'DistrictExport' query in the workbook." type="5" refreshedVersion="8" background="1" saveData="1">
    <dbPr connection="Provider=Microsoft.Mashup.OleDb.1;Data Source=$Workbook$;Location=DistrictExport;Extended Properties=&quot;&quot;" command="SELECT * FROM [DistrictExport]"/>
  </connection>
  <connection id="2" xr16:uid="{E586B713-3D95-8340-A20F-DD2F4D993DF4}" keepAlive="1" name="Query - EarningsExport" description="Connection to the 'EarningsExport' query in the workbook." type="5" refreshedVersion="8" background="1" saveData="1">
    <dbPr connection="Provider=Microsoft.Mashup.OleDb.1;Data Source=$Workbook$;Location=EarningsExport;Extended Properties=&quot;&quot;" command="SELECT * FROM [EarningsExport]"/>
  </connection>
  <connection id="3" xr16:uid="{138363D3-0CBC-FA44-93AC-83131C6F4C40}" keepAlive="1" name="Query - Merged" description="Connection to the 'Merged' query in the workbook." type="5" refreshedVersion="8" background="1" saveData="1">
    <dbPr connection="Provider=Microsoft.Mashup.OleDb.1;Data Source=$Workbook$;Location=Merged;Extended Properties=&quot;&quot;" command="SELECT * FROM [Merged]"/>
  </connection>
  <connection id="4" xr16:uid="{0AACF981-E855-7C46-88F2-CF55327A42A5}" keepAlive="1" name="Query - PivotSource" description="Connection to the 'PivotSource' query in the workbook." type="5" refreshedVersion="8" background="1" saveData="1">
    <dbPr connection="Provider=Microsoft.Mashup.OleDb.1;Data Source=$Workbook$;Location=PivotSource;Extended Properties=&quot;&quot;" command="SELECT * FROM [PivotSource]"/>
  </connection>
  <connection id="5" xr16:uid="{F105AD16-7E7C-684C-92B3-03A379DF570F}" keepAlive="1" name="Query - PriceExport" description="Connection to the 'PriceExport' query in the workbook." type="5" refreshedVersion="8" background="1" saveData="1">
    <dbPr connection="Provider=Microsoft.Mashup.OleDb.1;Data Source=$Workbook$;Location=PriceExport;Extended Properties=&quot;&quot;" command="SELECT * FROM [PriceExpor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<sst xmlns="http://schemas.openxmlformats.org/spreadsheetml/2006/main" count="8848" uniqueCount="1028">
  <si>
    <t>year</t>
  </si>
  <si>
    <t>region_name</t>
  </si>
  <si>
    <t>type_name</t>
  </si>
  <si>
    <t>region_rolled_up</t>
  </si>
  <si>
    <t>type_rolled_up</t>
  </si>
  <si>
    <t>transaction_count</t>
  </si>
  <si>
    <t>nominal_median_price</t>
  </si>
  <si>
    <t>nominal_mean_price</t>
  </si>
  <si>
    <t>real_median_price</t>
  </si>
  <si>
    <t>cpih_index</t>
  </si>
  <si>
    <t>East Midlands</t>
  </si>
  <si>
    <t>Detached</t>
  </si>
  <si>
    <t>Flat / Maisonette</t>
  </si>
  <si>
    <t>Semi-detached</t>
  </si>
  <si>
    <t>Terraced</t>
  </si>
  <si>
    <t>East of England</t>
  </si>
  <si>
    <t>London</t>
  </si>
  <si>
    <t>North East</t>
  </si>
  <si>
    <t>North West</t>
  </si>
  <si>
    <t>South East</t>
  </si>
  <si>
    <t>South West</t>
  </si>
  <si>
    <t>Wales</t>
  </si>
  <si>
    <t>West Midlands</t>
  </si>
  <si>
    <t>Yorkshire and The Humber</t>
  </si>
  <si>
    <t>All types</t>
  </si>
  <si>
    <t>All regions</t>
  </si>
  <si>
    <t>ashe_la_name</t>
  </si>
  <si>
    <t>lad_code</t>
  </si>
  <si>
    <t>median_annual_pay</t>
  </si>
  <si>
    <t>mean_annual_pay</t>
  </si>
  <si>
    <t>Darlington UA</t>
  </si>
  <si>
    <t>E06000005</t>
  </si>
  <si>
    <t>Hartlepool UA</t>
  </si>
  <si>
    <t>E06000001</t>
  </si>
  <si>
    <t>Middlesbrough UA</t>
  </si>
  <si>
    <t>E06000002</t>
  </si>
  <si>
    <t>Redcar and Cleveland UA</t>
  </si>
  <si>
    <t>E06000003</t>
  </si>
  <si>
    <t>Stockton-on-Tees UA</t>
  </si>
  <si>
    <t>E06000004</t>
  </si>
  <si>
    <t>County Durham UA</t>
  </si>
  <si>
    <t>E06000047</t>
  </si>
  <si>
    <t>Northumberland UA</t>
  </si>
  <si>
    <t>E06000057</t>
  </si>
  <si>
    <t xml:space="preserve">  Gateshead</t>
  </si>
  <si>
    <t>E08000037</t>
  </si>
  <si>
    <t xml:space="preserve">  Newcastle upon Tyne</t>
  </si>
  <si>
    <t>E08000021</t>
  </si>
  <si>
    <t xml:space="preserve">  North Tyneside</t>
  </si>
  <si>
    <t>E08000022</t>
  </si>
  <si>
    <t xml:space="preserve">  South Tyneside</t>
  </si>
  <si>
    <t>E08000023</t>
  </si>
  <si>
    <t xml:space="preserve">  Sunderland</t>
  </si>
  <si>
    <t>E08000024</t>
  </si>
  <si>
    <t>Blackburn with Darwen UA</t>
  </si>
  <si>
    <t>E06000008</t>
  </si>
  <si>
    <t>Blackpool UA</t>
  </si>
  <si>
    <t>E06000009</t>
  </si>
  <si>
    <t>Halton UA</t>
  </si>
  <si>
    <t>E06000006</t>
  </si>
  <si>
    <t>Warrington UA</t>
  </si>
  <si>
    <t>E06000007</t>
  </si>
  <si>
    <t>Cheshire East UA</t>
  </si>
  <si>
    <t>E06000049</t>
  </si>
  <si>
    <t>Cheshire West and Chester UA</t>
  </si>
  <si>
    <t>E06000050</t>
  </si>
  <si>
    <t>Cumberland UA</t>
  </si>
  <si>
    <t>E06000063</t>
  </si>
  <si>
    <t>Westmorland and Furness UA</t>
  </si>
  <si>
    <t>E06000064</t>
  </si>
  <si>
    <t xml:space="preserve">  Bolton</t>
  </si>
  <si>
    <t>E08000001</t>
  </si>
  <si>
    <t xml:space="preserve">  Bury</t>
  </si>
  <si>
    <t>E08000002</t>
  </si>
  <si>
    <t xml:space="preserve">  Manchester</t>
  </si>
  <si>
    <t>E08000003</t>
  </si>
  <si>
    <t xml:space="preserve">  Oldham</t>
  </si>
  <si>
    <t>E08000004</t>
  </si>
  <si>
    <t xml:space="preserve">  Rochdale</t>
  </si>
  <si>
    <t>E08000005</t>
  </si>
  <si>
    <t xml:space="preserve">  Salford</t>
  </si>
  <si>
    <t>E08000006</t>
  </si>
  <si>
    <t xml:space="preserve">  Stockport</t>
  </si>
  <si>
    <t>E08000007</t>
  </si>
  <si>
    <t xml:space="preserve">  Tameside</t>
  </si>
  <si>
    <t>E08000008</t>
  </si>
  <si>
    <t xml:space="preserve">  Trafford</t>
  </si>
  <si>
    <t>E08000009</t>
  </si>
  <si>
    <t xml:space="preserve">  Wigan</t>
  </si>
  <si>
    <t>E08000010</t>
  </si>
  <si>
    <t xml:space="preserve">  Burnley</t>
  </si>
  <si>
    <t>E07000117</t>
  </si>
  <si>
    <t xml:space="preserve">  Chorley</t>
  </si>
  <si>
    <t>E07000118</t>
  </si>
  <si>
    <t xml:space="preserve">  Fylde</t>
  </si>
  <si>
    <t>E07000119</t>
  </si>
  <si>
    <t xml:space="preserve">  Hyndburn</t>
  </si>
  <si>
    <t>E07000120</t>
  </si>
  <si>
    <t xml:space="preserve">  Lancaster</t>
  </si>
  <si>
    <t>E07000121</t>
  </si>
  <si>
    <t xml:space="preserve">  Pendle</t>
  </si>
  <si>
    <t>E07000122</t>
  </si>
  <si>
    <t xml:space="preserve">  Preston</t>
  </si>
  <si>
    <t>E07000123</t>
  </si>
  <si>
    <t xml:space="preserve">  Ribble Valley</t>
  </si>
  <si>
    <t>E07000124</t>
  </si>
  <si>
    <t xml:space="preserve">  Rossendale</t>
  </si>
  <si>
    <t>E07000125</t>
  </si>
  <si>
    <t xml:space="preserve">  South Ribble</t>
  </si>
  <si>
    <t>E07000126</t>
  </si>
  <si>
    <t xml:space="preserve">  West Lancashire</t>
  </si>
  <si>
    <t>E07000127</t>
  </si>
  <si>
    <t xml:space="preserve">  Wyre</t>
  </si>
  <si>
    <t>E07000128</t>
  </si>
  <si>
    <t xml:space="preserve">  Knowsley</t>
  </si>
  <si>
    <t>E08000011</t>
  </si>
  <si>
    <t xml:space="preserve">  Liverpool</t>
  </si>
  <si>
    <t>E08000012</t>
  </si>
  <si>
    <t xml:space="preserve">  St. Helens</t>
  </si>
  <si>
    <t>E08000013</t>
  </si>
  <si>
    <t xml:space="preserve">  Sefton</t>
  </si>
  <si>
    <t>E08000014</t>
  </si>
  <si>
    <t xml:space="preserve">  Wirral</t>
  </si>
  <si>
    <t>E08000015</t>
  </si>
  <si>
    <t>East Riding of Yorkshire UA</t>
  </si>
  <si>
    <t>E06000011</t>
  </si>
  <si>
    <t>Kingston upon Hull UA</t>
  </si>
  <si>
    <t>E06000010</t>
  </si>
  <si>
    <t>North East Lincolnshire UA</t>
  </si>
  <si>
    <t>E06000012</t>
  </si>
  <si>
    <t>North Lincolnshire UA</t>
  </si>
  <si>
    <t>E06000013</t>
  </si>
  <si>
    <t>York UA</t>
  </si>
  <si>
    <t>E06000014</t>
  </si>
  <si>
    <t>North Yorkshire UA</t>
  </si>
  <si>
    <t>E06000065</t>
  </si>
  <si>
    <t xml:space="preserve">  Barnsley</t>
  </si>
  <si>
    <t>E08000038</t>
  </si>
  <si>
    <t xml:space="preserve">  Doncaster</t>
  </si>
  <si>
    <t>E08000017</t>
  </si>
  <si>
    <t xml:space="preserve">  Rotherham</t>
  </si>
  <si>
    <t>E08000018</t>
  </si>
  <si>
    <t xml:space="preserve">  Sheffield</t>
  </si>
  <si>
    <t>E08000039</t>
  </si>
  <si>
    <t xml:space="preserve">  Bradford</t>
  </si>
  <si>
    <t>E08000032</t>
  </si>
  <si>
    <t xml:space="preserve">  Calderdale</t>
  </si>
  <si>
    <t>E08000033</t>
  </si>
  <si>
    <t xml:space="preserve">  Kirklees</t>
  </si>
  <si>
    <t>E08000034</t>
  </si>
  <si>
    <t xml:space="preserve">  Leeds</t>
  </si>
  <si>
    <t>E08000035</t>
  </si>
  <si>
    <t xml:space="preserve">  Wakefield</t>
  </si>
  <si>
    <t>E08000036</t>
  </si>
  <si>
    <t>Derby UA</t>
  </si>
  <si>
    <t>E06000015</t>
  </si>
  <si>
    <t>Leicester UA</t>
  </si>
  <si>
    <t>E06000016</t>
  </si>
  <si>
    <t>North Northamptonshire UA</t>
  </si>
  <si>
    <t>E06000061</t>
  </si>
  <si>
    <t>Nottingham UA</t>
  </si>
  <si>
    <t>E06000018</t>
  </si>
  <si>
    <t>Rutland UA</t>
  </si>
  <si>
    <t>E06000017</t>
  </si>
  <si>
    <t>West Northamptonshire UA</t>
  </si>
  <si>
    <t>E06000062</t>
  </si>
  <si>
    <t xml:space="preserve">  Amber Valley</t>
  </si>
  <si>
    <t>E07000032</t>
  </si>
  <si>
    <t xml:space="preserve">  Bolsover</t>
  </si>
  <si>
    <t>E07000033</t>
  </si>
  <si>
    <t xml:space="preserve">  Chesterfield</t>
  </si>
  <si>
    <t>E07000034</t>
  </si>
  <si>
    <t xml:space="preserve">  Derbyshire Dales</t>
  </si>
  <si>
    <t>E07000035</t>
  </si>
  <si>
    <t xml:space="preserve">  Erewash</t>
  </si>
  <si>
    <t>E07000036</t>
  </si>
  <si>
    <t xml:space="preserve">  High Peak</t>
  </si>
  <si>
    <t>E07000037</t>
  </si>
  <si>
    <t xml:space="preserve">  North East Derbyshire</t>
  </si>
  <si>
    <t>E07000038</t>
  </si>
  <si>
    <t xml:space="preserve">  South Derbyshire</t>
  </si>
  <si>
    <t>E07000039</t>
  </si>
  <si>
    <t xml:space="preserve">  Blaby</t>
  </si>
  <si>
    <t>E07000129</t>
  </si>
  <si>
    <t xml:space="preserve">  Charnwood</t>
  </si>
  <si>
    <t>E07000130</t>
  </si>
  <si>
    <t xml:space="preserve">  Harborough</t>
  </si>
  <si>
    <t>E07000131</t>
  </si>
  <si>
    <t xml:space="preserve">  Hinckley and Bosworth</t>
  </si>
  <si>
    <t>E07000132</t>
  </si>
  <si>
    <t xml:space="preserve">  Melton</t>
  </si>
  <si>
    <t>E07000133</t>
  </si>
  <si>
    <t xml:space="preserve">  North West Leicestershire</t>
  </si>
  <si>
    <t>E07000134</t>
  </si>
  <si>
    <t xml:space="preserve">  Oadby and Wigston</t>
  </si>
  <si>
    <t>E07000135</t>
  </si>
  <si>
    <t xml:space="preserve">  Boston</t>
  </si>
  <si>
    <t>E07000136</t>
  </si>
  <si>
    <t xml:space="preserve">  East Lindsey</t>
  </si>
  <si>
    <t>E07000137</t>
  </si>
  <si>
    <t xml:space="preserve">  Lincoln</t>
  </si>
  <si>
    <t>E07000138</t>
  </si>
  <si>
    <t xml:space="preserve">  North Kesteven</t>
  </si>
  <si>
    <t>E07000139</t>
  </si>
  <si>
    <t xml:space="preserve">  South Holland</t>
  </si>
  <si>
    <t>E07000140</t>
  </si>
  <si>
    <t xml:space="preserve">  South Kesteven</t>
  </si>
  <si>
    <t>E07000141</t>
  </si>
  <si>
    <t xml:space="preserve">  West Lindsey</t>
  </si>
  <si>
    <t>E07000142</t>
  </si>
  <si>
    <t xml:space="preserve">  Ashfield</t>
  </si>
  <si>
    <t>E07000170</t>
  </si>
  <si>
    <t xml:space="preserve">  Bassetlaw</t>
  </si>
  <si>
    <t>E07000171</t>
  </si>
  <si>
    <t xml:space="preserve">  Broxtowe</t>
  </si>
  <si>
    <t>E07000172</t>
  </si>
  <si>
    <t xml:space="preserve">  Gedling</t>
  </si>
  <si>
    <t>E07000173</t>
  </si>
  <si>
    <t xml:space="preserve">  Mansfield</t>
  </si>
  <si>
    <t>E07000174</t>
  </si>
  <si>
    <t xml:space="preserve">  Newark and Sherwood</t>
  </si>
  <si>
    <t>E07000175</t>
  </si>
  <si>
    <t xml:space="preserve">  Rushcliffe</t>
  </si>
  <si>
    <t>E07000176</t>
  </si>
  <si>
    <t>Herefordshire UA</t>
  </si>
  <si>
    <t>E06000019</t>
  </si>
  <si>
    <t>Stoke-on-Trent UA</t>
  </si>
  <si>
    <t>E06000021</t>
  </si>
  <si>
    <t>Telford and Wrekin UA</t>
  </si>
  <si>
    <t>E06000020</t>
  </si>
  <si>
    <t>Shropshire UA</t>
  </si>
  <si>
    <t>E06000051</t>
  </si>
  <si>
    <t xml:space="preserve">  Cannock Chase</t>
  </si>
  <si>
    <t>E07000192</t>
  </si>
  <si>
    <t xml:space="preserve">  East Staffordshire</t>
  </si>
  <si>
    <t>E07000193</t>
  </si>
  <si>
    <t xml:space="preserve">  Lichfield</t>
  </si>
  <si>
    <t>E07000194</t>
  </si>
  <si>
    <t xml:space="preserve">  Newcastle-under-Lyme</t>
  </si>
  <si>
    <t>E07000195</t>
  </si>
  <si>
    <t xml:space="preserve">  South Staffordshire</t>
  </si>
  <si>
    <t>E07000196</t>
  </si>
  <si>
    <t xml:space="preserve">  Stafford</t>
  </si>
  <si>
    <t>E07000197</t>
  </si>
  <si>
    <t xml:space="preserve">  Staffordshire Moorlands</t>
  </si>
  <si>
    <t>E07000198</t>
  </si>
  <si>
    <t xml:space="preserve">  Tamworth</t>
  </si>
  <si>
    <t>E07000199</t>
  </si>
  <si>
    <t xml:space="preserve">  North Warwickshire</t>
  </si>
  <si>
    <t>E07000218</t>
  </si>
  <si>
    <t xml:space="preserve">  Nuneaton and Bedworth</t>
  </si>
  <si>
    <t>E07000219</t>
  </si>
  <si>
    <t xml:space="preserve">  Rugby</t>
  </si>
  <si>
    <t>E07000220</t>
  </si>
  <si>
    <t xml:space="preserve">  Stratford-on-Avon</t>
  </si>
  <si>
    <t>E07000221</t>
  </si>
  <si>
    <t xml:space="preserve">  Warwick</t>
  </si>
  <si>
    <t>E07000222</t>
  </si>
  <si>
    <t xml:space="preserve">  Birmingham</t>
  </si>
  <si>
    <t>E08000025</t>
  </si>
  <si>
    <t xml:space="preserve">  Coventry</t>
  </si>
  <si>
    <t>E08000026</t>
  </si>
  <si>
    <t xml:space="preserve">  Dudley</t>
  </si>
  <si>
    <t>E08000027</t>
  </si>
  <si>
    <t xml:space="preserve">  Sandwell</t>
  </si>
  <si>
    <t>E08000028</t>
  </si>
  <si>
    <t xml:space="preserve">  Solihull</t>
  </si>
  <si>
    <t>E08000029</t>
  </si>
  <si>
    <t xml:space="preserve">  Walsall</t>
  </si>
  <si>
    <t>E08000030</t>
  </si>
  <si>
    <t xml:space="preserve">  Wolverhampton</t>
  </si>
  <si>
    <t>E08000031</t>
  </si>
  <si>
    <t xml:space="preserve">  Bromsgrove</t>
  </si>
  <si>
    <t>E07000234</t>
  </si>
  <si>
    <t xml:space="preserve">  Malvern Hills</t>
  </si>
  <si>
    <t>E07000235</t>
  </si>
  <si>
    <t xml:space="preserve">  Redditch</t>
  </si>
  <si>
    <t>E07000236</t>
  </si>
  <si>
    <t xml:space="preserve">  Worcester</t>
  </si>
  <si>
    <t>E07000237</t>
  </si>
  <si>
    <t xml:space="preserve">  Wychavon</t>
  </si>
  <si>
    <t>E07000238</t>
  </si>
  <si>
    <t xml:space="preserve">  Wyre Forest</t>
  </si>
  <si>
    <t>E07000239</t>
  </si>
  <si>
    <t>Bedford UA</t>
  </si>
  <si>
    <t>E06000055</t>
  </si>
  <si>
    <t>Central Bedfordshire UA</t>
  </si>
  <si>
    <t>E06000056</t>
  </si>
  <si>
    <t>Luton UA</t>
  </si>
  <si>
    <t>E06000032</t>
  </si>
  <si>
    <t>Peterborough UA</t>
  </si>
  <si>
    <t>E06000031</t>
  </si>
  <si>
    <t>Southend-on-Sea UA</t>
  </si>
  <si>
    <t>E06000033</t>
  </si>
  <si>
    <t>Thurrock UA</t>
  </si>
  <si>
    <t>E06000034</t>
  </si>
  <si>
    <t xml:space="preserve">  Cambridge</t>
  </si>
  <si>
    <t>E07000008</t>
  </si>
  <si>
    <t xml:space="preserve">  East Cambridgeshire</t>
  </si>
  <si>
    <t>E07000009</t>
  </si>
  <si>
    <t xml:space="preserve">  Fenland</t>
  </si>
  <si>
    <t>E07000010</t>
  </si>
  <si>
    <t xml:space="preserve">  Huntingdonshire</t>
  </si>
  <si>
    <t>E07000011</t>
  </si>
  <si>
    <t xml:space="preserve">  South Cambridgeshire</t>
  </si>
  <si>
    <t>E07000012</t>
  </si>
  <si>
    <t xml:space="preserve">  Basildon</t>
  </si>
  <si>
    <t>E07000066</t>
  </si>
  <si>
    <t xml:space="preserve">  Braintree</t>
  </si>
  <si>
    <t>E07000067</t>
  </si>
  <si>
    <t xml:space="preserve">  Brentwood</t>
  </si>
  <si>
    <t>E07000068</t>
  </si>
  <si>
    <t xml:space="preserve">  Castle Point</t>
  </si>
  <si>
    <t>E07000069</t>
  </si>
  <si>
    <t xml:space="preserve">  Chelmsford</t>
  </si>
  <si>
    <t>E07000070</t>
  </si>
  <si>
    <t xml:space="preserve">  Colchester</t>
  </si>
  <si>
    <t>E07000071</t>
  </si>
  <si>
    <t xml:space="preserve">  Epping Forest</t>
  </si>
  <si>
    <t>E07000072</t>
  </si>
  <si>
    <t xml:space="preserve">  Harlow</t>
  </si>
  <si>
    <t>E07000073</t>
  </si>
  <si>
    <t xml:space="preserve">  Maldon</t>
  </si>
  <si>
    <t>E07000074</t>
  </si>
  <si>
    <t xml:space="preserve">  Rochford</t>
  </si>
  <si>
    <t>E07000075</t>
  </si>
  <si>
    <t xml:space="preserve">  Tendring</t>
  </si>
  <si>
    <t>E07000076</t>
  </si>
  <si>
    <t xml:space="preserve">  Uttlesford</t>
  </si>
  <si>
    <t>E07000077</t>
  </si>
  <si>
    <t>x</t>
  </si>
  <si>
    <t xml:space="preserve">  Broxbourne</t>
  </si>
  <si>
    <t>E07000095</t>
  </si>
  <si>
    <t xml:space="preserve">  Dacorum</t>
  </si>
  <si>
    <t>E07000096</t>
  </si>
  <si>
    <t xml:space="preserve">  East Hertfordshire</t>
  </si>
  <si>
    <t>E07000242</t>
  </si>
  <si>
    <t xml:space="preserve">  Hertsmere</t>
  </si>
  <si>
    <t>E07000098</t>
  </si>
  <si>
    <t xml:space="preserve">  North Hertfordshire</t>
  </si>
  <si>
    <t>E07000099</t>
  </si>
  <si>
    <t xml:space="preserve">  St Albans</t>
  </si>
  <si>
    <t>E07000240</t>
  </si>
  <si>
    <t xml:space="preserve">  Stevenage</t>
  </si>
  <si>
    <t>E07000243</t>
  </si>
  <si>
    <t xml:space="preserve">  Three Rivers</t>
  </si>
  <si>
    <t>E07000102</t>
  </si>
  <si>
    <t xml:space="preserve">  Watford</t>
  </si>
  <si>
    <t>E07000103</t>
  </si>
  <si>
    <t xml:space="preserve">  Welwyn Hatfield</t>
  </si>
  <si>
    <t>E07000241</t>
  </si>
  <si>
    <t xml:space="preserve">  Breckland</t>
  </si>
  <si>
    <t>E07000143</t>
  </si>
  <si>
    <t xml:space="preserve">  Broadland</t>
  </si>
  <si>
    <t>E07000144</t>
  </si>
  <si>
    <t xml:space="preserve">  Great Yarmouth</t>
  </si>
  <si>
    <t>E07000145</t>
  </si>
  <si>
    <t xml:space="preserve">  King's Lynn and West Norfolk</t>
  </si>
  <si>
    <t>E07000146</t>
  </si>
  <si>
    <t xml:space="preserve">  North Norfolk</t>
  </si>
  <si>
    <t>E07000147</t>
  </si>
  <si>
    <t xml:space="preserve">  Norwich</t>
  </si>
  <si>
    <t>E07000148</t>
  </si>
  <si>
    <t xml:space="preserve">  South Norfolk</t>
  </si>
  <si>
    <t>E07000149</t>
  </si>
  <si>
    <t xml:space="preserve">  Babergh</t>
  </si>
  <si>
    <t>E07000200</t>
  </si>
  <si>
    <t xml:space="preserve">  Ipswich</t>
  </si>
  <si>
    <t>E07000202</t>
  </si>
  <si>
    <t xml:space="preserve">  Mid Suffolk</t>
  </si>
  <si>
    <t>E07000203</t>
  </si>
  <si>
    <t xml:space="preserve">  East Suffolk</t>
  </si>
  <si>
    <t>E07000244</t>
  </si>
  <si>
    <t xml:space="preserve">  West Suffolk</t>
  </si>
  <si>
    <t>E07000245</t>
  </si>
  <si>
    <t xml:space="preserve">  Camden</t>
  </si>
  <si>
    <t>E09000007</t>
  </si>
  <si>
    <t xml:space="preserve">  City of London</t>
  </si>
  <si>
    <t>E09000001</t>
  </si>
  <si>
    <t xml:space="preserve">  Hackney</t>
  </si>
  <si>
    <t>E09000012</t>
  </si>
  <si>
    <t xml:space="preserve">  Hammersmith and Fulham</t>
  </si>
  <si>
    <t>E09000013</t>
  </si>
  <si>
    <t xml:space="preserve">  Haringey</t>
  </si>
  <si>
    <t>E09000014</t>
  </si>
  <si>
    <t xml:space="preserve">  Islington</t>
  </si>
  <si>
    <t>E09000019</t>
  </si>
  <si>
    <t xml:space="preserve">  Kensington and Chelsea</t>
  </si>
  <si>
    <t>E09000020</t>
  </si>
  <si>
    <t xml:space="preserve">  Lambeth</t>
  </si>
  <si>
    <t>E09000022</t>
  </si>
  <si>
    <t xml:space="preserve">  Lewisham</t>
  </si>
  <si>
    <t>E09000023</t>
  </si>
  <si>
    <t xml:space="preserve">  Newham</t>
  </si>
  <si>
    <t>E09000025</t>
  </si>
  <si>
    <t xml:space="preserve">  Southwark</t>
  </si>
  <si>
    <t>E09000028</t>
  </si>
  <si>
    <t xml:space="preserve">  Tower Hamlets</t>
  </si>
  <si>
    <t>E09000030</t>
  </si>
  <si>
    <t xml:space="preserve">  Wandsworth</t>
  </si>
  <si>
    <t>E09000032</t>
  </si>
  <si>
    <t xml:space="preserve">  Westminster</t>
  </si>
  <si>
    <t>E09000033</t>
  </si>
  <si>
    <t xml:space="preserve">  Barking and Dagenham</t>
  </si>
  <si>
    <t>E09000002</t>
  </si>
  <si>
    <t xml:space="preserve">  Barnet</t>
  </si>
  <si>
    <t>E09000003</t>
  </si>
  <si>
    <t xml:space="preserve">  Bexley</t>
  </si>
  <si>
    <t>E09000004</t>
  </si>
  <si>
    <t xml:space="preserve">  Brent</t>
  </si>
  <si>
    <t>E09000005</t>
  </si>
  <si>
    <t xml:space="preserve">  Bromley</t>
  </si>
  <si>
    <t>E09000006</t>
  </si>
  <si>
    <t xml:space="preserve">  Croydon</t>
  </si>
  <si>
    <t>E09000008</t>
  </si>
  <si>
    <t xml:space="preserve">  Ealing</t>
  </si>
  <si>
    <t>E09000009</t>
  </si>
  <si>
    <t xml:space="preserve">  Enfield</t>
  </si>
  <si>
    <t>E09000010</t>
  </si>
  <si>
    <t xml:space="preserve">  Greenwich</t>
  </si>
  <si>
    <t>E09000011</t>
  </si>
  <si>
    <t xml:space="preserve">  Harrow</t>
  </si>
  <si>
    <t>E09000015</t>
  </si>
  <si>
    <t xml:space="preserve">  Havering</t>
  </si>
  <si>
    <t>E09000016</t>
  </si>
  <si>
    <t xml:space="preserve">  Hillingdon</t>
  </si>
  <si>
    <t>E09000017</t>
  </si>
  <si>
    <t xml:space="preserve">  Hounslow</t>
  </si>
  <si>
    <t>E09000018</t>
  </si>
  <si>
    <t xml:space="preserve">  Kingston upon Thames</t>
  </si>
  <si>
    <t>E09000021</t>
  </si>
  <si>
    <t xml:space="preserve">  Merton</t>
  </si>
  <si>
    <t>E09000024</t>
  </si>
  <si>
    <t xml:space="preserve">  Redbridge</t>
  </si>
  <si>
    <t>E09000026</t>
  </si>
  <si>
    <t xml:space="preserve">  Richmond upon Thames</t>
  </si>
  <si>
    <t>E09000027</t>
  </si>
  <si>
    <t xml:space="preserve">  Sutton</t>
  </si>
  <si>
    <t>E09000029</t>
  </si>
  <si>
    <t xml:space="preserve">  Waltham Forest</t>
  </si>
  <si>
    <t>E09000031</t>
  </si>
  <si>
    <t>Bracknell Forest UA</t>
  </si>
  <si>
    <t>E06000036</t>
  </si>
  <si>
    <t>Brighton and Hove UA</t>
  </si>
  <si>
    <t>E06000043</t>
  </si>
  <si>
    <t>Buckinghamshire UA</t>
  </si>
  <si>
    <t>E06000060</t>
  </si>
  <si>
    <t>Isle of Wight UA</t>
  </si>
  <si>
    <t>E06000046</t>
  </si>
  <si>
    <t>Medway UA</t>
  </si>
  <si>
    <t>E06000035</t>
  </si>
  <si>
    <t>Milton Keynes UA</t>
  </si>
  <si>
    <t>E06000042</t>
  </si>
  <si>
    <t>Portsmouth UA</t>
  </si>
  <si>
    <t>E06000044</t>
  </si>
  <si>
    <t>Reading UA</t>
  </si>
  <si>
    <t>E06000038</t>
  </si>
  <si>
    <t>Slough UA</t>
  </si>
  <si>
    <t>E06000039</t>
  </si>
  <si>
    <t>Southampton UA</t>
  </si>
  <si>
    <t>E06000045</t>
  </si>
  <si>
    <t>West Berkshire UA</t>
  </si>
  <si>
    <t>E06000037</t>
  </si>
  <si>
    <t>Windsor and Maidenhead UA</t>
  </si>
  <si>
    <t>E06000040</t>
  </si>
  <si>
    <t>Wokingham UA</t>
  </si>
  <si>
    <t>E06000041</t>
  </si>
  <si>
    <t xml:space="preserve">  Eastbourne</t>
  </si>
  <si>
    <t>E07000061</t>
  </si>
  <si>
    <t xml:space="preserve">  Hastings</t>
  </si>
  <si>
    <t>E07000062</t>
  </si>
  <si>
    <t xml:space="preserve">  Lewes</t>
  </si>
  <si>
    <t>E07000063</t>
  </si>
  <si>
    <t xml:space="preserve">  Rother</t>
  </si>
  <si>
    <t>E07000064</t>
  </si>
  <si>
    <t xml:space="preserve">  Wealden</t>
  </si>
  <si>
    <t>E07000065</t>
  </si>
  <si>
    <t xml:space="preserve">  Basingstoke and Deane</t>
  </si>
  <si>
    <t>E07000084</t>
  </si>
  <si>
    <t xml:space="preserve">  East Hampshire</t>
  </si>
  <si>
    <t>E07000085</t>
  </si>
  <si>
    <t xml:space="preserve">  Eastleigh</t>
  </si>
  <si>
    <t>E07000086</t>
  </si>
  <si>
    <t xml:space="preserve">  Fareham</t>
  </si>
  <si>
    <t>E07000087</t>
  </si>
  <si>
    <t xml:space="preserve">  Gosport</t>
  </si>
  <si>
    <t>E07000088</t>
  </si>
  <si>
    <t xml:space="preserve">  Hart</t>
  </si>
  <si>
    <t>E07000089</t>
  </si>
  <si>
    <t xml:space="preserve">  Havant</t>
  </si>
  <si>
    <t>E07000090</t>
  </si>
  <si>
    <t xml:space="preserve">  New Forest</t>
  </si>
  <si>
    <t>E07000091</t>
  </si>
  <si>
    <t xml:space="preserve">  Rushmoor</t>
  </si>
  <si>
    <t>E07000092</t>
  </si>
  <si>
    <t xml:space="preserve">  Test Valley</t>
  </si>
  <si>
    <t>E07000093</t>
  </si>
  <si>
    <t xml:space="preserve">  Winchester</t>
  </si>
  <si>
    <t>E07000094</t>
  </si>
  <si>
    <t xml:space="preserve">  Ashford</t>
  </si>
  <si>
    <t>E07000105</t>
  </si>
  <si>
    <t xml:space="preserve">  Canterbury</t>
  </si>
  <si>
    <t>E07000106</t>
  </si>
  <si>
    <t xml:space="preserve">  Dartford</t>
  </si>
  <si>
    <t>E07000107</t>
  </si>
  <si>
    <t xml:space="preserve">  Dover</t>
  </si>
  <si>
    <t>E07000108</t>
  </si>
  <si>
    <t xml:space="preserve">  Gravesham</t>
  </si>
  <si>
    <t>E07000109</t>
  </si>
  <si>
    <t xml:space="preserve">  Maidstone</t>
  </si>
  <si>
    <t>E07000110</t>
  </si>
  <si>
    <t xml:space="preserve">  Sevenoaks</t>
  </si>
  <si>
    <t>E07000111</t>
  </si>
  <si>
    <t xml:space="preserve">  Folkestone and Hythe</t>
  </si>
  <si>
    <t>E07000112</t>
  </si>
  <si>
    <t xml:space="preserve">  Swale</t>
  </si>
  <si>
    <t>E07000113</t>
  </si>
  <si>
    <t xml:space="preserve">  Thanet</t>
  </si>
  <si>
    <t>E07000114</t>
  </si>
  <si>
    <t xml:space="preserve">  Tonbridge and Malling</t>
  </si>
  <si>
    <t>E07000115</t>
  </si>
  <si>
    <t xml:space="preserve">  Tunbridge Wells</t>
  </si>
  <si>
    <t>E07000116</t>
  </si>
  <si>
    <t xml:space="preserve">  Cherwell</t>
  </si>
  <si>
    <t>E07000177</t>
  </si>
  <si>
    <t xml:space="preserve">  Oxford</t>
  </si>
  <si>
    <t>E07000178</t>
  </si>
  <si>
    <t xml:space="preserve">  South Oxfordshire</t>
  </si>
  <si>
    <t>E07000179</t>
  </si>
  <si>
    <t xml:space="preserve">  Vale of White Horse</t>
  </si>
  <si>
    <t>E07000180</t>
  </si>
  <si>
    <t xml:space="preserve">  West Oxfordshire</t>
  </si>
  <si>
    <t>E07000181</t>
  </si>
  <si>
    <t xml:space="preserve">  Elmbridge</t>
  </si>
  <si>
    <t>E07000207</t>
  </si>
  <si>
    <t xml:space="preserve">  Epsom and Ewell</t>
  </si>
  <si>
    <t>E07000208</t>
  </si>
  <si>
    <t xml:space="preserve">  Guildford</t>
  </si>
  <si>
    <t>E07000209</t>
  </si>
  <si>
    <t xml:space="preserve">  Mole Valley</t>
  </si>
  <si>
    <t>E07000210</t>
  </si>
  <si>
    <t xml:space="preserve">  Reigate and Banstead</t>
  </si>
  <si>
    <t>E07000211</t>
  </si>
  <si>
    <t xml:space="preserve">  Runnymede</t>
  </si>
  <si>
    <t>E07000212</t>
  </si>
  <si>
    <t xml:space="preserve">  Spelthorne</t>
  </si>
  <si>
    <t>E07000213</t>
  </si>
  <si>
    <t xml:space="preserve">  Surrey Heath</t>
  </si>
  <si>
    <t>E07000214</t>
  </si>
  <si>
    <t xml:space="preserve">  Tandridge</t>
  </si>
  <si>
    <t>E07000215</t>
  </si>
  <si>
    <t xml:space="preserve">  Waverley</t>
  </si>
  <si>
    <t>E07000216</t>
  </si>
  <si>
    <t xml:space="preserve">  Woking</t>
  </si>
  <si>
    <t>E07000217</t>
  </si>
  <si>
    <t xml:space="preserve">  Adur</t>
  </si>
  <si>
    <t>E07000223</t>
  </si>
  <si>
    <t xml:space="preserve">  Arun</t>
  </si>
  <si>
    <t>E07000224</t>
  </si>
  <si>
    <t xml:space="preserve">  Chichester</t>
  </si>
  <si>
    <t>E07000225</t>
  </si>
  <si>
    <t xml:space="preserve">  Crawley</t>
  </si>
  <si>
    <t>E07000226</t>
  </si>
  <si>
    <t xml:space="preserve">  Horsham</t>
  </si>
  <si>
    <t>E07000227</t>
  </si>
  <si>
    <t xml:space="preserve">  Mid Sussex</t>
  </si>
  <si>
    <t>E07000228</t>
  </si>
  <si>
    <t xml:space="preserve">  Worthing</t>
  </si>
  <si>
    <t>E07000229</t>
  </si>
  <si>
    <t>Bath and North East Somerset UA</t>
  </si>
  <si>
    <t>E06000022</t>
  </si>
  <si>
    <t>Bournemouth, Christchurch and Poole UA</t>
  </si>
  <si>
    <t>E06000058</t>
  </si>
  <si>
    <t>Bristol, City of UA</t>
  </si>
  <si>
    <t>E06000023</t>
  </si>
  <si>
    <t>Dorset UA</t>
  </si>
  <si>
    <t>E06000059</t>
  </si>
  <si>
    <t>North Somerset UA</t>
  </si>
  <si>
    <t>E06000024</t>
  </si>
  <si>
    <t>Plymouth UA</t>
  </si>
  <si>
    <t>E06000026</t>
  </si>
  <si>
    <t>South Gloucestershire UA</t>
  </si>
  <si>
    <t>E06000025</t>
  </si>
  <si>
    <t>Swindon UA</t>
  </si>
  <si>
    <t>E06000030</t>
  </si>
  <si>
    <t>Torbay UA</t>
  </si>
  <si>
    <t>E06000027</t>
  </si>
  <si>
    <t>Cornwall UA</t>
  </si>
  <si>
    <t>E06000052</t>
  </si>
  <si>
    <t xml:space="preserve">Isles of Scilly </t>
  </si>
  <si>
    <t>E06000053</t>
  </si>
  <si>
    <t>Wiltshire UA</t>
  </si>
  <si>
    <t>E06000054</t>
  </si>
  <si>
    <t xml:space="preserve">  East Devon</t>
  </si>
  <si>
    <t>E07000040</t>
  </si>
  <si>
    <t xml:space="preserve">  Exeter</t>
  </si>
  <si>
    <t>E07000041</t>
  </si>
  <si>
    <t xml:space="preserve">  Mid Devon</t>
  </si>
  <si>
    <t>E07000042</t>
  </si>
  <si>
    <t xml:space="preserve">  North Devon</t>
  </si>
  <si>
    <t>E07000043</t>
  </si>
  <si>
    <t xml:space="preserve">  South Hams</t>
  </si>
  <si>
    <t>E07000044</t>
  </si>
  <si>
    <t xml:space="preserve">  Teignbridge</t>
  </si>
  <si>
    <t>E07000045</t>
  </si>
  <si>
    <t xml:space="preserve">  Torridge</t>
  </si>
  <si>
    <t>E07000046</t>
  </si>
  <si>
    <t xml:space="preserve">  West Devon</t>
  </si>
  <si>
    <t>E07000047</t>
  </si>
  <si>
    <t xml:space="preserve">  Cheltenham</t>
  </si>
  <si>
    <t>E07000078</t>
  </si>
  <si>
    <t xml:space="preserve">  Cotswold</t>
  </si>
  <si>
    <t>E07000079</t>
  </si>
  <si>
    <t xml:space="preserve">  Forest of Dean</t>
  </si>
  <si>
    <t>E07000080</t>
  </si>
  <si>
    <t xml:space="preserve">  Gloucester</t>
  </si>
  <si>
    <t>E07000081</t>
  </si>
  <si>
    <t xml:space="preserve">  Stroud</t>
  </si>
  <si>
    <t>E07000082</t>
  </si>
  <si>
    <t xml:space="preserve">  Tewkesbury</t>
  </si>
  <si>
    <t>E07000083</t>
  </si>
  <si>
    <t>Somerset UA</t>
  </si>
  <si>
    <t>E06000066</t>
  </si>
  <si>
    <t>Isle of Anglesey / Ynys Môn</t>
  </si>
  <si>
    <t>W06000001</t>
  </si>
  <si>
    <t>Gwynedd / Gwynedd</t>
  </si>
  <si>
    <t>W06000002</t>
  </si>
  <si>
    <t>Conwy / Conwy</t>
  </si>
  <si>
    <t>W06000003</t>
  </si>
  <si>
    <t>Denbighshire / Sir Ddinbych</t>
  </si>
  <si>
    <t>W06000004</t>
  </si>
  <si>
    <t>Flintshire / Sir y Fflint</t>
  </si>
  <si>
    <t>W06000005</t>
  </si>
  <si>
    <t>Wrexham / Wrecsam</t>
  </si>
  <si>
    <t>W06000006</t>
  </si>
  <si>
    <t>Powys / Powys</t>
  </si>
  <si>
    <t>W06000023</t>
  </si>
  <si>
    <t>Ceredigion / Ceredigion</t>
  </si>
  <si>
    <t>W06000008</t>
  </si>
  <si>
    <t>Pembrokeshire / Sir Benfro</t>
  </si>
  <si>
    <t>W06000009</t>
  </si>
  <si>
    <t>Carmarthenshire / Sir Gaerfyrddin</t>
  </si>
  <si>
    <t>W06000010</t>
  </si>
  <si>
    <t>Swansea / Abertawe</t>
  </si>
  <si>
    <t>W06000011</t>
  </si>
  <si>
    <t>Neath Port Talbot / Castell-nedd Port Talbot</t>
  </si>
  <si>
    <t>W06000012</t>
  </si>
  <si>
    <t>Bridgend / Pen-y-bont ar Ogwr</t>
  </si>
  <si>
    <t>W06000013</t>
  </si>
  <si>
    <t>Vale of Glamorgan / Bro Morgannwg</t>
  </si>
  <si>
    <t>W06000014</t>
  </si>
  <si>
    <t>Cardiff / Caerdydd</t>
  </si>
  <si>
    <t>W06000015</t>
  </si>
  <si>
    <t>Rhondda Cynon Taf / Rhondda Cynon Taf</t>
  </si>
  <si>
    <t>W06000016</t>
  </si>
  <si>
    <t>Merthyr Tydfil / Merthyr Tudful</t>
  </si>
  <si>
    <t>W06000024</t>
  </si>
  <si>
    <t>Caerphilly / Caerffili</t>
  </si>
  <si>
    <t>W06000018</t>
  </si>
  <si>
    <t>Blaenau Gwent / Blaenau Gwent</t>
  </si>
  <si>
    <t>W06000019</t>
  </si>
  <si>
    <t>Torfaen / Torfaen</t>
  </si>
  <si>
    <t>W06000020</t>
  </si>
  <si>
    <t>Monmouthshire / Sir Fynwy</t>
  </si>
  <si>
    <t>W06000021</t>
  </si>
  <si>
    <t>Newport / Casnewydd</t>
  </si>
  <si>
    <t>W06000022</t>
  </si>
  <si>
    <t>lad_name</t>
  </si>
  <si>
    <t>centroid_lat</t>
  </si>
  <si>
    <t>centroid_long</t>
  </si>
  <si>
    <t>median_2015</t>
  </si>
  <si>
    <t>latest_median_price</t>
  </si>
  <si>
    <t>start_sales</t>
  </si>
  <si>
    <t>end_sales</t>
  </si>
  <si>
    <t>cagr_pct</t>
  </si>
  <si>
    <t>appreciation_rank</t>
  </si>
  <si>
    <t>Salford</t>
  </si>
  <si>
    <t>Blaenau Gwent</t>
  </si>
  <si>
    <t>Leicester</t>
  </si>
  <si>
    <t>Oldham</t>
  </si>
  <si>
    <t>Sandwell</t>
  </si>
  <si>
    <t>Manchester</t>
  </si>
  <si>
    <t>Nottingham</t>
  </si>
  <si>
    <t>Wolverhampton</t>
  </si>
  <si>
    <t>Bolton</t>
  </si>
  <si>
    <t>Burnley</t>
  </si>
  <si>
    <t>Tameside</t>
  </si>
  <si>
    <t>Bury</t>
  </si>
  <si>
    <t>Stockport</t>
  </si>
  <si>
    <t>Trafford</t>
  </si>
  <si>
    <t>Broxtowe</t>
  </si>
  <si>
    <t>Oadby and Wigston</t>
  </si>
  <si>
    <t>Tamworth</t>
  </si>
  <si>
    <t>Gedling</t>
  </si>
  <si>
    <t>Walsall</t>
  </si>
  <si>
    <t>Rochdale</t>
  </si>
  <si>
    <t>Nuneaton and Bedworth</t>
  </si>
  <si>
    <t>Cannock Chase</t>
  </si>
  <si>
    <t>Hastings</t>
  </si>
  <si>
    <t>Dudley</t>
  </si>
  <si>
    <t>Thanet</t>
  </si>
  <si>
    <t>Knowsley</t>
  </si>
  <si>
    <t>Birmingham</t>
  </si>
  <si>
    <t>Torfaen</t>
  </si>
  <si>
    <t>Luton</t>
  </si>
  <si>
    <t>Medway</t>
  </si>
  <si>
    <t>Pendle</t>
  </si>
  <si>
    <t>Merthyr Tydfil</t>
  </si>
  <si>
    <t>Blackburn with Darwen</t>
  </si>
  <si>
    <t>Bristol, City of</t>
  </si>
  <si>
    <t>Wyre Forest</t>
  </si>
  <si>
    <t>Caerphilly</t>
  </si>
  <si>
    <t>Tendring</t>
  </si>
  <si>
    <t>Gravesham</t>
  </si>
  <si>
    <t>High Peak</t>
  </si>
  <si>
    <t>Rugby</t>
  </si>
  <si>
    <t>Wigan</t>
  </si>
  <si>
    <t>Bolsover</t>
  </si>
  <si>
    <t>Derby</t>
  </si>
  <si>
    <t>Erewash</t>
  </si>
  <si>
    <t>Stoke-on-Trent</t>
  </si>
  <si>
    <t>Blaby</t>
  </si>
  <si>
    <t>Basildon</t>
  </si>
  <si>
    <t>Coventry</t>
  </si>
  <si>
    <t>Sheffield</t>
  </si>
  <si>
    <t>Swale</t>
  </si>
  <si>
    <t>Thurrock</t>
  </si>
  <si>
    <t>Wakefield</t>
  </si>
  <si>
    <t>Melton</t>
  </si>
  <si>
    <t>Leeds</t>
  </si>
  <si>
    <t>North Northamptonshire</t>
  </si>
  <si>
    <t>Newport</t>
  </si>
  <si>
    <t>Kirklees</t>
  </si>
  <si>
    <t>Cardiff</t>
  </si>
  <si>
    <t>Havering</t>
  </si>
  <si>
    <t>Barnsley</t>
  </si>
  <si>
    <t>Swansea</t>
  </si>
  <si>
    <t>Bridgend</t>
  </si>
  <si>
    <t>Southend-on-Sea</t>
  </si>
  <si>
    <t>Folkestone and Hythe</t>
  </si>
  <si>
    <t>Ashfield</t>
  </si>
  <si>
    <t>Peterborough</t>
  </si>
  <si>
    <t>Mansfield</t>
  </si>
  <si>
    <t>Rossendale</t>
  </si>
  <si>
    <t>Lichfield</t>
  </si>
  <si>
    <t>Slough</t>
  </si>
  <si>
    <t>Cheshire East</t>
  </si>
  <si>
    <t>West Lindsey</t>
  </si>
  <si>
    <t>King's Lynn and West Norfolk</t>
  </si>
  <si>
    <t>North West Leicestershire</t>
  </si>
  <si>
    <t>Gloucester</t>
  </si>
  <si>
    <t>Warrington</t>
  </si>
  <si>
    <t>Barking and Dagenham</t>
  </si>
  <si>
    <t>St. Helens</t>
  </si>
  <si>
    <t>Bassetlaw</t>
  </si>
  <si>
    <t>Maldon</t>
  </si>
  <si>
    <t>Fenland</t>
  </si>
  <si>
    <t>South Staffordshire</t>
  </si>
  <si>
    <t>Swindon</t>
  </si>
  <si>
    <t>Hinckley and Bosworth</t>
  </si>
  <si>
    <t>Charnwood</t>
  </si>
  <si>
    <t>Redditch</t>
  </si>
  <si>
    <t>Neath Port Talbot</t>
  </si>
  <si>
    <t>Halton</t>
  </si>
  <si>
    <t>Powys</t>
  </si>
  <si>
    <t>Sefton</t>
  </si>
  <si>
    <t>Boston</t>
  </si>
  <si>
    <t>Hyndburn</t>
  </si>
  <si>
    <t>Forest of Dean</t>
  </si>
  <si>
    <t>Rochford</t>
  </si>
  <si>
    <t>Colchester</t>
  </si>
  <si>
    <t>Wirral</t>
  </si>
  <si>
    <t>Liverpool</t>
  </si>
  <si>
    <t>Newark and Sherwood</t>
  </si>
  <si>
    <t>South Holland</t>
  </si>
  <si>
    <t>Carmarthenshire</t>
  </si>
  <si>
    <t>Stevenage</t>
  </si>
  <si>
    <t>Gosport</t>
  </si>
  <si>
    <t>Rhondda Cynon Taf</t>
  </si>
  <si>
    <t>Bexley</t>
  </si>
  <si>
    <t>South Derbyshire</t>
  </si>
  <si>
    <t>Dartford</t>
  </si>
  <si>
    <t>Dover</t>
  </si>
  <si>
    <t>North Warwickshire</t>
  </si>
  <si>
    <t>Vale of Glamorgan</t>
  </si>
  <si>
    <t>Bedford</t>
  </si>
  <si>
    <t>Telford and Wrekin</t>
  </si>
  <si>
    <t>Basingstoke and Deane</t>
  </si>
  <si>
    <t>Calderdale</t>
  </si>
  <si>
    <t>Broxbourne</t>
  </si>
  <si>
    <t>Braintree</t>
  </si>
  <si>
    <t>Ipswich</t>
  </si>
  <si>
    <t>West Northamptonshire</t>
  </si>
  <si>
    <t>Amber Valley</t>
  </si>
  <si>
    <t>Newcastle-under-Lyme</t>
  </si>
  <si>
    <t>East Lindsey</t>
  </si>
  <si>
    <t>North East Derbyshire</t>
  </si>
  <si>
    <t>Preston</t>
  </si>
  <si>
    <t>Monmouthshire</t>
  </si>
  <si>
    <t>Huntingdonshire</t>
  </si>
  <si>
    <t>East Staffordshire</t>
  </si>
  <si>
    <t>Milton Keynes</t>
  </si>
  <si>
    <t>Shropshire</t>
  </si>
  <si>
    <t>Conwy</t>
  </si>
  <si>
    <t>Portsmouth</t>
  </si>
  <si>
    <t>Central Bedfordshire</t>
  </si>
  <si>
    <t>Chelmsford</t>
  </si>
  <si>
    <t>Ashford</t>
  </si>
  <si>
    <t>Breckland</t>
  </si>
  <si>
    <t>Denbighshire</t>
  </si>
  <si>
    <t>Bath and North East Somerset</t>
  </si>
  <si>
    <t>Staffordshire Moorlands</t>
  </si>
  <si>
    <t>Chesterfield</t>
  </si>
  <si>
    <t>Harlow</t>
  </si>
  <si>
    <t>Castle Point</t>
  </si>
  <si>
    <t>Brentwood</t>
  </si>
  <si>
    <t>Rotherham</t>
  </si>
  <si>
    <t>Bradford</t>
  </si>
  <si>
    <t>Great Yarmouth</t>
  </si>
  <si>
    <t>Stroud</t>
  </si>
  <si>
    <t>North Somerset</t>
  </si>
  <si>
    <t>Somerset</t>
  </si>
  <si>
    <t>Lincoln</t>
  </si>
  <si>
    <t>Malvern Hills</t>
  </si>
  <si>
    <t>Maidstone</t>
  </si>
  <si>
    <t>North Hertfordshire</t>
  </si>
  <si>
    <t>North Kesteven</t>
  </si>
  <si>
    <t>Mid Suffolk</t>
  </si>
  <si>
    <t>Redbridge</t>
  </si>
  <si>
    <t>South Ribble</t>
  </si>
  <si>
    <t>South Gloucestershire</t>
  </si>
  <si>
    <t>South Kesteven</t>
  </si>
  <si>
    <t>Tewkesbury</t>
  </si>
  <si>
    <t>Waltham Forest</t>
  </si>
  <si>
    <t>Newham</t>
  </si>
  <si>
    <t>East Riding of Yorkshire</t>
  </si>
  <si>
    <t>Stafford</t>
  </si>
  <si>
    <t>Enfield</t>
  </si>
  <si>
    <t>Hillingdon</t>
  </si>
  <si>
    <t>Bracknell Forest</t>
  </si>
  <si>
    <t>Cheltenham</t>
  </si>
  <si>
    <t>Mid Devon</t>
  </si>
  <si>
    <t>Doncaster</t>
  </si>
  <si>
    <t>Rushmoor</t>
  </si>
  <si>
    <t>Spelthorne</t>
  </si>
  <si>
    <t>East Cambridgeshire</t>
  </si>
  <si>
    <t>Sutton</t>
  </si>
  <si>
    <t>Rushcliffe</t>
  </si>
  <si>
    <t>Cornwall</t>
  </si>
  <si>
    <t>North Norfolk</t>
  </si>
  <si>
    <t>Arun</t>
  </si>
  <si>
    <t>South Norfolk</t>
  </si>
  <si>
    <t>Wyre</t>
  </si>
  <si>
    <t>Isle of Anglesey</t>
  </si>
  <si>
    <t>Worcester</t>
  </si>
  <si>
    <t>Southampton</t>
  </si>
  <si>
    <t>Babergh</t>
  </si>
  <si>
    <t>Cheshire West and Chester</t>
  </si>
  <si>
    <t>Rother</t>
  </si>
  <si>
    <t>North Lincolnshire</t>
  </si>
  <si>
    <t>Broadland</t>
  </si>
  <si>
    <t>Hertsmere</t>
  </si>
  <si>
    <t>Worthing</t>
  </si>
  <si>
    <t>Harborough</t>
  </si>
  <si>
    <t>Welwyn Hatfield</t>
  </si>
  <si>
    <t>Buckinghamshire</t>
  </si>
  <si>
    <t>Adur</t>
  </si>
  <si>
    <t>West Lancashire</t>
  </si>
  <si>
    <t>Kingston upon Hull, City of</t>
  </si>
  <si>
    <t>East Suffolk</t>
  </si>
  <si>
    <t>Herefordshire, County of</t>
  </si>
  <si>
    <t>Pembrokeshire</t>
  </si>
  <si>
    <t>Norwich</t>
  </si>
  <si>
    <t>Fareham</t>
  </si>
  <si>
    <t>Torbay</t>
  </si>
  <si>
    <t>Derbyshire Dales</t>
  </si>
  <si>
    <t>York</t>
  </si>
  <si>
    <t>Eastleigh</t>
  </si>
  <si>
    <t>Canterbury</t>
  </si>
  <si>
    <t>Tonbridge and Malling</t>
  </si>
  <si>
    <t>North Tyneside</t>
  </si>
  <si>
    <t>West Oxfordshire</t>
  </si>
  <si>
    <t>North Yorkshire</t>
  </si>
  <si>
    <t>Plymouth</t>
  </si>
  <si>
    <t>Bournemouth, Christchurch and Poole</t>
  </si>
  <si>
    <t>Flintshire</t>
  </si>
  <si>
    <t>Crawley</t>
  </si>
  <si>
    <t>Sevenoaks</t>
  </si>
  <si>
    <t>Bromsgrove</t>
  </si>
  <si>
    <t>Bromley</t>
  </si>
  <si>
    <t>Cotswold</t>
  </si>
  <si>
    <t>Torridge</t>
  </si>
  <si>
    <t>Tunbridge Wells</t>
  </si>
  <si>
    <t>Wychavon</t>
  </si>
  <si>
    <t>Ribble Valley</t>
  </si>
  <si>
    <t>West Devon</t>
  </si>
  <si>
    <t>Havant</t>
  </si>
  <si>
    <t>Wiltshire</t>
  </si>
  <si>
    <t>Dacorum</t>
  </si>
  <si>
    <t>Watford</t>
  </si>
  <si>
    <t>Reading</t>
  </si>
  <si>
    <t>Isle of Wight</t>
  </si>
  <si>
    <t>Croydon</t>
  </si>
  <si>
    <t>Wrexham</t>
  </si>
  <si>
    <t>Brighton and Hove</t>
  </si>
  <si>
    <t>Westmorland and Furness</t>
  </si>
  <si>
    <t>Wealden</t>
  </si>
  <si>
    <t>West Suffolk</t>
  </si>
  <si>
    <t>Lancaster</t>
  </si>
  <si>
    <t>Waverley</t>
  </si>
  <si>
    <t>St Albans</t>
  </si>
  <si>
    <t>Harrow</t>
  </si>
  <si>
    <t>Warwick</t>
  </si>
  <si>
    <t>East Hertfordshire</t>
  </si>
  <si>
    <t>Teignbridge</t>
  </si>
  <si>
    <t>North East Lincolnshire</t>
  </si>
  <si>
    <t>Solihull</t>
  </si>
  <si>
    <t>Rutland</t>
  </si>
  <si>
    <t>East Devon</t>
  </si>
  <si>
    <t>Test Valley</t>
  </si>
  <si>
    <t>Uttlesford</t>
  </si>
  <si>
    <t>Dorset</t>
  </si>
  <si>
    <t>Hounslow</t>
  </si>
  <si>
    <t>South Cambridgeshire</t>
  </si>
  <si>
    <t>South Oxfordshire</t>
  </si>
  <si>
    <t>Lewes</t>
  </si>
  <si>
    <t>North Devon</t>
  </si>
  <si>
    <t>Chorley</t>
  </si>
  <si>
    <t>Eastbourne</t>
  </si>
  <si>
    <t>Surrey Heath</t>
  </si>
  <si>
    <t>Epping Forest</t>
  </si>
  <si>
    <t>Darlington</t>
  </si>
  <si>
    <t>Exeter</t>
  </si>
  <si>
    <t>Mid Sussex</t>
  </si>
  <si>
    <t>Newcastle upon Tyne</t>
  </si>
  <si>
    <t>Stratford-on-Avon</t>
  </si>
  <si>
    <t>Gwynedd</t>
  </si>
  <si>
    <t>Chichester</t>
  </si>
  <si>
    <t>New Forest</t>
  </si>
  <si>
    <t>Ceredigion</t>
  </si>
  <si>
    <t>West Berkshire</t>
  </si>
  <si>
    <t>Reigate and Banstead</t>
  </si>
  <si>
    <t>Tandridge</t>
  </si>
  <si>
    <t>Blackpool</t>
  </si>
  <si>
    <t>Kingston upon Thames</t>
  </si>
  <si>
    <t>Runnymede</t>
  </si>
  <si>
    <t>South Hams</t>
  </si>
  <si>
    <t>Cherwell</t>
  </si>
  <si>
    <t>Brent</t>
  </si>
  <si>
    <t>Northumberland</t>
  </si>
  <si>
    <t>East Hampshire</t>
  </si>
  <si>
    <t>Lewisham</t>
  </si>
  <si>
    <t>County Durham</t>
  </si>
  <si>
    <t>Guildford</t>
  </si>
  <si>
    <t>Haringey</t>
  </si>
  <si>
    <t>Merton</t>
  </si>
  <si>
    <t>Three Rivers</t>
  </si>
  <si>
    <t>Mole Valley</t>
  </si>
  <si>
    <t>Fylde</t>
  </si>
  <si>
    <t>Greenwich</t>
  </si>
  <si>
    <t>Woking</t>
  </si>
  <si>
    <t>Winchester</t>
  </si>
  <si>
    <t>South Tyneside</t>
  </si>
  <si>
    <t>Windsor and Maidenhead</t>
  </si>
  <si>
    <t>Cumberland</t>
  </si>
  <si>
    <t>Stockton-on-Tees</t>
  </si>
  <si>
    <t>Epsom and Ewell</t>
  </si>
  <si>
    <t>Wokingham</t>
  </si>
  <si>
    <t>Redcar and Cleveland</t>
  </si>
  <si>
    <t>Sunderland</t>
  </si>
  <si>
    <t>Vale of White Horse</t>
  </si>
  <si>
    <t>Barnet</t>
  </si>
  <si>
    <t>Elmbridge</t>
  </si>
  <si>
    <t>Oxford</t>
  </si>
  <si>
    <t>Gateshead</t>
  </si>
  <si>
    <t>Horsham</t>
  </si>
  <si>
    <t>Hart</t>
  </si>
  <si>
    <t>Hartlepool</t>
  </si>
  <si>
    <t>Richmond upon Thames</t>
  </si>
  <si>
    <t>Ealing</t>
  </si>
  <si>
    <t>Cambridge</t>
  </si>
  <si>
    <t>Middlesbrough</t>
  </si>
  <si>
    <t>Hackney</t>
  </si>
  <si>
    <t>Tower Hamlets</t>
  </si>
  <si>
    <t>Lambeth</t>
  </si>
  <si>
    <t>Wandsworth</t>
  </si>
  <si>
    <t>Southwark</t>
  </si>
  <si>
    <t>Islington</t>
  </si>
  <si>
    <t>Camden</t>
  </si>
  <si>
    <t>City of London</t>
  </si>
  <si>
    <t>Kensington and Chelsea</t>
  </si>
  <si>
    <t>Westminster</t>
  </si>
  <si>
    <t>Hammersmith and Fulham</t>
  </si>
  <si>
    <t>price_to_income_ratio</t>
  </si>
  <si>
    <t>Row Labels</t>
  </si>
  <si>
    <t>Grand Total</t>
  </si>
  <si>
    <t>Column Labels</t>
  </si>
  <si>
    <t>Nominal median price (avg)</t>
  </si>
  <si>
    <t>Note: "Nominal median price (avg)" averages each region's median price across the group, this is not the same as a true England &amp; Wales national median.</t>
  </si>
  <si>
    <t>England &amp; Wales Affordability Model</t>
  </si>
  <si>
    <t>District</t>
  </si>
  <si>
    <t>Region</t>
  </si>
  <si>
    <t>Median Price (latest)</t>
  </si>
  <si>
    <t>MARKET DATA</t>
  </si>
  <si>
    <t>Median gross annual pay</t>
  </si>
  <si>
    <t>Price-to-income ratio</t>
  </si>
  <si>
    <t>ASSUMPTIONS</t>
  </si>
  <si>
    <t>Deposit %</t>
  </si>
  <si>
    <t>Mortgage rate (annual)</t>
  </si>
  <si>
    <t>Term (years)</t>
  </si>
  <si>
    <t>Loan-to-income cap</t>
  </si>
  <si>
    <t>RESULTS</t>
  </si>
  <si>
    <t>Deposit (£)</t>
  </si>
  <si>
    <t>Loan amount (£)</t>
  </si>
  <si>
    <t>Loan-to-income multiple</t>
  </si>
  <si>
    <t>Monthly mortgage payment</t>
  </si>
  <si>
    <t>Required income (at 4.5x cap)</t>
  </si>
  <si>
    <t>districts_sorted</t>
  </si>
  <si>
    <t>Mortgage rate ↓</t>
  </si>
  <si>
    <t>Deposit size →</t>
  </si>
  <si>
    <t>WHAT-IF: MONTHLY PAYMENT BY RATE × DEPOSIT SIZE</t>
  </si>
  <si>
    <t>NATIONWIDE CONTEXT</t>
  </si>
  <si>
    <t>Districts where a median earner can't buy</t>
  </si>
  <si>
    <t xml:space="preserve">…out of districts with earnings data </t>
  </si>
  <si>
    <t>Median district price-to-income ratio</t>
  </si>
  <si>
    <t>Earners per household (median incomes)</t>
  </si>
  <si>
    <t>Income gap vs household income</t>
  </si>
  <si>
    <t>Payment as % of gross household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</si>
</sst>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8" formatCode="_(* #,##0_);_(* \(#,##0\);_(* &quot;-&quot;??_);_(@_)"/>
    <numFmt numFmtId="169" formatCode="&quot;£&quot;#,##0"/>
    <numFmt numFmtId="170" formatCode="0.0"/>
    <numFmt numFmtId="171" formatCode="0.0&quot;x&quot;"/>
    <numFmt numFmtId="174" formatCode="0.0%"/>
    <numFmt numFmtId="175" formatCode=";;;"/>
  </numFmts>
  <fonts count="9" x14ac:knownFonts="1">
    <font>
      <sz val="12"/>
      <color theme="1"/>
      <name val="Aptos Narrow"/>
      <family val="2"/>
      <scheme val="minor"/>
    </font>
    <font>
      <sz val="12"/>
      <color rgb="FFFF0000"/>
      <name val="Aptos Narrow (Body)"/>
    </font>
    <font>
      <sz val="14"/>
      <color theme="1" tint="4.9989318521683403E-2"/>
      <name val="Aptos Narrow"/>
      <scheme val="minor"/>
    </font>
    <font>
      <b/>
      <sz val="12"/>
      <color theme="1"/>
      <name val="Times New Roman"/>
      <family val="1"/>
    </font>
    <font>
      <sz val="12"/>
      <color theme="1"/>
      <name val="Times New Roman"/>
      <family val="1"/>
    </font>
    <font>
      <b/>
      <sz val="16"/>
      <color theme="1"/>
      <name val="Times New Roman"/>
      <family val="1"/>
    </font>
    <font>
      <sz val="12"/>
      <color theme="1" tint="0.499984740745262"/>
      <name val="Aptos Narrow"/>
      <family val="2"/>
      <scheme val="minor"/>
    </font>
    <font>
      <i/>
      <sz val="12"/>
      <color theme="1" tint="0.499984740745262"/>
      <name val="Aptos Narrow"/>
      <scheme val="minor"/>
    </font>
    <font>
      <i/>
      <sz val="12"/>
      <color theme="1"/>
      <name val="Times New Roman"/>
      <family val="1"/>
    </font>
  </fonts>
  <fills count="4">
    <fill>
      <patternFill patternType="none"/>
    </fill>
    <fill>
      <patternFill patternType="gray125"/>
    </fill>
    <fill>
      <patternFill patternType="solid">
        <fgColor theme="0" tint="-0.24994659260841701"/>
        <bgColor indexed="64"/>
      </patternFill>
    </fill>
    <fill>
      <patternFill patternType="solid">
        <fgColor theme="3" tint="0.74996185186315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NumberFormat="1"/>
    <xf numFmtId="0" fontId="1" fillId="0" borderId="0" xfId="0" applyFont="1" applyAlignment="1"/>
    <xf numFmtId="0" fontId="0" fillId="0" borderId="0" xfId="0" applyAlignment="1"/>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168" fontId="0" fillId="0" borderId="0" xfId="0" applyNumberFormat="1" applyAlignment="1">
      <alignment vertical="center"/>
    </xf>
    <xf numFmtId="0" fontId="0" fillId="0" borderId="0" xfId="0" pivotButton="1" applyAlignment="1">
      <alignment horizontal="center" vertical="center" wrapText="1"/>
    </xf>
    <xf numFmtId="0" fontId="0" fillId="0" borderId="0" xfId="0" pivotButton="1" applyAlignment="1">
      <alignment horizontal="left"/>
    </xf>
    <xf numFmtId="0" fontId="0" fillId="0" borderId="0" xfId="0" applyAlignment="1">
      <alignment horizontal="center" vertical="center"/>
    </xf>
    <xf numFmtId="0" fontId="2" fillId="0" borderId="0" xfId="0" applyFont="1" applyAlignment="1">
      <alignment horizontal="left"/>
    </xf>
    <xf numFmtId="169" fontId="0" fillId="0" borderId="1" xfId="0" applyNumberFormat="1" applyBorder="1"/>
    <xf numFmtId="0" fontId="3" fillId="0" borderId="0" xfId="0" applyFont="1"/>
    <xf numFmtId="0" fontId="4" fillId="0" borderId="1" xfId="0" applyFont="1" applyBorder="1"/>
    <xf numFmtId="0" fontId="4" fillId="2" borderId="1" xfId="0" applyFont="1" applyFill="1" applyBorder="1"/>
    <xf numFmtId="0" fontId="3" fillId="0" borderId="0" xfId="0" applyFont="1" applyFill="1"/>
    <xf numFmtId="0" fontId="4" fillId="0" borderId="1" xfId="0" applyFont="1" applyFill="1" applyBorder="1"/>
    <xf numFmtId="0" fontId="4" fillId="0" borderId="0" xfId="0" applyFont="1"/>
    <xf numFmtId="0" fontId="4" fillId="3" borderId="1" xfId="0" applyFont="1" applyFill="1" applyBorder="1"/>
    <xf numFmtId="169" fontId="4" fillId="0" borderId="1" xfId="0" applyNumberFormat="1" applyFont="1" applyBorder="1"/>
    <xf numFmtId="170" fontId="4" fillId="0" borderId="1" xfId="0" applyNumberFormat="1" applyFont="1" applyBorder="1"/>
    <xf numFmtId="9" fontId="4" fillId="2" borderId="1" xfId="0" applyNumberFormat="1" applyFont="1" applyFill="1" applyBorder="1"/>
    <xf numFmtId="10" fontId="4" fillId="2" borderId="1" xfId="0" applyNumberFormat="1" applyFont="1" applyFill="1" applyBorder="1"/>
    <xf numFmtId="171" fontId="4" fillId="0" borderId="1" xfId="0" applyNumberFormat="1" applyFont="1" applyBorder="1"/>
    <xf numFmtId="174" fontId="4" fillId="0" borderId="1" xfId="0" applyNumberFormat="1" applyFont="1" applyBorder="1"/>
    <xf numFmtId="0" fontId="5" fillId="0" borderId="1" xfId="0" applyFont="1" applyBorder="1"/>
    <xf numFmtId="0" fontId="0" fillId="0" borderId="0" xfId="0" applyBorder="1"/>
    <xf numFmtId="175" fontId="4" fillId="0" borderId="0" xfId="0" applyNumberFormat="1" applyFont="1" applyBorder="1"/>
    <xf numFmtId="9" fontId="4" fillId="0" borderId="0" xfId="0" applyNumberFormat="1" applyFont="1" applyBorder="1"/>
    <xf numFmtId="174" fontId="4" fillId="0" borderId="0" xfId="0" applyNumberFormat="1" applyFont="1" applyBorder="1"/>
    <xf numFmtId="0" fontId="6" fillId="0" borderId="0" xfId="0" applyFont="1"/>
    <xf numFmtId="0" fontId="7" fillId="0" borderId="0" xfId="0" applyFont="1" applyBorder="1" applyAlignment="1">
      <alignment horizontal="right"/>
    </xf>
    <xf numFmtId="0" fontId="3" fillId="0" borderId="0" xfId="0" applyFont="1" applyBorder="1"/>
    <xf numFmtId="0" fontId="8" fillId="0" borderId="0" xfId="0" applyFont="1"/>
  </cellXfs>
  <cellStyles count="1">
    <cellStyle name="Normal" xfId="0" builtinId="0"/>
  </cellStyles>
  <dxfs count="27">
    <dxf>
      <alignment vertical="center"/>
    </dxf>
    <dxf>
      <alignment vertical="center"/>
    </dxf>
    <dxf>
      <alignment horizontal="center"/>
    </dxf>
    <dxf>
      <alignment horizontal="center"/>
    </dxf>
    <dxf>
      <alignment horizontal="left"/>
    </dxf>
    <dxf>
      <alignment horizontal="center"/>
    </dxf>
    <dxf>
      <alignment vertical="center"/>
    </dxf>
    <dxf>
      <alignment vertical="center"/>
    </dxf>
    <dxf>
      <alignment vertical="center"/>
    </dxf>
    <dxf>
      <alignment vertical="center"/>
    </dxf>
    <dxf>
      <alignment vertical="center"/>
    </dxf>
    <dxf>
      <alignment vertical="center"/>
    </dxf>
    <dxf>
      <numFmt numFmtId="168" formatCode="_(* #,##0_);_(* \(#,##0\);_(* &quot;-&quot;??_);_(@_)"/>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[EW_Housing_Affordability_Model.xlsx]Pivot!PivotTable1</c:name>
    <c:fmtId val="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Median House Price by Region - Detached Properties, 1995-2025</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Pivot!$B$2:$B$3</c:f>
              <c:strCache>
                <c:ptCount val="1"/>
                <c:pt idx="0">
                  <c:v>East Midlands</c:v>
                </c:pt>
              </c:strCache>
            </c:strRef>
          </c:tx>
          <c:spPr>
            <a:ln w="28575" cap="rnd">
              <a:solidFill>
                <a:schemeClr val="accent1"/>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Pivot!$B$4:$B$35</c:f>
              <c:numCache>
                <c:formatCode>_(* #,##0_);_(* \(#,##0\);_(* "-"??_);_(@_)</c:formatCode>
                <c:ptCount val="31"/>
                <c:pt idx="0">
                  <c:v>70000</c:v>
                </c:pt>
                <c:pt idx="1">
                  <c:v>72500</c:v>
                </c:pt>
                <c:pt idx="2">
                  <c:v>77000</c:v>
                </c:pt>
                <c:pt idx="3">
                  <c:v>81950</c:v>
                </c:pt>
                <c:pt idx="4">
                  <c:v>87000</c:v>
                </c:pt>
                <c:pt idx="5">
                  <c:v>97000</c:v>
                </c:pt>
                <c:pt idx="6">
                  <c:v>112500</c:v>
                </c:pt>
                <c:pt idx="7">
                  <c:v>135000</c:v>
                </c:pt>
                <c:pt idx="8">
                  <c:v>167000</c:v>
                </c:pt>
                <c:pt idx="9">
                  <c:v>187000</c:v>
                </c:pt>
                <c:pt idx="10">
                  <c:v>199950</c:v>
                </c:pt>
                <c:pt idx="11">
                  <c:v>205000</c:v>
                </c:pt>
                <c:pt idx="12">
                  <c:v>218000</c:v>
                </c:pt>
                <c:pt idx="13">
                  <c:v>210000</c:v>
                </c:pt>
                <c:pt idx="14">
                  <c:v>191500</c:v>
                </c:pt>
                <c:pt idx="15">
                  <c:v>205000</c:v>
                </c:pt>
                <c:pt idx="16">
                  <c:v>199950</c:v>
                </c:pt>
                <c:pt idx="17">
                  <c:v>199999</c:v>
                </c:pt>
                <c:pt idx="18">
                  <c:v>204000</c:v>
                </c:pt>
                <c:pt idx="19">
                  <c:v>219950</c:v>
                </c:pt>
                <c:pt idx="20">
                  <c:v>235000</c:v>
                </c:pt>
                <c:pt idx="21">
                  <c:v>247000</c:v>
                </c:pt>
                <c:pt idx="22">
                  <c:v>264000</c:v>
                </c:pt>
                <c:pt idx="23">
                  <c:v>275000</c:v>
                </c:pt>
                <c:pt idx="24">
                  <c:v>280000</c:v>
                </c:pt>
                <c:pt idx="25">
                  <c:v>295000</c:v>
                </c:pt>
                <c:pt idx="26">
                  <c:v>315000</c:v>
                </c:pt>
                <c:pt idx="27">
                  <c:v>343500</c:v>
                </c:pt>
                <c:pt idx="28">
                  <c:v>345000</c:v>
                </c:pt>
                <c:pt idx="29">
                  <c:v>345000</c:v>
                </c:pt>
                <c:pt idx="30">
                  <c:v>345000</c:v>
                </c:pt>
              </c:numCache>
            </c:numRef>
          </c:val>
          <c:smooth val="0"/>
          <c:extLst>
            <c:ext xmlns:c16="http://schemas.microsoft.com/office/drawing/2014/chart" uri="{C3380CC4-5D6E-409C-BE32-E72D297353CC}">
              <c16:uniqueId val="{00000000-6A33-704C-9350-2A84BC4394D8}"/>
            </c:ext>
          </c:extLst>
        </c:ser>
        <c:ser>
          <c:idx val="1"/>
          <c:order val="1"/>
          <c:tx>
            <c:strRef>
              <c:f>Pivot!$C$2:$C$3</c:f>
              <c:strCache>
                <c:ptCount val="1"/>
                <c:pt idx="0">
                  <c:v>East of England</c:v>
                </c:pt>
              </c:strCache>
            </c:strRef>
          </c:tx>
          <c:spPr>
            <a:ln w="28575" cap="rnd">
              <a:solidFill>
                <a:schemeClr val="accent2"/>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Pivot!$C$4:$C$35</c:f>
              <c:numCache>
                <c:formatCode>_(* #,##0_);_(* \(#,##0\);_(* "-"??_);_(@_)</c:formatCode>
                <c:ptCount val="31"/>
                <c:pt idx="0">
                  <c:v>87000</c:v>
                </c:pt>
                <c:pt idx="1">
                  <c:v>89000</c:v>
                </c:pt>
                <c:pt idx="2">
                  <c:v>97000</c:v>
                </c:pt>
                <c:pt idx="3">
                  <c:v>110000</c:v>
                </c:pt>
                <c:pt idx="4">
                  <c:v>120000</c:v>
                </c:pt>
                <c:pt idx="5">
                  <c:v>140000</c:v>
                </c:pt>
                <c:pt idx="6">
                  <c:v>155000</c:v>
                </c:pt>
                <c:pt idx="7">
                  <c:v>185000</c:v>
                </c:pt>
                <c:pt idx="8">
                  <c:v>215000</c:v>
                </c:pt>
                <c:pt idx="9">
                  <c:v>235000</c:v>
                </c:pt>
                <c:pt idx="10">
                  <c:v>247000</c:v>
                </c:pt>
                <c:pt idx="11">
                  <c:v>250000</c:v>
                </c:pt>
                <c:pt idx="12">
                  <c:v>280000</c:v>
                </c:pt>
                <c:pt idx="13">
                  <c:v>275000</c:v>
                </c:pt>
                <c:pt idx="14">
                  <c:v>249995</c:v>
                </c:pt>
                <c:pt idx="15">
                  <c:v>280000</c:v>
                </c:pt>
                <c:pt idx="16">
                  <c:v>265500</c:v>
                </c:pt>
                <c:pt idx="17">
                  <c:v>270000</c:v>
                </c:pt>
                <c:pt idx="18">
                  <c:v>276000</c:v>
                </c:pt>
                <c:pt idx="19">
                  <c:v>300000</c:v>
                </c:pt>
                <c:pt idx="20">
                  <c:v>330000</c:v>
                </c:pt>
                <c:pt idx="21">
                  <c:v>355000</c:v>
                </c:pt>
                <c:pt idx="22">
                  <c:v>379995</c:v>
                </c:pt>
                <c:pt idx="23">
                  <c:v>390000</c:v>
                </c:pt>
                <c:pt idx="24">
                  <c:v>390000</c:v>
                </c:pt>
                <c:pt idx="25">
                  <c:v>412500</c:v>
                </c:pt>
                <c:pt idx="26">
                  <c:v>435000</c:v>
                </c:pt>
                <c:pt idx="27">
                  <c:v>475000</c:v>
                </c:pt>
                <c:pt idx="28">
                  <c:v>470000</c:v>
                </c:pt>
                <c:pt idx="29">
                  <c:v>462500</c:v>
                </c:pt>
                <c:pt idx="30">
                  <c:v>470000</c:v>
                </c:pt>
              </c:numCache>
            </c:numRef>
          </c:val>
          <c:smooth val="0"/>
          <c:extLst>
            <c:ext xmlns:c16="http://schemas.microsoft.com/office/drawing/2014/chart" uri="{C3380CC4-5D6E-409C-BE32-E72D297353CC}">
              <c16:uniqueId val="{00000001-6A33-704C-9350-2A84BC4394D8}"/>
            </c:ext>
          </c:extLst>
        </c:ser>
        <c:ser>
          <c:idx val="2"/>
          <c:order val="2"/>
          <c:tx>
            <c:strRef>
              <c:f>Pivot!$D$2:$D$3</c:f>
              <c:strCache>
                <c:ptCount val="1"/>
                <c:pt idx="0">
                  <c:v>London</c:v>
                </c:pt>
              </c:strCache>
            </c:strRef>
          </c:tx>
          <c:spPr>
            <a:ln w="28575" cap="rnd">
              <a:solidFill>
                <a:schemeClr val="accent3"/>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Pivot!$D$4:$D$35</c:f>
              <c:numCache>
                <c:formatCode>_(* #,##0_);_(* \(#,##0\);_(* "-"??_);_(@_)</c:formatCode>
                <c:ptCount val="31"/>
                <c:pt idx="0">
                  <c:v>156000</c:v>
                </c:pt>
                <c:pt idx="1">
                  <c:v>165000</c:v>
                </c:pt>
                <c:pt idx="2">
                  <c:v>187500</c:v>
                </c:pt>
                <c:pt idx="3">
                  <c:v>218000</c:v>
                </c:pt>
                <c:pt idx="4">
                  <c:v>245000</c:v>
                </c:pt>
                <c:pt idx="5">
                  <c:v>295000</c:v>
                </c:pt>
                <c:pt idx="6">
                  <c:v>310000</c:v>
                </c:pt>
                <c:pt idx="7">
                  <c:v>351500</c:v>
                </c:pt>
                <c:pt idx="8">
                  <c:v>390000</c:v>
                </c:pt>
                <c:pt idx="9">
                  <c:v>430000</c:v>
                </c:pt>
                <c:pt idx="10">
                  <c:v>450000</c:v>
                </c:pt>
                <c:pt idx="11">
                  <c:v>480000</c:v>
                </c:pt>
                <c:pt idx="12">
                  <c:v>522000</c:v>
                </c:pt>
                <c:pt idx="13">
                  <c:v>539475</c:v>
                </c:pt>
                <c:pt idx="14">
                  <c:v>491000</c:v>
                </c:pt>
                <c:pt idx="15">
                  <c:v>530000</c:v>
                </c:pt>
                <c:pt idx="16">
                  <c:v>547500</c:v>
                </c:pt>
                <c:pt idx="17">
                  <c:v>546250</c:v>
                </c:pt>
                <c:pt idx="18">
                  <c:v>569995</c:v>
                </c:pt>
                <c:pt idx="19">
                  <c:v>635000</c:v>
                </c:pt>
                <c:pt idx="20">
                  <c:v>690000</c:v>
                </c:pt>
                <c:pt idx="21">
                  <c:v>750000</c:v>
                </c:pt>
                <c:pt idx="22">
                  <c:v>780000</c:v>
                </c:pt>
                <c:pt idx="23">
                  <c:v>773000</c:v>
                </c:pt>
                <c:pt idx="24">
                  <c:v>765000</c:v>
                </c:pt>
                <c:pt idx="25">
                  <c:v>800000</c:v>
                </c:pt>
                <c:pt idx="26">
                  <c:v>850000</c:v>
                </c:pt>
                <c:pt idx="27">
                  <c:v>945000</c:v>
                </c:pt>
                <c:pt idx="28">
                  <c:v>935000</c:v>
                </c:pt>
                <c:pt idx="29">
                  <c:v>900000</c:v>
                </c:pt>
                <c:pt idx="30">
                  <c:v>900000</c:v>
                </c:pt>
              </c:numCache>
            </c:numRef>
          </c:val>
          <c:smooth val="0"/>
          <c:extLst>
            <c:ext xmlns:c16="http://schemas.microsoft.com/office/drawing/2014/chart" uri="{C3380CC4-5D6E-409C-BE32-E72D297353CC}">
              <c16:uniqueId val="{00000002-6A33-704C-9350-2A84BC4394D8}"/>
            </c:ext>
          </c:extLst>
        </c:ser>
        <c:ser>
          <c:idx val="3"/>
          <c:order val="3"/>
          <c:tx>
            <c:strRef>
              <c:f>Pivot!$E$2:$E$3</c:f>
              <c:strCache>
                <c:ptCount val="1"/>
                <c:pt idx="0">
                  <c:v>North East</c:v>
                </c:pt>
              </c:strCache>
            </c:strRef>
          </c:tx>
          <c:spPr>
            <a:ln w="28575" cap="rnd">
              <a:solidFill>
                <a:schemeClr val="accent4"/>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Pivot!$E$4:$E$35</c:f>
              <c:numCache>
                <c:formatCode>_(* #,##0_);_(* \(#,##0\);_(* "-"??_);_(@_)</c:formatCode>
                <c:ptCount val="31"/>
                <c:pt idx="0">
                  <c:v>76950</c:v>
                </c:pt>
                <c:pt idx="1">
                  <c:v>78500</c:v>
                </c:pt>
                <c:pt idx="2">
                  <c:v>82000</c:v>
                </c:pt>
                <c:pt idx="3">
                  <c:v>83995</c:v>
                </c:pt>
                <c:pt idx="4">
                  <c:v>88000</c:v>
                </c:pt>
                <c:pt idx="5">
                  <c:v>92500</c:v>
                </c:pt>
                <c:pt idx="6">
                  <c:v>99950</c:v>
                </c:pt>
                <c:pt idx="7">
                  <c:v>121950</c:v>
                </c:pt>
                <c:pt idx="8">
                  <c:v>155000</c:v>
                </c:pt>
                <c:pt idx="9">
                  <c:v>183500</c:v>
                </c:pt>
                <c:pt idx="10">
                  <c:v>199950</c:v>
                </c:pt>
                <c:pt idx="11">
                  <c:v>205000</c:v>
                </c:pt>
                <c:pt idx="12">
                  <c:v>215000</c:v>
                </c:pt>
                <c:pt idx="13">
                  <c:v>213000</c:v>
                </c:pt>
                <c:pt idx="14">
                  <c:v>195000</c:v>
                </c:pt>
                <c:pt idx="15">
                  <c:v>210000</c:v>
                </c:pt>
                <c:pt idx="16">
                  <c:v>200000</c:v>
                </c:pt>
                <c:pt idx="17">
                  <c:v>199995</c:v>
                </c:pt>
                <c:pt idx="18">
                  <c:v>200000</c:v>
                </c:pt>
                <c:pt idx="19">
                  <c:v>209495</c:v>
                </c:pt>
                <c:pt idx="20">
                  <c:v>215995</c:v>
                </c:pt>
                <c:pt idx="21">
                  <c:v>220000</c:v>
                </c:pt>
                <c:pt idx="22">
                  <c:v>229950</c:v>
                </c:pt>
                <c:pt idx="23">
                  <c:v>235000</c:v>
                </c:pt>
                <c:pt idx="24">
                  <c:v>245000</c:v>
                </c:pt>
                <c:pt idx="25">
                  <c:v>250000</c:v>
                </c:pt>
                <c:pt idx="26">
                  <c:v>267950</c:v>
                </c:pt>
                <c:pt idx="27">
                  <c:v>288995</c:v>
                </c:pt>
                <c:pt idx="28">
                  <c:v>293995</c:v>
                </c:pt>
                <c:pt idx="29">
                  <c:v>292995</c:v>
                </c:pt>
                <c:pt idx="30">
                  <c:v>299999</c:v>
                </c:pt>
              </c:numCache>
            </c:numRef>
          </c:val>
          <c:smooth val="0"/>
          <c:extLst>
            <c:ext xmlns:c16="http://schemas.microsoft.com/office/drawing/2014/chart" uri="{C3380CC4-5D6E-409C-BE32-E72D297353CC}">
              <c16:uniqueId val="{00000003-6A33-704C-9350-2A84BC4394D8}"/>
            </c:ext>
          </c:extLst>
        </c:ser>
        <c:ser>
          <c:idx val="4"/>
          <c:order val="4"/>
          <c:tx>
            <c:strRef>
              <c:f>Pivot!$F$2:$F$3</c:f>
              <c:strCache>
                <c:ptCount val="1"/>
                <c:pt idx="0">
                  <c:v>North West</c:v>
                </c:pt>
              </c:strCache>
            </c:strRef>
          </c:tx>
          <c:spPr>
            <a:ln w="28575" cap="rnd">
              <a:solidFill>
                <a:schemeClr val="accent5"/>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Pivot!$F$4:$F$35</c:f>
              <c:numCache>
                <c:formatCode>_(* #,##0_);_(* \(#,##0\);_(* "-"??_);_(@_)</c:formatCode>
                <c:ptCount val="31"/>
                <c:pt idx="0">
                  <c:v>82500</c:v>
                </c:pt>
                <c:pt idx="1">
                  <c:v>84500</c:v>
                </c:pt>
                <c:pt idx="2">
                  <c:v>89000</c:v>
                </c:pt>
                <c:pt idx="3">
                  <c:v>92000</c:v>
                </c:pt>
                <c:pt idx="4">
                  <c:v>98100</c:v>
                </c:pt>
                <c:pt idx="5">
                  <c:v>109000</c:v>
                </c:pt>
                <c:pt idx="6">
                  <c:v>119995</c:v>
                </c:pt>
                <c:pt idx="7">
                  <c:v>140000</c:v>
                </c:pt>
                <c:pt idx="8">
                  <c:v>171000</c:v>
                </c:pt>
                <c:pt idx="9">
                  <c:v>200500</c:v>
                </c:pt>
                <c:pt idx="10">
                  <c:v>224000</c:v>
                </c:pt>
                <c:pt idx="11">
                  <c:v>232500</c:v>
                </c:pt>
                <c:pt idx="12">
                  <c:v>245000</c:v>
                </c:pt>
                <c:pt idx="13">
                  <c:v>240472</c:v>
                </c:pt>
                <c:pt idx="14">
                  <c:v>226000</c:v>
                </c:pt>
                <c:pt idx="15">
                  <c:v>237000</c:v>
                </c:pt>
                <c:pt idx="16">
                  <c:v>230000</c:v>
                </c:pt>
                <c:pt idx="17">
                  <c:v>225000</c:v>
                </c:pt>
                <c:pt idx="18">
                  <c:v>230000</c:v>
                </c:pt>
                <c:pt idx="19">
                  <c:v>236995</c:v>
                </c:pt>
                <c:pt idx="20">
                  <c:v>247750</c:v>
                </c:pt>
                <c:pt idx="21">
                  <c:v>257000</c:v>
                </c:pt>
                <c:pt idx="22">
                  <c:v>267500</c:v>
                </c:pt>
                <c:pt idx="23">
                  <c:v>275000</c:v>
                </c:pt>
                <c:pt idx="24">
                  <c:v>280000</c:v>
                </c:pt>
                <c:pt idx="25">
                  <c:v>295000</c:v>
                </c:pt>
                <c:pt idx="26">
                  <c:v>323000</c:v>
                </c:pt>
                <c:pt idx="27">
                  <c:v>349995</c:v>
                </c:pt>
                <c:pt idx="28">
                  <c:v>359995</c:v>
                </c:pt>
                <c:pt idx="29">
                  <c:v>360000</c:v>
                </c:pt>
                <c:pt idx="30">
                  <c:v>370000</c:v>
                </c:pt>
              </c:numCache>
            </c:numRef>
          </c:val>
          <c:smooth val="0"/>
          <c:extLst>
            <c:ext xmlns:c16="http://schemas.microsoft.com/office/drawing/2014/chart" uri="{C3380CC4-5D6E-409C-BE32-E72D297353CC}">
              <c16:uniqueId val="{00000004-6A33-704C-9350-2A84BC4394D8}"/>
            </c:ext>
          </c:extLst>
        </c:ser>
        <c:ser>
          <c:idx val="5"/>
          <c:order val="5"/>
          <c:tx>
            <c:strRef>
              <c:f>Pivot!$G$2:$G$3</c:f>
              <c:strCache>
                <c:ptCount val="1"/>
                <c:pt idx="0">
                  <c:v>South East</c:v>
                </c:pt>
              </c:strCache>
            </c:strRef>
          </c:tx>
          <c:spPr>
            <a:ln w="28575" cap="rnd">
              <a:solidFill>
                <a:schemeClr val="accent6"/>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Pivot!$G$4:$G$35</c:f>
              <c:numCache>
                <c:formatCode>_(* #,##0_);_(* \(#,##0\);_(* "-"??_);_(@_)</c:formatCode>
                <c:ptCount val="31"/>
                <c:pt idx="0">
                  <c:v>115000</c:v>
                </c:pt>
                <c:pt idx="1">
                  <c:v>118700</c:v>
                </c:pt>
                <c:pt idx="2">
                  <c:v>131000</c:v>
                </c:pt>
                <c:pt idx="3">
                  <c:v>149000</c:v>
                </c:pt>
                <c:pt idx="4">
                  <c:v>164000</c:v>
                </c:pt>
                <c:pt idx="5">
                  <c:v>193000</c:v>
                </c:pt>
                <c:pt idx="6">
                  <c:v>216500</c:v>
                </c:pt>
                <c:pt idx="7">
                  <c:v>248000</c:v>
                </c:pt>
                <c:pt idx="8">
                  <c:v>279950</c:v>
                </c:pt>
                <c:pt idx="9">
                  <c:v>300000</c:v>
                </c:pt>
                <c:pt idx="10">
                  <c:v>315000</c:v>
                </c:pt>
                <c:pt idx="11">
                  <c:v>334000</c:v>
                </c:pt>
                <c:pt idx="12">
                  <c:v>365000</c:v>
                </c:pt>
                <c:pt idx="13">
                  <c:v>360000</c:v>
                </c:pt>
                <c:pt idx="14">
                  <c:v>330000</c:v>
                </c:pt>
                <c:pt idx="15">
                  <c:v>370000</c:v>
                </c:pt>
                <c:pt idx="16">
                  <c:v>362000</c:v>
                </c:pt>
                <c:pt idx="17">
                  <c:v>362000</c:v>
                </c:pt>
                <c:pt idx="18">
                  <c:v>375000</c:v>
                </c:pt>
                <c:pt idx="19">
                  <c:v>407000</c:v>
                </c:pt>
                <c:pt idx="20">
                  <c:v>430000</c:v>
                </c:pt>
                <c:pt idx="21">
                  <c:v>469000</c:v>
                </c:pt>
                <c:pt idx="22">
                  <c:v>487000</c:v>
                </c:pt>
                <c:pt idx="23">
                  <c:v>495000</c:v>
                </c:pt>
                <c:pt idx="24">
                  <c:v>495000</c:v>
                </c:pt>
                <c:pt idx="25">
                  <c:v>520000</c:v>
                </c:pt>
                <c:pt idx="26">
                  <c:v>557500</c:v>
                </c:pt>
                <c:pt idx="27">
                  <c:v>605000</c:v>
                </c:pt>
                <c:pt idx="28">
                  <c:v>600000</c:v>
                </c:pt>
                <c:pt idx="29">
                  <c:v>590000</c:v>
                </c:pt>
                <c:pt idx="30">
                  <c:v>600000</c:v>
                </c:pt>
              </c:numCache>
            </c:numRef>
          </c:val>
          <c:smooth val="0"/>
          <c:extLst>
            <c:ext xmlns:c16="http://schemas.microsoft.com/office/drawing/2014/chart" uri="{C3380CC4-5D6E-409C-BE32-E72D297353CC}">
              <c16:uniqueId val="{00000005-6A33-704C-9350-2A84BC4394D8}"/>
            </c:ext>
          </c:extLst>
        </c:ser>
        <c:ser>
          <c:idx val="6"/>
          <c:order val="6"/>
          <c:tx>
            <c:strRef>
              <c:f>Pivot!$H$2:$H$3</c:f>
              <c:strCache>
                <c:ptCount val="1"/>
                <c:pt idx="0">
                  <c:v>South West</c:v>
                </c:pt>
              </c:strCache>
            </c:strRef>
          </c:tx>
          <c:spPr>
            <a:ln w="28575" cap="rnd">
              <a:solidFill>
                <a:schemeClr val="accent1">
                  <a:lumMod val="60000"/>
                </a:schemeClr>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Pivot!$H$4:$H$35</c:f>
              <c:numCache>
                <c:formatCode>_(* #,##0_);_(* \(#,##0\);_(* "-"??_);_(@_)</c:formatCode>
                <c:ptCount val="31"/>
                <c:pt idx="0">
                  <c:v>84995</c:v>
                </c:pt>
                <c:pt idx="1">
                  <c:v>87000</c:v>
                </c:pt>
                <c:pt idx="2">
                  <c:v>95000</c:v>
                </c:pt>
                <c:pt idx="3">
                  <c:v>105000</c:v>
                </c:pt>
                <c:pt idx="4">
                  <c:v>117950</c:v>
                </c:pt>
                <c:pt idx="5">
                  <c:v>137000</c:v>
                </c:pt>
                <c:pt idx="6">
                  <c:v>153000</c:v>
                </c:pt>
                <c:pt idx="7">
                  <c:v>185000</c:v>
                </c:pt>
                <c:pt idx="8">
                  <c:v>225000</c:v>
                </c:pt>
                <c:pt idx="9">
                  <c:v>247000</c:v>
                </c:pt>
                <c:pt idx="10">
                  <c:v>250000</c:v>
                </c:pt>
                <c:pt idx="11">
                  <c:v>267000</c:v>
                </c:pt>
                <c:pt idx="12">
                  <c:v>290500</c:v>
                </c:pt>
                <c:pt idx="13">
                  <c:v>280000</c:v>
                </c:pt>
                <c:pt idx="14">
                  <c:v>250000</c:v>
                </c:pt>
                <c:pt idx="15">
                  <c:v>277500</c:v>
                </c:pt>
                <c:pt idx="16">
                  <c:v>272000</c:v>
                </c:pt>
                <c:pt idx="17">
                  <c:v>270000</c:v>
                </c:pt>
                <c:pt idx="18">
                  <c:v>275000</c:v>
                </c:pt>
                <c:pt idx="19">
                  <c:v>295000</c:v>
                </c:pt>
                <c:pt idx="20">
                  <c:v>313000</c:v>
                </c:pt>
                <c:pt idx="21">
                  <c:v>330000</c:v>
                </c:pt>
                <c:pt idx="22">
                  <c:v>350000</c:v>
                </c:pt>
                <c:pt idx="23">
                  <c:v>360000</c:v>
                </c:pt>
                <c:pt idx="24">
                  <c:v>365000</c:v>
                </c:pt>
                <c:pt idx="25">
                  <c:v>383000</c:v>
                </c:pt>
                <c:pt idx="26">
                  <c:v>415000</c:v>
                </c:pt>
                <c:pt idx="27">
                  <c:v>455000</c:v>
                </c:pt>
                <c:pt idx="28">
                  <c:v>460000</c:v>
                </c:pt>
                <c:pt idx="29">
                  <c:v>449997</c:v>
                </c:pt>
                <c:pt idx="30">
                  <c:v>450000</c:v>
                </c:pt>
              </c:numCache>
            </c:numRef>
          </c:val>
          <c:smooth val="0"/>
          <c:extLst>
            <c:ext xmlns:c16="http://schemas.microsoft.com/office/drawing/2014/chart" uri="{C3380CC4-5D6E-409C-BE32-E72D297353CC}">
              <c16:uniqueId val="{00000006-6A33-704C-9350-2A84BC4394D8}"/>
            </c:ext>
          </c:extLst>
        </c:ser>
        <c:ser>
          <c:idx val="7"/>
          <c:order val="7"/>
          <c:tx>
            <c:strRef>
              <c:f>Pivot!$I$2:$I$3</c:f>
              <c:strCache>
                <c:ptCount val="1"/>
                <c:pt idx="0">
                  <c:v>Wales</c:v>
                </c:pt>
              </c:strCache>
            </c:strRef>
          </c:tx>
          <c:spPr>
            <a:ln w="28575" cap="rnd">
              <a:solidFill>
                <a:schemeClr val="accent2">
                  <a:lumMod val="60000"/>
                </a:schemeClr>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Pivot!$I$4:$I$35</c:f>
              <c:numCache>
                <c:formatCode>_(* #,##0_);_(* \(#,##0\);_(* "-"??_);_(@_)</c:formatCode>
                <c:ptCount val="31"/>
                <c:pt idx="0">
                  <c:v>69000</c:v>
                </c:pt>
                <c:pt idx="1">
                  <c:v>70500</c:v>
                </c:pt>
                <c:pt idx="2">
                  <c:v>75000</c:v>
                </c:pt>
                <c:pt idx="3">
                  <c:v>79000</c:v>
                </c:pt>
                <c:pt idx="4">
                  <c:v>83000</c:v>
                </c:pt>
                <c:pt idx="5">
                  <c:v>89500</c:v>
                </c:pt>
                <c:pt idx="6">
                  <c:v>97995</c:v>
                </c:pt>
                <c:pt idx="7">
                  <c:v>119950</c:v>
                </c:pt>
                <c:pt idx="8">
                  <c:v>146858</c:v>
                </c:pt>
                <c:pt idx="9">
                  <c:v>177000</c:v>
                </c:pt>
                <c:pt idx="10">
                  <c:v>195000</c:v>
                </c:pt>
                <c:pt idx="11">
                  <c:v>202500</c:v>
                </c:pt>
                <c:pt idx="12">
                  <c:v>218000</c:v>
                </c:pt>
                <c:pt idx="13">
                  <c:v>210000</c:v>
                </c:pt>
                <c:pt idx="14">
                  <c:v>195000</c:v>
                </c:pt>
                <c:pt idx="15">
                  <c:v>205000</c:v>
                </c:pt>
                <c:pt idx="16">
                  <c:v>198000</c:v>
                </c:pt>
                <c:pt idx="17">
                  <c:v>196748</c:v>
                </c:pt>
                <c:pt idx="18">
                  <c:v>200000</c:v>
                </c:pt>
                <c:pt idx="19">
                  <c:v>210000</c:v>
                </c:pt>
                <c:pt idx="20">
                  <c:v>215000</c:v>
                </c:pt>
                <c:pt idx="21">
                  <c:v>223000</c:v>
                </c:pt>
                <c:pt idx="22">
                  <c:v>230000</c:v>
                </c:pt>
                <c:pt idx="23">
                  <c:v>240000</c:v>
                </c:pt>
                <c:pt idx="24">
                  <c:v>249950</c:v>
                </c:pt>
                <c:pt idx="25">
                  <c:v>260000</c:v>
                </c:pt>
                <c:pt idx="26">
                  <c:v>291995</c:v>
                </c:pt>
                <c:pt idx="27">
                  <c:v>325000</c:v>
                </c:pt>
                <c:pt idx="28">
                  <c:v>325000</c:v>
                </c:pt>
                <c:pt idx="29">
                  <c:v>325000</c:v>
                </c:pt>
                <c:pt idx="30">
                  <c:v>328000</c:v>
                </c:pt>
              </c:numCache>
            </c:numRef>
          </c:val>
          <c:smooth val="0"/>
          <c:extLst>
            <c:ext xmlns:c16="http://schemas.microsoft.com/office/drawing/2014/chart" uri="{C3380CC4-5D6E-409C-BE32-E72D297353CC}">
              <c16:uniqueId val="{00000007-6A33-704C-9350-2A84BC4394D8}"/>
            </c:ext>
          </c:extLst>
        </c:ser>
        <c:ser>
          <c:idx val="8"/>
          <c:order val="8"/>
          <c:tx>
            <c:strRef>
              <c:f>Pivot!$J$2:$J$3</c:f>
              <c:strCache>
                <c:ptCount val="1"/>
                <c:pt idx="0">
                  <c:v>West Midlands</c:v>
                </c:pt>
              </c:strCache>
            </c:strRef>
          </c:tx>
          <c:spPr>
            <a:ln w="28575" cap="rnd">
              <a:solidFill>
                <a:srgbClr val="FF0000"/>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Pivot!$J$4:$J$35</c:f>
              <c:numCache>
                <c:formatCode>_(* #,##0_);_(* \(#,##0\);_(* "-"??_);_(@_)</c:formatCode>
                <c:ptCount val="31"/>
                <c:pt idx="0">
                  <c:v>84500</c:v>
                </c:pt>
                <c:pt idx="1">
                  <c:v>86000</c:v>
                </c:pt>
                <c:pt idx="2">
                  <c:v>92000</c:v>
                </c:pt>
                <c:pt idx="3">
                  <c:v>98950</c:v>
                </c:pt>
                <c:pt idx="4">
                  <c:v>110000</c:v>
                </c:pt>
                <c:pt idx="5">
                  <c:v>124000</c:v>
                </c:pt>
                <c:pt idx="6">
                  <c:v>138000</c:v>
                </c:pt>
                <c:pt idx="7">
                  <c:v>162500</c:v>
                </c:pt>
                <c:pt idx="8">
                  <c:v>192495</c:v>
                </c:pt>
                <c:pt idx="9">
                  <c:v>220000</c:v>
                </c:pt>
                <c:pt idx="10">
                  <c:v>235000</c:v>
                </c:pt>
                <c:pt idx="11">
                  <c:v>245000</c:v>
                </c:pt>
                <c:pt idx="12">
                  <c:v>250000</c:v>
                </c:pt>
                <c:pt idx="13">
                  <c:v>248950</c:v>
                </c:pt>
                <c:pt idx="14">
                  <c:v>233000</c:v>
                </c:pt>
                <c:pt idx="15">
                  <c:v>245000</c:v>
                </c:pt>
                <c:pt idx="16">
                  <c:v>240000</c:v>
                </c:pt>
                <c:pt idx="17">
                  <c:v>235500</c:v>
                </c:pt>
                <c:pt idx="18">
                  <c:v>240000</c:v>
                </c:pt>
                <c:pt idx="19">
                  <c:v>249995</c:v>
                </c:pt>
                <c:pt idx="20">
                  <c:v>266000</c:v>
                </c:pt>
                <c:pt idx="21">
                  <c:v>280000</c:v>
                </c:pt>
                <c:pt idx="22">
                  <c:v>294850</c:v>
                </c:pt>
                <c:pt idx="23">
                  <c:v>309995</c:v>
                </c:pt>
                <c:pt idx="24">
                  <c:v>315000</c:v>
                </c:pt>
                <c:pt idx="25">
                  <c:v>329995</c:v>
                </c:pt>
                <c:pt idx="26">
                  <c:v>353000</c:v>
                </c:pt>
                <c:pt idx="27">
                  <c:v>380000</c:v>
                </c:pt>
                <c:pt idx="28">
                  <c:v>390000</c:v>
                </c:pt>
                <c:pt idx="29">
                  <c:v>385000</c:v>
                </c:pt>
                <c:pt idx="30">
                  <c:v>392500</c:v>
                </c:pt>
              </c:numCache>
            </c:numRef>
          </c:val>
          <c:smooth val="0"/>
          <c:extLst>
            <c:ext xmlns:c16="http://schemas.microsoft.com/office/drawing/2014/chart" uri="{C3380CC4-5D6E-409C-BE32-E72D297353CC}">
              <c16:uniqueId val="{00000008-6A33-704C-9350-2A84BC4394D8}"/>
            </c:ext>
          </c:extLst>
        </c:ser>
        <c:ser>
          <c:idx val="9"/>
          <c:order val="9"/>
          <c:tx>
            <c:strRef>
              <c:f>Pivot!$K$2:$K$3</c:f>
              <c:strCache>
                <c:ptCount val="1"/>
                <c:pt idx="0">
                  <c:v>Yorkshire and The Humber</c:v>
                </c:pt>
              </c:strCache>
            </c:strRef>
          </c:tx>
          <c:spPr>
            <a:ln w="28575" cap="rnd">
              <a:solidFill>
                <a:srgbClr val="FFC000"/>
              </a:solidFill>
              <a:round/>
            </a:ln>
            <a:effectLst/>
          </c:spPr>
          <c:marker>
            <c:symbol val="none"/>
          </c:marker>
          <c:cat>
            <c:strRef>
              <c:f>Pivot!$A$4:$A$35</c:f>
              <c:strCache>
                <c:ptCount val="3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strCache>
            </c:strRef>
          </c:cat>
          <c:val>
            <c:numRef>
              <c:f>Pivot!$K$4:$K$35</c:f>
              <c:numCache>
                <c:formatCode>_(* #,##0_);_(* \(#,##0\);_(* "-"??_);_(@_)</c:formatCode>
                <c:ptCount val="31"/>
                <c:pt idx="0">
                  <c:v>78500</c:v>
                </c:pt>
                <c:pt idx="1">
                  <c:v>80000</c:v>
                </c:pt>
                <c:pt idx="2">
                  <c:v>83000</c:v>
                </c:pt>
                <c:pt idx="3">
                  <c:v>85000</c:v>
                </c:pt>
                <c:pt idx="4">
                  <c:v>89500</c:v>
                </c:pt>
                <c:pt idx="5">
                  <c:v>95000</c:v>
                </c:pt>
                <c:pt idx="6">
                  <c:v>105000</c:v>
                </c:pt>
                <c:pt idx="7">
                  <c:v>129000</c:v>
                </c:pt>
                <c:pt idx="8">
                  <c:v>161950</c:v>
                </c:pt>
                <c:pt idx="9">
                  <c:v>189950</c:v>
                </c:pt>
                <c:pt idx="10">
                  <c:v>208500</c:v>
                </c:pt>
                <c:pt idx="11">
                  <c:v>220000</c:v>
                </c:pt>
                <c:pt idx="12">
                  <c:v>230000</c:v>
                </c:pt>
                <c:pt idx="13">
                  <c:v>230000</c:v>
                </c:pt>
                <c:pt idx="14">
                  <c:v>215000</c:v>
                </c:pt>
                <c:pt idx="15">
                  <c:v>228500</c:v>
                </c:pt>
                <c:pt idx="16">
                  <c:v>218000</c:v>
                </c:pt>
                <c:pt idx="17">
                  <c:v>218000</c:v>
                </c:pt>
                <c:pt idx="18">
                  <c:v>220000</c:v>
                </c:pt>
                <c:pt idx="19">
                  <c:v>230000</c:v>
                </c:pt>
                <c:pt idx="20">
                  <c:v>239950</c:v>
                </c:pt>
                <c:pt idx="21">
                  <c:v>249950</c:v>
                </c:pt>
                <c:pt idx="22">
                  <c:v>255000</c:v>
                </c:pt>
                <c:pt idx="23">
                  <c:v>267000</c:v>
                </c:pt>
                <c:pt idx="24">
                  <c:v>275000</c:v>
                </c:pt>
                <c:pt idx="25">
                  <c:v>290000</c:v>
                </c:pt>
                <c:pt idx="26">
                  <c:v>315000</c:v>
                </c:pt>
                <c:pt idx="27">
                  <c:v>333416</c:v>
                </c:pt>
                <c:pt idx="28">
                  <c:v>344950</c:v>
                </c:pt>
                <c:pt idx="29">
                  <c:v>340000</c:v>
                </c:pt>
                <c:pt idx="30">
                  <c:v>350000</c:v>
                </c:pt>
              </c:numCache>
            </c:numRef>
          </c:val>
          <c:smooth val="0"/>
          <c:extLst>
            <c:ext xmlns:c16="http://schemas.microsoft.com/office/drawing/2014/chart" uri="{C3380CC4-5D6E-409C-BE32-E72D297353CC}">
              <c16:uniqueId val="{00000009-6A33-704C-9350-2A84BC4394D8}"/>
            </c:ext>
          </c:extLst>
        </c:ser>
        <c:dLbls>
          <c:showLegendKey val="0"/>
          <c:showVal val="0"/>
          <c:showCatName val="0"/>
          <c:showSerName val="0"/>
          <c:showPercent val="0"/>
          <c:showBubbleSize val="0"/>
        </c:dLbls>
        <c:smooth val="0"/>
        <c:axId val="1989333007"/>
        <c:axId val="2132150623"/>
      </c:lineChart>
      <c:catAx>
        <c:axId val="198933300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2150623"/>
        <c:crosses val="autoZero"/>
        <c:auto val="1"/>
        <c:lblAlgn val="ctr"/>
        <c:lblOffset val="100"/>
        <c:noMultiLvlLbl val="0"/>
      </c:catAx>
      <c:valAx>
        <c:axId val="213215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Median Price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89333007"/>
        <c:crosses val="autoZero"/>
        <c:crossBetween val="between"/>
      </c:valAx>
      <c:spPr>
        <a:noFill/>
        <a:ln>
          <a:noFill/>
        </a:ln>
        <a:effectLst/>
      </c:spPr>
    </c:plotArea>
    <c:legend>
      <c:legendPos val="t"/>
      <c:layout>
        <c:manualLayout>
          <c:xMode val="edge"/>
          <c:yMode val="edge"/>
          <c:x val="0.14867431331192218"/>
          <c:y val="6.6833474663477416E-2"/>
          <c:w val="0.85132568668807784"/>
          <c:h val="5.936368706448728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8466</xdr:colOff>
      <xdr:row>1</xdr:row>
      <xdr:rowOff>0</xdr:rowOff>
    </xdr:from>
    <xdr:to>
      <xdr:col>26</xdr:col>
      <xdr:colOff>28223</xdr:colOff>
      <xdr:row>35</xdr:row>
      <xdr:rowOff>42334</xdr:rowOff>
    </xdr:to>
    <xdr:graphicFrame macro="">
      <xdr:nvGraphicFramePr>
        <xdr:cNvPr id="4" name="Chart 3">
          <a:extLst>
            <a:ext uri="{FF2B5EF4-FFF2-40B4-BE49-F238E27FC236}">
              <a16:creationId xmlns:a16="http://schemas.microsoft.com/office/drawing/2014/main" id="{1FE2A2C0-A311-F84B-9406-81DF8A926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824773</xdr:colOff>
      <xdr:row>1</xdr:row>
      <xdr:rowOff>14111</xdr:rowOff>
    </xdr:from>
    <xdr:to>
      <xdr:col>13</xdr:col>
      <xdr:colOff>635000</xdr:colOff>
      <xdr:row>5</xdr:row>
      <xdr:rowOff>14110</xdr:rowOff>
    </xdr:to>
    <mc:AlternateContent xmlns:mc="http://schemas.openxmlformats.org/markup-compatibility/2006">
      <mc:Choice xmlns:a14="http://schemas.microsoft.com/office/drawing/2010/main" Requires="a14">
        <xdr:graphicFrame macro="">
          <xdr:nvGraphicFramePr>
            <xdr:cNvPr id="2" name="type_name">
              <a:extLst>
                <a:ext uri="{FF2B5EF4-FFF2-40B4-BE49-F238E27FC236}">
                  <a16:creationId xmlns:a16="http://schemas.microsoft.com/office/drawing/2014/main" id="{4144A5D5-06BF-A2F4-BE66-97B3F410081F}"/>
                </a:ext>
              </a:extLst>
            </xdr:cNvPr>
            <xdr:cNvGraphicFramePr/>
          </xdr:nvGraphicFramePr>
          <xdr:xfrm>
            <a:off x="0" y="0"/>
            <a:ext cx="0" cy="0"/>
          </xdr:xfrm>
          <a:graphic>
            <a:graphicData uri="http://schemas.microsoft.com/office/drawing/2010/slicer">
              <sle:slicer xmlns:sle="http://schemas.microsoft.com/office/drawing/2010/slicer" name="type_name"/>
            </a:graphicData>
          </a:graphic>
        </xdr:graphicFrame>
      </mc:Choice>
      <mc:Fallback>
        <xdr:sp macro="" textlink="">
          <xdr:nvSpPr>
            <xdr:cNvPr id="0" name=""/>
            <xdr:cNvSpPr>
              <a:spLocks noTextEdit="1"/>
            </xdr:cNvSpPr>
          </xdr:nvSpPr>
          <xdr:spPr>
            <a:xfrm>
              <a:off x="12127773" y="211667"/>
              <a:ext cx="1489449" cy="14111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705557</xdr:colOff>
      <xdr:row>5</xdr:row>
      <xdr:rowOff>166510</xdr:rowOff>
    </xdr:from>
    <xdr:to>
      <xdr:col>19</xdr:col>
      <xdr:colOff>239889</xdr:colOff>
      <xdr:row>33</xdr:row>
      <xdr:rowOff>293512</xdr:rowOff>
    </xdr:to>
    <xdr:sp macro="" textlink="">
      <xdr:nvSpPr>
        <xdr:cNvPr id="5" name="Rectangle 4">
          <a:extLst>
            <a:ext uri="{FF2B5EF4-FFF2-40B4-BE49-F238E27FC236}">
              <a16:creationId xmlns:a16="http://schemas.microsoft.com/office/drawing/2014/main" id="{D7578C6C-8DCE-F28E-6285-7A9EFD76453C}"/>
            </a:ext>
          </a:extLst>
        </xdr:cNvPr>
        <xdr:cNvSpPr/>
      </xdr:nvSpPr>
      <xdr:spPr>
        <a:xfrm>
          <a:off x="17850557" y="1662288"/>
          <a:ext cx="366888" cy="9214557"/>
        </a:xfrm>
        <a:prstGeom prst="rect">
          <a:avLst/>
        </a:prstGeom>
        <a:noFill/>
        <a:ln>
          <a:solidFill>
            <a:schemeClr val="bg1">
              <a:lumMod val="50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719668</xdr:colOff>
      <xdr:row>5</xdr:row>
      <xdr:rowOff>146534</xdr:rowOff>
    </xdr:from>
    <xdr:to>
      <xdr:col>20</xdr:col>
      <xdr:colOff>282223</xdr:colOff>
      <xdr:row>6</xdr:row>
      <xdr:rowOff>276802</xdr:rowOff>
    </xdr:to>
    <xdr:sp macro="" textlink="">
      <xdr:nvSpPr>
        <xdr:cNvPr id="6" name="Rounded Rectangle 5">
          <a:extLst>
            <a:ext uri="{FF2B5EF4-FFF2-40B4-BE49-F238E27FC236}">
              <a16:creationId xmlns:a16="http://schemas.microsoft.com/office/drawing/2014/main" id="{77BBEFB8-7E8D-67A1-F646-AADDAB908A59}"/>
            </a:ext>
          </a:extLst>
        </xdr:cNvPr>
        <xdr:cNvSpPr/>
      </xdr:nvSpPr>
      <xdr:spPr>
        <a:xfrm>
          <a:off x="17032112" y="1642312"/>
          <a:ext cx="2060222" cy="454823"/>
        </a:xfrm>
        <a:prstGeom prst="roundRect">
          <a:avLst/>
        </a:prstGeom>
        <a:solidFill>
          <a:schemeClr val="accent2">
            <a:lumMod val="20000"/>
            <a:lumOff val="80000"/>
          </a:schemeClr>
        </a:solidFill>
        <a:ln>
          <a:solidFill>
            <a:schemeClr val="bg1">
              <a:lumMod val="50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2009 Fi</a:t>
          </a:r>
          <a:r>
            <a:rPr lang="en-GB" sz="1600" baseline="0">
              <a:solidFill>
                <a:schemeClr val="tx1"/>
              </a:solidFill>
            </a:rPr>
            <a:t>nancial Crisis</a:t>
          </a:r>
          <a:endParaRPr lang="en-GB" sz="1600">
            <a:solidFill>
              <a:schemeClr val="tx1"/>
            </a:solidFill>
          </a:endParaRPr>
        </a:p>
      </xdr:txBody>
    </xdr:sp>
    <xdr:clientData/>
  </xdr:twoCellAnchor>
  <xdr:twoCellAnchor>
    <xdr:from>
      <xdr:col>22</xdr:col>
      <xdr:colOff>745068</xdr:colOff>
      <xdr:row>5</xdr:row>
      <xdr:rowOff>166510</xdr:rowOff>
    </xdr:from>
    <xdr:to>
      <xdr:col>23</xdr:col>
      <xdr:colOff>279400</xdr:colOff>
      <xdr:row>33</xdr:row>
      <xdr:rowOff>293512</xdr:rowOff>
    </xdr:to>
    <xdr:sp macro="" textlink="">
      <xdr:nvSpPr>
        <xdr:cNvPr id="8" name="Rectangle 7">
          <a:extLst>
            <a:ext uri="{FF2B5EF4-FFF2-40B4-BE49-F238E27FC236}">
              <a16:creationId xmlns:a16="http://schemas.microsoft.com/office/drawing/2014/main" id="{39BA0A78-B80A-F341-AD9C-55CD0896572D}"/>
            </a:ext>
          </a:extLst>
        </xdr:cNvPr>
        <xdr:cNvSpPr/>
      </xdr:nvSpPr>
      <xdr:spPr>
        <a:xfrm>
          <a:off x="21220290" y="1662288"/>
          <a:ext cx="366888" cy="9214557"/>
        </a:xfrm>
        <a:prstGeom prst="rect">
          <a:avLst/>
        </a:prstGeom>
        <a:noFill/>
        <a:ln>
          <a:solidFill>
            <a:schemeClr val="bg1">
              <a:lumMod val="50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14111</xdr:colOff>
      <xdr:row>5</xdr:row>
      <xdr:rowOff>146534</xdr:rowOff>
    </xdr:from>
    <xdr:to>
      <xdr:col>25</xdr:col>
      <xdr:colOff>42332</xdr:colOff>
      <xdr:row>6</xdr:row>
      <xdr:rowOff>276802</xdr:rowOff>
    </xdr:to>
    <xdr:sp macro="" textlink="">
      <xdr:nvSpPr>
        <xdr:cNvPr id="7" name="Rounded Rectangle 6">
          <a:extLst>
            <a:ext uri="{FF2B5EF4-FFF2-40B4-BE49-F238E27FC236}">
              <a16:creationId xmlns:a16="http://schemas.microsoft.com/office/drawing/2014/main" id="{1D253AB2-8E59-AD47-951E-6C4DFC44B05A}"/>
            </a:ext>
          </a:extLst>
        </xdr:cNvPr>
        <xdr:cNvSpPr/>
      </xdr:nvSpPr>
      <xdr:spPr>
        <a:xfrm>
          <a:off x="19656778" y="1642312"/>
          <a:ext cx="3358443" cy="454823"/>
        </a:xfrm>
        <a:prstGeom prst="roundRect">
          <a:avLst/>
        </a:prstGeom>
        <a:solidFill>
          <a:schemeClr val="accent2">
            <a:lumMod val="20000"/>
            <a:lumOff val="80000"/>
          </a:schemeClr>
        </a:solidFill>
        <a:ln>
          <a:solidFill>
            <a:schemeClr val="bg1">
              <a:lumMod val="50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2019: London Dip (Brexit Uncertainty)</a:t>
          </a:r>
        </a:p>
      </xdr:txBody>
    </xdr:sp>
    <xdr:clientData/>
  </xdr:twoCellAnchor>
  <xdr:twoCellAnchor>
    <xdr:from>
      <xdr:col>21</xdr:col>
      <xdr:colOff>818444</xdr:colOff>
      <xdr:row>34</xdr:row>
      <xdr:rowOff>56444</xdr:rowOff>
    </xdr:from>
    <xdr:to>
      <xdr:col>25</xdr:col>
      <xdr:colOff>70555</xdr:colOff>
      <xdr:row>34</xdr:row>
      <xdr:rowOff>239889</xdr:rowOff>
    </xdr:to>
    <xdr:sp macro="" textlink="">
      <xdr:nvSpPr>
        <xdr:cNvPr id="9" name="TextBox 8">
          <a:extLst>
            <a:ext uri="{FF2B5EF4-FFF2-40B4-BE49-F238E27FC236}">
              <a16:creationId xmlns:a16="http://schemas.microsoft.com/office/drawing/2014/main" id="{DD982534-CC01-1575-3086-32ACB6E80388}"/>
            </a:ext>
          </a:extLst>
        </xdr:cNvPr>
        <xdr:cNvSpPr txBox="1"/>
      </xdr:nvSpPr>
      <xdr:spPr>
        <a:xfrm>
          <a:off x="20461111" y="11077222"/>
          <a:ext cx="2582333" cy="183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lumMod val="50000"/>
                </a:schemeClr>
              </a:solidFill>
            </a:rPr>
            <a:t>Source: HM Land Registry PPD, ONS ASHE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RASHKO Pavlo" refreshedDate="46202.888982638891" createdVersion="8" refreshedVersion="8" minRefreshableVersion="3" recordCount="1240" xr:uid="{7B5F61DE-0B8B-D947-A44C-7DD96F005EF0}">
  <cacheSource type="worksheet">
    <worksheetSource name="PivotSource"/>
  </cacheSource>
  <cacheFields count="8">
    <cacheField name="year" numFmtId="0">
      <sharedItems containsSemiMixedTypes="0" containsString="0" containsNumber="1" containsInteger="1" minValue="1995" maxValue="2025" count="31">
        <n v="1995"/>
        <n v="1996"/>
        <n v="1997"/>
        <n v="1998"/>
        <n v="1999"/>
        <n v="2000"/>
        <n v="2001"/>
        <n v="2002"/>
        <n v="2003"/>
        <n v="2004"/>
        <n v="2005"/>
        <n v="2006"/>
        <n v="2007"/>
        <n v="2008"/>
        <n v="2009"/>
        <n v="2010"/>
        <n v="2011"/>
        <n v="2012"/>
        <n v="2013"/>
        <n v="2014"/>
        <n v="2015"/>
        <n v="2016"/>
        <n v="2017"/>
        <n v="2018"/>
        <n v="2019"/>
        <n v="2020"/>
        <n v="2021"/>
        <n v="2022"/>
        <n v="2023"/>
        <n v="2024"/>
        <n v="2025"/>
      </sharedItems>
    </cacheField>
    <cacheField name="region_name" numFmtId="0">
      <sharedItems count="10">
        <s v="East Midlands"/>
        <s v="East of England"/>
        <s v="London"/>
        <s v="North East"/>
        <s v="North West"/>
        <s v="South East"/>
        <s v="South West"/>
        <s v="Wales"/>
        <s v="West Midlands"/>
        <s v="Yorkshire and The Humber"/>
      </sharedItems>
    </cacheField>
    <cacheField name="type_name" numFmtId="0">
      <sharedItems count="4">
        <s v="Detached"/>
        <s v="Flat / Maisonette"/>
        <s v="Semi-detached"/>
        <s v="Terraced"/>
      </sharedItems>
    </cacheField>
    <cacheField name="transaction_count" numFmtId="0">
      <sharedItems containsSemiMixedTypes="0" containsString="0" containsNumber="1" containsInteger="1" minValue="1427" maxValue="88402"/>
    </cacheField>
    <cacheField name="nominal_median_price" numFmtId="0">
      <sharedItems containsSemiMixedTypes="0" containsString="0" containsNumber="1" containsInteger="1" minValue="30000" maxValue="945000"/>
    </cacheField>
    <cacheField name="nominal_mean_price" numFmtId="0">
      <sharedItems containsSemiMixedTypes="0" containsString="0" containsNumber="1" containsInteger="1" minValue="33754" maxValue="1382019"/>
    </cacheField>
    <cacheField name="real_median_price" numFmtId="0">
      <sharedItems containsSemiMixedTypes="0" containsString="0" containsNumber="1" containsInteger="1" minValue="62162" maxValue="1082241"/>
    </cacheField>
    <cacheField name="cpih_index" numFmtId="0">
      <sharedItems containsSemiMixedTypes="0" containsString="0" containsNumber="1" minValue="66.599999999999994" maxValue="138"/>
    </cacheField>
  </cacheFields>
  <extLst>
    <ext xmlns:x14="http://schemas.microsoft.com/office/spreadsheetml/2009/9/main" uri="{725AE2AE-9491-48be-B2B4-4EB974FC3084}">
      <x14:pivotCacheDefinition pivotCacheId="879532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0">
  <r>
    <x v="0"/>
    <x v="0"/>
    <x v="0"/>
    <n v="22405"/>
    <n v="70000"/>
    <n v="79970"/>
    <n v="145045"/>
    <n v="66.599999999999994"/>
  </r>
  <r>
    <x v="0"/>
    <x v="0"/>
    <x v="1"/>
    <n v="1868"/>
    <n v="31000"/>
    <n v="34210"/>
    <n v="64234"/>
    <n v="66.599999999999994"/>
  </r>
  <r>
    <x v="0"/>
    <x v="0"/>
    <x v="2"/>
    <n v="23629"/>
    <n v="43000"/>
    <n v="45198"/>
    <n v="89099"/>
    <n v="66.599999999999994"/>
  </r>
  <r>
    <x v="0"/>
    <x v="0"/>
    <x v="3"/>
    <n v="16523"/>
    <n v="33500"/>
    <n v="35171"/>
    <n v="69414"/>
    <n v="66.599999999999994"/>
  </r>
  <r>
    <x v="0"/>
    <x v="1"/>
    <x v="0"/>
    <n v="28225"/>
    <n v="87000"/>
    <n v="103977"/>
    <n v="180270"/>
    <n v="66.599999999999994"/>
  </r>
  <r>
    <x v="0"/>
    <x v="1"/>
    <x v="1"/>
    <n v="11309"/>
    <n v="39000"/>
    <n v="42422"/>
    <n v="80811"/>
    <n v="66.599999999999994"/>
  </r>
  <r>
    <x v="0"/>
    <x v="1"/>
    <x v="2"/>
    <n v="27529"/>
    <n v="56000"/>
    <n v="61907"/>
    <n v="116036"/>
    <n v="66.599999999999994"/>
  </r>
  <r>
    <x v="0"/>
    <x v="1"/>
    <x v="3"/>
    <n v="25873"/>
    <n v="47400"/>
    <n v="51490"/>
    <n v="98216"/>
    <n v="66.599999999999994"/>
  </r>
  <r>
    <x v="0"/>
    <x v="2"/>
    <x v="0"/>
    <n v="5574"/>
    <n v="156000"/>
    <n v="202794"/>
    <n v="323243"/>
    <n v="66.599999999999994"/>
  </r>
  <r>
    <x v="0"/>
    <x v="2"/>
    <x v="1"/>
    <n v="46418"/>
    <n v="59995"/>
    <n v="80203"/>
    <n v="124314"/>
    <n v="66.599999999999994"/>
  </r>
  <r>
    <x v="0"/>
    <x v="2"/>
    <x v="2"/>
    <n v="20163"/>
    <n v="88000"/>
    <n v="108906"/>
    <n v="182342"/>
    <n v="66.599999999999994"/>
  </r>
  <r>
    <x v="0"/>
    <x v="2"/>
    <x v="3"/>
    <n v="36194"/>
    <n v="72000"/>
    <n v="98820"/>
    <n v="149189"/>
    <n v="66.599999999999994"/>
  </r>
  <r>
    <x v="0"/>
    <x v="3"/>
    <x v="0"/>
    <n v="5958"/>
    <n v="76950"/>
    <n v="86518"/>
    <n v="159446"/>
    <n v="66.599999999999994"/>
  </r>
  <r>
    <x v="0"/>
    <x v="3"/>
    <x v="1"/>
    <n v="3385"/>
    <n v="30000"/>
    <n v="33754"/>
    <n v="62162"/>
    <n v="66.599999999999994"/>
  </r>
  <r>
    <x v="0"/>
    <x v="3"/>
    <x v="2"/>
    <n v="10998"/>
    <n v="47000"/>
    <n v="48689"/>
    <n v="97387"/>
    <n v="66.599999999999994"/>
  </r>
  <r>
    <x v="0"/>
    <x v="3"/>
    <x v="3"/>
    <n v="12123"/>
    <n v="33000"/>
    <n v="36358"/>
    <n v="68378"/>
    <n v="66.599999999999994"/>
  </r>
  <r>
    <x v="0"/>
    <x v="4"/>
    <x v="0"/>
    <n v="18461"/>
    <n v="82500"/>
    <n v="94431"/>
    <n v="170946"/>
    <n v="66.599999999999994"/>
  </r>
  <r>
    <x v="0"/>
    <x v="4"/>
    <x v="1"/>
    <n v="5359"/>
    <n v="38950"/>
    <n v="43567"/>
    <n v="80707"/>
    <n v="66.599999999999994"/>
  </r>
  <r>
    <x v="0"/>
    <x v="4"/>
    <x v="2"/>
    <n v="34463"/>
    <n v="49000"/>
    <n v="51488"/>
    <n v="101532"/>
    <n v="66.599999999999994"/>
  </r>
  <r>
    <x v="0"/>
    <x v="4"/>
    <x v="3"/>
    <n v="34977"/>
    <n v="32950"/>
    <n v="34494"/>
    <n v="68275"/>
    <n v="66.599999999999994"/>
  </r>
  <r>
    <x v="0"/>
    <x v="5"/>
    <x v="0"/>
    <n v="41115"/>
    <n v="115000"/>
    <n v="134667"/>
    <n v="238288"/>
    <n v="66.599999999999994"/>
  </r>
  <r>
    <x v="0"/>
    <x v="5"/>
    <x v="1"/>
    <n v="22563"/>
    <n v="43000"/>
    <n v="47671"/>
    <n v="89099"/>
    <n v="66.599999999999994"/>
  </r>
  <r>
    <x v="0"/>
    <x v="5"/>
    <x v="2"/>
    <n v="40576"/>
    <n v="66950"/>
    <n v="72182"/>
    <n v="138725"/>
    <n v="66.599999999999994"/>
  </r>
  <r>
    <x v="0"/>
    <x v="5"/>
    <x v="3"/>
    <n v="38071"/>
    <n v="54000"/>
    <n v="57774"/>
    <n v="111892"/>
    <n v="66.599999999999994"/>
  </r>
  <r>
    <x v="0"/>
    <x v="6"/>
    <x v="0"/>
    <n v="26014"/>
    <n v="84995"/>
    <n v="97245"/>
    <n v="176116"/>
    <n v="66.599999999999994"/>
  </r>
  <r>
    <x v="0"/>
    <x v="6"/>
    <x v="1"/>
    <n v="9891"/>
    <n v="38999"/>
    <n v="46407"/>
    <n v="80809"/>
    <n v="66.599999999999994"/>
  </r>
  <r>
    <x v="0"/>
    <x v="6"/>
    <x v="2"/>
    <n v="21872"/>
    <n v="54500"/>
    <n v="58138"/>
    <n v="112928"/>
    <n v="66.599999999999994"/>
  </r>
  <r>
    <x v="0"/>
    <x v="6"/>
    <x v="3"/>
    <n v="25284"/>
    <n v="45000"/>
    <n v="48288"/>
    <n v="93243"/>
    <n v="66.599999999999994"/>
  </r>
  <r>
    <x v="0"/>
    <x v="7"/>
    <x v="0"/>
    <n v="9253"/>
    <n v="69000"/>
    <n v="75057"/>
    <n v="142973"/>
    <n v="66.599999999999994"/>
  </r>
  <r>
    <x v="0"/>
    <x v="7"/>
    <x v="1"/>
    <n v="1427"/>
    <n v="36500"/>
    <n v="39993"/>
    <n v="75631"/>
    <n v="66.599999999999994"/>
  </r>
  <r>
    <x v="0"/>
    <x v="7"/>
    <x v="2"/>
    <n v="10934"/>
    <n v="45000"/>
    <n v="47409"/>
    <n v="93243"/>
    <n v="66.599999999999994"/>
  </r>
  <r>
    <x v="0"/>
    <x v="7"/>
    <x v="3"/>
    <n v="11891"/>
    <n v="35000"/>
    <n v="36336"/>
    <n v="72523"/>
    <n v="66.599999999999994"/>
  </r>
  <r>
    <x v="0"/>
    <x v="8"/>
    <x v="0"/>
    <n v="18679"/>
    <n v="84500"/>
    <n v="96947"/>
    <n v="175090"/>
    <n v="66.599999999999994"/>
  </r>
  <r>
    <x v="0"/>
    <x v="8"/>
    <x v="1"/>
    <n v="4894"/>
    <n v="36972"/>
    <n v="39763"/>
    <n v="76610"/>
    <n v="66.599999999999994"/>
  </r>
  <r>
    <x v="0"/>
    <x v="8"/>
    <x v="2"/>
    <n v="26428"/>
    <n v="49000"/>
    <n v="51563"/>
    <n v="101532"/>
    <n v="66.599999999999994"/>
  </r>
  <r>
    <x v="0"/>
    <x v="8"/>
    <x v="3"/>
    <n v="21473"/>
    <n v="38950"/>
    <n v="40653"/>
    <n v="80707"/>
    <n v="66.599999999999994"/>
  </r>
  <r>
    <x v="0"/>
    <x v="9"/>
    <x v="0"/>
    <n v="16085"/>
    <n v="78500"/>
    <n v="87941"/>
    <n v="162658"/>
    <n v="66.599999999999994"/>
  </r>
  <r>
    <x v="0"/>
    <x v="9"/>
    <x v="1"/>
    <n v="3066"/>
    <n v="38500"/>
    <n v="42570"/>
    <n v="79775"/>
    <n v="66.599999999999994"/>
  </r>
  <r>
    <x v="0"/>
    <x v="9"/>
    <x v="2"/>
    <n v="25620"/>
    <n v="47950"/>
    <n v="49708"/>
    <n v="99356"/>
    <n v="66.599999999999994"/>
  </r>
  <r>
    <x v="0"/>
    <x v="9"/>
    <x v="3"/>
    <n v="26189"/>
    <n v="34500"/>
    <n v="36622"/>
    <n v="71486"/>
    <n v="66.599999999999994"/>
  </r>
  <r>
    <x v="1"/>
    <x v="0"/>
    <x v="0"/>
    <n v="28315"/>
    <n v="72500"/>
    <n v="82240"/>
    <n v="146058"/>
    <n v="68.5"/>
  </r>
  <r>
    <x v="1"/>
    <x v="0"/>
    <x v="1"/>
    <n v="2128"/>
    <n v="31500"/>
    <n v="35368"/>
    <n v="63460"/>
    <n v="68.5"/>
  </r>
  <r>
    <x v="1"/>
    <x v="0"/>
    <x v="2"/>
    <n v="27200"/>
    <n v="43950"/>
    <n v="45759"/>
    <n v="88542"/>
    <n v="68.5"/>
  </r>
  <r>
    <x v="1"/>
    <x v="0"/>
    <x v="3"/>
    <n v="18893"/>
    <n v="33750"/>
    <n v="35545"/>
    <n v="67993"/>
    <n v="68.5"/>
  </r>
  <r>
    <x v="1"/>
    <x v="1"/>
    <x v="0"/>
    <n v="36005"/>
    <n v="89000"/>
    <n v="106715"/>
    <n v="179299"/>
    <n v="68.5"/>
  </r>
  <r>
    <x v="1"/>
    <x v="1"/>
    <x v="1"/>
    <n v="13169"/>
    <n v="38000"/>
    <n v="42360"/>
    <n v="76555"/>
    <n v="68.5"/>
  </r>
  <r>
    <x v="1"/>
    <x v="1"/>
    <x v="2"/>
    <n v="32912"/>
    <n v="57000"/>
    <n v="63613"/>
    <n v="114832"/>
    <n v="68.5"/>
  </r>
  <r>
    <x v="1"/>
    <x v="1"/>
    <x v="3"/>
    <n v="32431"/>
    <n v="48000"/>
    <n v="52595"/>
    <n v="96701"/>
    <n v="68.5"/>
  </r>
  <r>
    <x v="1"/>
    <x v="2"/>
    <x v="0"/>
    <n v="7376"/>
    <n v="165000"/>
    <n v="217827"/>
    <n v="332409"/>
    <n v="68.5"/>
  </r>
  <r>
    <x v="1"/>
    <x v="2"/>
    <x v="1"/>
    <n v="57841"/>
    <n v="64500"/>
    <n v="88802"/>
    <n v="129942"/>
    <n v="68.5"/>
  </r>
  <r>
    <x v="1"/>
    <x v="2"/>
    <x v="2"/>
    <n v="25013"/>
    <n v="92000"/>
    <n v="113836"/>
    <n v="185343"/>
    <n v="68.5"/>
  </r>
  <r>
    <x v="1"/>
    <x v="2"/>
    <x v="3"/>
    <n v="44733"/>
    <n v="75000"/>
    <n v="104592"/>
    <n v="151095"/>
    <n v="68.5"/>
  </r>
  <r>
    <x v="1"/>
    <x v="3"/>
    <x v="0"/>
    <n v="7439"/>
    <n v="78500"/>
    <n v="87999"/>
    <n v="158146"/>
    <n v="68.5"/>
  </r>
  <r>
    <x v="1"/>
    <x v="3"/>
    <x v="1"/>
    <n v="3738"/>
    <n v="31000"/>
    <n v="35372"/>
    <n v="62453"/>
    <n v="68.5"/>
  </r>
  <r>
    <x v="1"/>
    <x v="3"/>
    <x v="2"/>
    <n v="12967"/>
    <n v="48000"/>
    <n v="49602"/>
    <n v="96701"/>
    <n v="68.5"/>
  </r>
  <r>
    <x v="1"/>
    <x v="3"/>
    <x v="3"/>
    <n v="13302"/>
    <n v="33000"/>
    <n v="37365"/>
    <n v="66482"/>
    <n v="68.5"/>
  </r>
  <r>
    <x v="1"/>
    <x v="4"/>
    <x v="0"/>
    <n v="21915"/>
    <n v="84500"/>
    <n v="97170"/>
    <n v="170234"/>
    <n v="68.5"/>
  </r>
  <r>
    <x v="1"/>
    <x v="4"/>
    <x v="1"/>
    <n v="6372"/>
    <n v="39500"/>
    <n v="45958"/>
    <n v="79577"/>
    <n v="68.5"/>
  </r>
  <r>
    <x v="1"/>
    <x v="4"/>
    <x v="2"/>
    <n v="40228"/>
    <n v="49950"/>
    <n v="52346"/>
    <n v="100629"/>
    <n v="68.5"/>
  </r>
  <r>
    <x v="1"/>
    <x v="4"/>
    <x v="3"/>
    <n v="37873"/>
    <n v="32995"/>
    <n v="34865"/>
    <n v="66472"/>
    <n v="68.5"/>
  </r>
  <r>
    <x v="1"/>
    <x v="5"/>
    <x v="0"/>
    <n v="53293"/>
    <n v="118700"/>
    <n v="139706"/>
    <n v="239133"/>
    <n v="68.5"/>
  </r>
  <r>
    <x v="1"/>
    <x v="5"/>
    <x v="1"/>
    <n v="26847"/>
    <n v="43500"/>
    <n v="48840"/>
    <n v="87635"/>
    <n v="68.5"/>
  </r>
  <r>
    <x v="1"/>
    <x v="5"/>
    <x v="2"/>
    <n v="49631"/>
    <n v="69000"/>
    <n v="74709"/>
    <n v="139007"/>
    <n v="68.5"/>
  </r>
  <r>
    <x v="1"/>
    <x v="5"/>
    <x v="3"/>
    <n v="47595"/>
    <n v="55500"/>
    <n v="59909"/>
    <n v="111810"/>
    <n v="68.5"/>
  </r>
  <r>
    <x v="1"/>
    <x v="6"/>
    <x v="0"/>
    <n v="35330"/>
    <n v="87000"/>
    <n v="99941"/>
    <n v="175270"/>
    <n v="68.5"/>
  </r>
  <r>
    <x v="1"/>
    <x v="6"/>
    <x v="1"/>
    <n v="12231"/>
    <n v="40000"/>
    <n v="48059"/>
    <n v="80584"/>
    <n v="68.5"/>
  </r>
  <r>
    <x v="1"/>
    <x v="6"/>
    <x v="2"/>
    <n v="27048"/>
    <n v="55500"/>
    <n v="59672"/>
    <n v="111810"/>
    <n v="68.5"/>
  </r>
  <r>
    <x v="1"/>
    <x v="6"/>
    <x v="3"/>
    <n v="32141"/>
    <n v="45000"/>
    <n v="48970"/>
    <n v="90657"/>
    <n v="68.5"/>
  </r>
  <r>
    <x v="1"/>
    <x v="7"/>
    <x v="0"/>
    <n v="11990"/>
    <n v="70500"/>
    <n v="76813"/>
    <n v="142029"/>
    <n v="68.5"/>
  </r>
  <r>
    <x v="1"/>
    <x v="7"/>
    <x v="1"/>
    <n v="1603"/>
    <n v="38950"/>
    <n v="41272"/>
    <n v="78469"/>
    <n v="68.5"/>
  </r>
  <r>
    <x v="1"/>
    <x v="7"/>
    <x v="2"/>
    <n v="13332"/>
    <n v="45500"/>
    <n v="47582"/>
    <n v="91664"/>
    <n v="68.5"/>
  </r>
  <r>
    <x v="1"/>
    <x v="7"/>
    <x v="3"/>
    <n v="14117"/>
    <n v="35950"/>
    <n v="37221"/>
    <n v="72425"/>
    <n v="68.5"/>
  </r>
  <r>
    <x v="1"/>
    <x v="8"/>
    <x v="0"/>
    <n v="23513"/>
    <n v="86000"/>
    <n v="98457"/>
    <n v="173255"/>
    <n v="68.5"/>
  </r>
  <r>
    <x v="1"/>
    <x v="8"/>
    <x v="1"/>
    <n v="5681"/>
    <n v="37000"/>
    <n v="41283"/>
    <n v="74540"/>
    <n v="68.5"/>
  </r>
  <r>
    <x v="1"/>
    <x v="8"/>
    <x v="2"/>
    <n v="31098"/>
    <n v="50000"/>
    <n v="52937"/>
    <n v="100730"/>
    <n v="68.5"/>
  </r>
  <r>
    <x v="1"/>
    <x v="8"/>
    <x v="3"/>
    <n v="24523"/>
    <n v="39000"/>
    <n v="41198"/>
    <n v="78569"/>
    <n v="68.5"/>
  </r>
  <r>
    <x v="1"/>
    <x v="9"/>
    <x v="0"/>
    <n v="19260"/>
    <n v="80000"/>
    <n v="90867"/>
    <n v="161168"/>
    <n v="68.5"/>
  </r>
  <r>
    <x v="1"/>
    <x v="9"/>
    <x v="1"/>
    <n v="3425"/>
    <n v="39000"/>
    <n v="43653"/>
    <n v="78569"/>
    <n v="68.5"/>
  </r>
  <r>
    <x v="1"/>
    <x v="9"/>
    <x v="2"/>
    <n v="29488"/>
    <n v="48000"/>
    <n v="50221"/>
    <n v="96701"/>
    <n v="68.5"/>
  </r>
  <r>
    <x v="1"/>
    <x v="9"/>
    <x v="3"/>
    <n v="28241"/>
    <n v="34500"/>
    <n v="36822"/>
    <n v="69504"/>
    <n v="68.5"/>
  </r>
  <r>
    <x v="2"/>
    <x v="0"/>
    <x v="0"/>
    <n v="32519"/>
    <n v="77000"/>
    <n v="87418"/>
    <n v="151800"/>
    <n v="70"/>
  </r>
  <r>
    <x v="2"/>
    <x v="0"/>
    <x v="1"/>
    <n v="2523"/>
    <n v="33500"/>
    <n v="38851"/>
    <n v="66043"/>
    <n v="70"/>
  </r>
  <r>
    <x v="2"/>
    <x v="0"/>
    <x v="2"/>
    <n v="29869"/>
    <n v="46000"/>
    <n v="48500"/>
    <n v="90686"/>
    <n v="70"/>
  </r>
  <r>
    <x v="2"/>
    <x v="0"/>
    <x v="3"/>
    <n v="21344"/>
    <n v="35500"/>
    <n v="38168"/>
    <n v="69986"/>
    <n v="70"/>
  </r>
  <r>
    <x v="2"/>
    <x v="1"/>
    <x v="0"/>
    <n v="40778"/>
    <n v="97000"/>
    <n v="117223"/>
    <n v="191229"/>
    <n v="70"/>
  </r>
  <r>
    <x v="2"/>
    <x v="1"/>
    <x v="1"/>
    <n v="16054"/>
    <n v="42000"/>
    <n v="47540"/>
    <n v="82800"/>
    <n v="70"/>
  </r>
  <r>
    <x v="2"/>
    <x v="1"/>
    <x v="2"/>
    <n v="36712"/>
    <n v="61500"/>
    <n v="69631"/>
    <n v="121243"/>
    <n v="70"/>
  </r>
  <r>
    <x v="2"/>
    <x v="1"/>
    <x v="3"/>
    <n v="37561"/>
    <n v="52000"/>
    <n v="58151"/>
    <n v="102514"/>
    <n v="70"/>
  </r>
  <r>
    <x v="2"/>
    <x v="2"/>
    <x v="0"/>
    <n v="7639"/>
    <n v="187500"/>
    <n v="247569"/>
    <n v="369643"/>
    <n v="70"/>
  </r>
  <r>
    <x v="2"/>
    <x v="2"/>
    <x v="1"/>
    <n v="74245"/>
    <n v="72000"/>
    <n v="101347"/>
    <n v="141943"/>
    <n v="70"/>
  </r>
  <r>
    <x v="2"/>
    <x v="2"/>
    <x v="2"/>
    <n v="26320"/>
    <n v="106000"/>
    <n v="133220"/>
    <n v="208971"/>
    <n v="70"/>
  </r>
  <r>
    <x v="2"/>
    <x v="2"/>
    <x v="3"/>
    <n v="49144"/>
    <n v="85000"/>
    <n v="121408"/>
    <n v="167571"/>
    <n v="70"/>
  </r>
  <r>
    <x v="2"/>
    <x v="3"/>
    <x v="0"/>
    <n v="8171"/>
    <n v="82000"/>
    <n v="92433"/>
    <n v="161657"/>
    <n v="70"/>
  </r>
  <r>
    <x v="2"/>
    <x v="3"/>
    <x v="1"/>
    <n v="4244"/>
    <n v="33500"/>
    <n v="38866"/>
    <n v="66043"/>
    <n v="70"/>
  </r>
  <r>
    <x v="2"/>
    <x v="3"/>
    <x v="2"/>
    <n v="14266"/>
    <n v="49950"/>
    <n v="51851"/>
    <n v="98473"/>
    <n v="70"/>
  </r>
  <r>
    <x v="2"/>
    <x v="3"/>
    <x v="3"/>
    <n v="14152"/>
    <n v="35000"/>
    <n v="39664"/>
    <n v="69000"/>
    <n v="70"/>
  </r>
  <r>
    <x v="2"/>
    <x v="4"/>
    <x v="0"/>
    <n v="25773"/>
    <n v="89000"/>
    <n v="103926"/>
    <n v="175457"/>
    <n v="70"/>
  </r>
  <r>
    <x v="2"/>
    <x v="4"/>
    <x v="1"/>
    <n v="7055"/>
    <n v="41000"/>
    <n v="47994"/>
    <n v="80829"/>
    <n v="70"/>
  </r>
  <r>
    <x v="2"/>
    <x v="4"/>
    <x v="2"/>
    <n v="44360"/>
    <n v="52000"/>
    <n v="55337"/>
    <n v="102514"/>
    <n v="70"/>
  </r>
  <r>
    <x v="2"/>
    <x v="4"/>
    <x v="3"/>
    <n v="41820"/>
    <n v="34000"/>
    <n v="36620"/>
    <n v="67029"/>
    <n v="70"/>
  </r>
  <r>
    <x v="2"/>
    <x v="5"/>
    <x v="0"/>
    <n v="57030"/>
    <n v="131000"/>
    <n v="157021"/>
    <n v="258257"/>
    <n v="70"/>
  </r>
  <r>
    <x v="2"/>
    <x v="5"/>
    <x v="1"/>
    <n v="35297"/>
    <n v="48000"/>
    <n v="53630"/>
    <n v="94629"/>
    <n v="70"/>
  </r>
  <r>
    <x v="2"/>
    <x v="5"/>
    <x v="2"/>
    <n v="54479"/>
    <n v="76500"/>
    <n v="83555"/>
    <n v="150814"/>
    <n v="70"/>
  </r>
  <r>
    <x v="2"/>
    <x v="5"/>
    <x v="3"/>
    <n v="55479"/>
    <n v="60000"/>
    <n v="66967"/>
    <n v="118286"/>
    <n v="70"/>
  </r>
  <r>
    <x v="2"/>
    <x v="6"/>
    <x v="0"/>
    <n v="39890"/>
    <n v="95000"/>
    <n v="110887"/>
    <n v="187286"/>
    <n v="70"/>
  </r>
  <r>
    <x v="2"/>
    <x v="6"/>
    <x v="1"/>
    <n v="15029"/>
    <n v="43000"/>
    <n v="52040"/>
    <n v="84771"/>
    <n v="70"/>
  </r>
  <r>
    <x v="2"/>
    <x v="6"/>
    <x v="2"/>
    <n v="30407"/>
    <n v="59775"/>
    <n v="64557"/>
    <n v="117842"/>
    <n v="70"/>
  </r>
  <r>
    <x v="2"/>
    <x v="6"/>
    <x v="3"/>
    <n v="38015"/>
    <n v="48000"/>
    <n v="53463"/>
    <n v="94629"/>
    <n v="70"/>
  </r>
  <r>
    <x v="2"/>
    <x v="7"/>
    <x v="0"/>
    <n v="13944"/>
    <n v="75000"/>
    <n v="81513"/>
    <n v="147857"/>
    <n v="70"/>
  </r>
  <r>
    <x v="2"/>
    <x v="7"/>
    <x v="1"/>
    <n v="2088"/>
    <n v="39500"/>
    <n v="44012"/>
    <n v="77871"/>
    <n v="70"/>
  </r>
  <r>
    <x v="2"/>
    <x v="7"/>
    <x v="2"/>
    <n v="14722"/>
    <n v="47500"/>
    <n v="50623"/>
    <n v="93643"/>
    <n v="70"/>
  </r>
  <r>
    <x v="2"/>
    <x v="7"/>
    <x v="3"/>
    <n v="16463"/>
    <n v="37000"/>
    <n v="39448"/>
    <n v="72943"/>
    <n v="70"/>
  </r>
  <r>
    <x v="2"/>
    <x v="8"/>
    <x v="0"/>
    <n v="26072"/>
    <n v="92000"/>
    <n v="106880"/>
    <n v="181371"/>
    <n v="70"/>
  </r>
  <r>
    <x v="2"/>
    <x v="8"/>
    <x v="1"/>
    <n v="6724"/>
    <n v="38500"/>
    <n v="43197"/>
    <n v="75900"/>
    <n v="70"/>
  </r>
  <r>
    <x v="2"/>
    <x v="8"/>
    <x v="2"/>
    <n v="33827"/>
    <n v="53000"/>
    <n v="56520"/>
    <n v="104486"/>
    <n v="70"/>
  </r>
  <r>
    <x v="2"/>
    <x v="8"/>
    <x v="3"/>
    <n v="27221"/>
    <n v="41000"/>
    <n v="44031"/>
    <n v="80829"/>
    <n v="70"/>
  </r>
  <r>
    <x v="2"/>
    <x v="9"/>
    <x v="0"/>
    <n v="22117"/>
    <n v="83000"/>
    <n v="94811"/>
    <n v="163629"/>
    <n v="70"/>
  </r>
  <r>
    <x v="2"/>
    <x v="9"/>
    <x v="1"/>
    <n v="4032"/>
    <n v="40000"/>
    <n v="45930"/>
    <n v="78857"/>
    <n v="70"/>
  </r>
  <r>
    <x v="2"/>
    <x v="9"/>
    <x v="2"/>
    <n v="32245"/>
    <n v="49500"/>
    <n v="52268"/>
    <n v="97586"/>
    <n v="70"/>
  </r>
  <r>
    <x v="2"/>
    <x v="9"/>
    <x v="3"/>
    <n v="30374"/>
    <n v="35950"/>
    <n v="38544"/>
    <n v="70873"/>
    <n v="70"/>
  </r>
  <r>
    <x v="3"/>
    <x v="0"/>
    <x v="0"/>
    <n v="31510"/>
    <n v="81950"/>
    <n v="94411"/>
    <n v="158613"/>
    <n v="71.3"/>
  </r>
  <r>
    <x v="3"/>
    <x v="0"/>
    <x v="1"/>
    <n v="2595"/>
    <n v="35000"/>
    <n v="42248"/>
    <n v="67742"/>
    <n v="71.3"/>
  </r>
  <r>
    <x v="3"/>
    <x v="0"/>
    <x v="2"/>
    <n v="29290"/>
    <n v="48000"/>
    <n v="51371"/>
    <n v="92903"/>
    <n v="71.3"/>
  </r>
  <r>
    <x v="3"/>
    <x v="0"/>
    <x v="3"/>
    <n v="21426"/>
    <n v="37000"/>
    <n v="40565"/>
    <n v="71613"/>
    <n v="71.3"/>
  </r>
  <r>
    <x v="3"/>
    <x v="1"/>
    <x v="0"/>
    <n v="37516"/>
    <n v="110000"/>
    <n v="131055"/>
    <n v="212903"/>
    <n v="71.3"/>
  </r>
  <r>
    <x v="3"/>
    <x v="1"/>
    <x v="1"/>
    <n v="16070"/>
    <n v="45500"/>
    <n v="50478"/>
    <n v="88065"/>
    <n v="71.3"/>
  </r>
  <r>
    <x v="3"/>
    <x v="1"/>
    <x v="2"/>
    <n v="34930"/>
    <n v="67250"/>
    <n v="76813"/>
    <n v="130161"/>
    <n v="71.3"/>
  </r>
  <r>
    <x v="3"/>
    <x v="1"/>
    <x v="3"/>
    <n v="36117"/>
    <n v="57000"/>
    <n v="64677"/>
    <n v="110323"/>
    <n v="71.3"/>
  </r>
  <r>
    <x v="3"/>
    <x v="2"/>
    <x v="0"/>
    <n v="6354"/>
    <n v="218000"/>
    <n v="302783"/>
    <n v="421935"/>
    <n v="71.3"/>
  </r>
  <r>
    <x v="3"/>
    <x v="2"/>
    <x v="1"/>
    <n v="73114"/>
    <n v="81000"/>
    <n v="115025"/>
    <n v="156774"/>
    <n v="71.3"/>
  </r>
  <r>
    <x v="3"/>
    <x v="2"/>
    <x v="2"/>
    <n v="23052"/>
    <n v="123500"/>
    <n v="151470"/>
    <n v="239032"/>
    <n v="71.3"/>
  </r>
  <r>
    <x v="3"/>
    <x v="2"/>
    <x v="3"/>
    <n v="46049"/>
    <n v="96000"/>
    <n v="136154"/>
    <n v="185806"/>
    <n v="71.3"/>
  </r>
  <r>
    <x v="3"/>
    <x v="3"/>
    <x v="0"/>
    <n v="8570"/>
    <n v="83995"/>
    <n v="94737"/>
    <n v="162571"/>
    <n v="71.3"/>
  </r>
  <r>
    <x v="3"/>
    <x v="3"/>
    <x v="1"/>
    <n v="4454"/>
    <n v="35000"/>
    <n v="41319"/>
    <n v="67742"/>
    <n v="71.3"/>
  </r>
  <r>
    <x v="3"/>
    <x v="3"/>
    <x v="2"/>
    <n v="14082"/>
    <n v="50000"/>
    <n v="53448"/>
    <n v="96774"/>
    <n v="71.3"/>
  </r>
  <r>
    <x v="3"/>
    <x v="3"/>
    <x v="3"/>
    <n v="14585"/>
    <n v="35000"/>
    <n v="40527"/>
    <n v="67742"/>
    <n v="71.3"/>
  </r>
  <r>
    <x v="3"/>
    <x v="4"/>
    <x v="0"/>
    <n v="25934"/>
    <n v="92000"/>
    <n v="108159"/>
    <n v="178065"/>
    <n v="71.3"/>
  </r>
  <r>
    <x v="3"/>
    <x v="4"/>
    <x v="1"/>
    <n v="7296"/>
    <n v="44000"/>
    <n v="51671"/>
    <n v="85161"/>
    <n v="71.3"/>
  </r>
  <r>
    <x v="3"/>
    <x v="4"/>
    <x v="2"/>
    <n v="43916"/>
    <n v="53500"/>
    <n v="57020"/>
    <n v="103548"/>
    <n v="71.3"/>
  </r>
  <r>
    <x v="3"/>
    <x v="4"/>
    <x v="3"/>
    <n v="41726"/>
    <n v="34500"/>
    <n v="37730"/>
    <n v="66774"/>
    <n v="71.3"/>
  </r>
  <r>
    <x v="3"/>
    <x v="5"/>
    <x v="0"/>
    <n v="51067"/>
    <n v="149000"/>
    <n v="179495"/>
    <n v="288387"/>
    <n v="71.3"/>
  </r>
  <r>
    <x v="3"/>
    <x v="5"/>
    <x v="1"/>
    <n v="34806"/>
    <n v="53000"/>
    <n v="60542"/>
    <n v="102581"/>
    <n v="71.3"/>
  </r>
  <r>
    <x v="3"/>
    <x v="5"/>
    <x v="2"/>
    <n v="50614"/>
    <n v="86000"/>
    <n v="95372"/>
    <n v="166452"/>
    <n v="71.3"/>
  </r>
  <r>
    <x v="3"/>
    <x v="5"/>
    <x v="3"/>
    <n v="52204"/>
    <n v="68000"/>
    <n v="75866"/>
    <n v="131613"/>
    <n v="71.3"/>
  </r>
  <r>
    <x v="3"/>
    <x v="6"/>
    <x v="0"/>
    <n v="36583"/>
    <n v="105000"/>
    <n v="121909"/>
    <n v="203226"/>
    <n v="71.3"/>
  </r>
  <r>
    <x v="3"/>
    <x v="6"/>
    <x v="1"/>
    <n v="15485"/>
    <n v="46000"/>
    <n v="57304"/>
    <n v="89032"/>
    <n v="71.3"/>
  </r>
  <r>
    <x v="3"/>
    <x v="6"/>
    <x v="2"/>
    <n v="29165"/>
    <n v="65000"/>
    <n v="70941"/>
    <n v="125806"/>
    <n v="71.3"/>
  </r>
  <r>
    <x v="3"/>
    <x v="6"/>
    <x v="3"/>
    <n v="36966"/>
    <n v="52000"/>
    <n v="58122"/>
    <n v="100645"/>
    <n v="71.3"/>
  </r>
  <r>
    <x v="3"/>
    <x v="7"/>
    <x v="0"/>
    <n v="13460"/>
    <n v="79000"/>
    <n v="86535"/>
    <n v="152903"/>
    <n v="71.3"/>
  </r>
  <r>
    <x v="3"/>
    <x v="7"/>
    <x v="1"/>
    <n v="2012"/>
    <n v="40500"/>
    <n v="46448"/>
    <n v="78387"/>
    <n v="71.3"/>
  </r>
  <r>
    <x v="3"/>
    <x v="7"/>
    <x v="2"/>
    <n v="13355"/>
    <n v="49000"/>
    <n v="52114"/>
    <n v="94839"/>
    <n v="71.3"/>
  </r>
  <r>
    <x v="3"/>
    <x v="7"/>
    <x v="3"/>
    <n v="15683"/>
    <n v="37500"/>
    <n v="40652"/>
    <n v="72581"/>
    <n v="71.3"/>
  </r>
  <r>
    <x v="3"/>
    <x v="8"/>
    <x v="0"/>
    <n v="24532"/>
    <n v="98950"/>
    <n v="116166"/>
    <n v="191516"/>
    <n v="71.3"/>
  </r>
  <r>
    <x v="3"/>
    <x v="8"/>
    <x v="1"/>
    <n v="6716"/>
    <n v="40000"/>
    <n v="46280"/>
    <n v="77419"/>
    <n v="71.3"/>
  </r>
  <r>
    <x v="3"/>
    <x v="8"/>
    <x v="2"/>
    <n v="32354"/>
    <n v="55700"/>
    <n v="60157"/>
    <n v="107806"/>
    <n v="71.3"/>
  </r>
  <r>
    <x v="3"/>
    <x v="8"/>
    <x v="3"/>
    <n v="26857"/>
    <n v="43000"/>
    <n v="46880"/>
    <n v="83226"/>
    <n v="71.3"/>
  </r>
  <r>
    <x v="3"/>
    <x v="9"/>
    <x v="0"/>
    <n v="21707"/>
    <n v="85000"/>
    <n v="98455"/>
    <n v="164516"/>
    <n v="71.3"/>
  </r>
  <r>
    <x v="3"/>
    <x v="9"/>
    <x v="1"/>
    <n v="4241"/>
    <n v="43000"/>
    <n v="48112"/>
    <n v="83226"/>
    <n v="71.3"/>
  </r>
  <r>
    <x v="3"/>
    <x v="9"/>
    <x v="2"/>
    <n v="31484"/>
    <n v="50000"/>
    <n v="53287"/>
    <n v="96774"/>
    <n v="71.3"/>
  </r>
  <r>
    <x v="3"/>
    <x v="9"/>
    <x v="3"/>
    <n v="29788"/>
    <n v="36000"/>
    <n v="39527"/>
    <n v="69677"/>
    <n v="71.3"/>
  </r>
  <r>
    <x v="4"/>
    <x v="0"/>
    <x v="0"/>
    <n v="37148"/>
    <n v="87000"/>
    <n v="101589"/>
    <n v="165372"/>
    <n v="72.599999999999994"/>
  </r>
  <r>
    <x v="4"/>
    <x v="0"/>
    <x v="1"/>
    <n v="2857"/>
    <n v="38000"/>
    <n v="47455"/>
    <n v="72231"/>
    <n v="72.599999999999994"/>
  </r>
  <r>
    <x v="4"/>
    <x v="0"/>
    <x v="2"/>
    <n v="32699"/>
    <n v="50995"/>
    <n v="54497"/>
    <n v="96933"/>
    <n v="72.599999999999994"/>
  </r>
  <r>
    <x v="4"/>
    <x v="0"/>
    <x v="3"/>
    <n v="24129"/>
    <n v="39750"/>
    <n v="44182"/>
    <n v="75558"/>
    <n v="72.599999999999994"/>
  </r>
  <r>
    <x v="4"/>
    <x v="1"/>
    <x v="0"/>
    <n v="43856"/>
    <n v="120000"/>
    <n v="143934"/>
    <n v="228099"/>
    <n v="72.599999999999994"/>
  </r>
  <r>
    <x v="4"/>
    <x v="1"/>
    <x v="1"/>
    <n v="18736"/>
    <n v="51000"/>
    <n v="57739"/>
    <n v="96942"/>
    <n v="72.599999999999994"/>
  </r>
  <r>
    <x v="4"/>
    <x v="1"/>
    <x v="2"/>
    <n v="40982"/>
    <n v="74238"/>
    <n v="84845"/>
    <n v="141113"/>
    <n v="72.599999999999994"/>
  </r>
  <r>
    <x v="4"/>
    <x v="1"/>
    <x v="3"/>
    <n v="41294"/>
    <n v="62000"/>
    <n v="70893"/>
    <n v="117851"/>
    <n v="72.599999999999994"/>
  </r>
  <r>
    <x v="4"/>
    <x v="2"/>
    <x v="0"/>
    <n v="7787"/>
    <n v="245000"/>
    <n v="336994"/>
    <n v="465702"/>
    <n v="72.599999999999994"/>
  </r>
  <r>
    <x v="4"/>
    <x v="2"/>
    <x v="1"/>
    <n v="84444"/>
    <n v="98000"/>
    <n v="134933"/>
    <n v="186281"/>
    <n v="72.599999999999994"/>
  </r>
  <r>
    <x v="4"/>
    <x v="2"/>
    <x v="2"/>
    <n v="27349"/>
    <n v="139000"/>
    <n v="174894"/>
    <n v="264215"/>
    <n v="72.599999999999994"/>
  </r>
  <r>
    <x v="4"/>
    <x v="2"/>
    <x v="3"/>
    <n v="52471"/>
    <n v="115000"/>
    <n v="161550"/>
    <n v="218595"/>
    <n v="72.599999999999994"/>
  </r>
  <r>
    <x v="4"/>
    <x v="3"/>
    <x v="0"/>
    <n v="9538"/>
    <n v="88000"/>
    <n v="101137"/>
    <n v="167273"/>
    <n v="72.599999999999994"/>
  </r>
  <r>
    <x v="4"/>
    <x v="3"/>
    <x v="1"/>
    <n v="4768"/>
    <n v="36970"/>
    <n v="44171"/>
    <n v="70274"/>
    <n v="72.599999999999994"/>
  </r>
  <r>
    <x v="4"/>
    <x v="3"/>
    <x v="2"/>
    <n v="14764"/>
    <n v="52500"/>
    <n v="55165"/>
    <n v="99793"/>
    <n v="72.599999999999994"/>
  </r>
  <r>
    <x v="4"/>
    <x v="3"/>
    <x v="3"/>
    <n v="15156"/>
    <n v="36000"/>
    <n v="42775"/>
    <n v="68430"/>
    <n v="72.599999999999994"/>
  </r>
  <r>
    <x v="4"/>
    <x v="4"/>
    <x v="0"/>
    <n v="29155"/>
    <n v="98100"/>
    <n v="117222"/>
    <n v="186471"/>
    <n v="72.599999999999994"/>
  </r>
  <r>
    <x v="4"/>
    <x v="4"/>
    <x v="1"/>
    <n v="8864"/>
    <n v="47450"/>
    <n v="57941"/>
    <n v="90194"/>
    <n v="72.599999999999994"/>
  </r>
  <r>
    <x v="4"/>
    <x v="4"/>
    <x v="2"/>
    <n v="48053"/>
    <n v="55950"/>
    <n v="60707"/>
    <n v="106351"/>
    <n v="72.599999999999994"/>
  </r>
  <r>
    <x v="4"/>
    <x v="4"/>
    <x v="3"/>
    <n v="44886"/>
    <n v="35950"/>
    <n v="40116"/>
    <n v="68335"/>
    <n v="72.599999999999994"/>
  </r>
  <r>
    <x v="4"/>
    <x v="5"/>
    <x v="0"/>
    <n v="60297"/>
    <n v="164000"/>
    <n v="200616"/>
    <n v="311736"/>
    <n v="72.599999999999994"/>
  </r>
  <r>
    <x v="4"/>
    <x v="5"/>
    <x v="1"/>
    <n v="39411"/>
    <n v="59950"/>
    <n v="69280"/>
    <n v="113955"/>
    <n v="72.599999999999994"/>
  </r>
  <r>
    <x v="4"/>
    <x v="5"/>
    <x v="2"/>
    <n v="57237"/>
    <n v="95000"/>
    <n v="106269"/>
    <n v="180579"/>
    <n v="72.599999999999994"/>
  </r>
  <r>
    <x v="4"/>
    <x v="5"/>
    <x v="3"/>
    <n v="59540"/>
    <n v="75000"/>
    <n v="84499"/>
    <n v="142562"/>
    <n v="72.599999999999994"/>
  </r>
  <r>
    <x v="4"/>
    <x v="6"/>
    <x v="0"/>
    <n v="42963"/>
    <n v="117950"/>
    <n v="135473"/>
    <n v="224202"/>
    <n v="72.599999999999994"/>
  </r>
  <r>
    <x v="4"/>
    <x v="6"/>
    <x v="1"/>
    <n v="18695"/>
    <n v="52000"/>
    <n v="65168"/>
    <n v="98843"/>
    <n v="72.599999999999994"/>
  </r>
  <r>
    <x v="4"/>
    <x v="6"/>
    <x v="2"/>
    <n v="32627"/>
    <n v="71500"/>
    <n v="78829"/>
    <n v="135909"/>
    <n v="72.599999999999994"/>
  </r>
  <r>
    <x v="4"/>
    <x v="6"/>
    <x v="3"/>
    <n v="42515"/>
    <n v="58000"/>
    <n v="65262"/>
    <n v="110248"/>
    <n v="72.599999999999994"/>
  </r>
  <r>
    <x v="4"/>
    <x v="7"/>
    <x v="0"/>
    <n v="15412"/>
    <n v="83000"/>
    <n v="92450"/>
    <n v="157769"/>
    <n v="72.599999999999994"/>
  </r>
  <r>
    <x v="4"/>
    <x v="7"/>
    <x v="1"/>
    <n v="2225"/>
    <n v="44000"/>
    <n v="51629"/>
    <n v="83636"/>
    <n v="72.599999999999994"/>
  </r>
  <r>
    <x v="4"/>
    <x v="7"/>
    <x v="2"/>
    <n v="14249"/>
    <n v="52000"/>
    <n v="55288"/>
    <n v="98843"/>
    <n v="72.599999999999994"/>
  </r>
  <r>
    <x v="4"/>
    <x v="7"/>
    <x v="3"/>
    <n v="17071"/>
    <n v="39000"/>
    <n v="42858"/>
    <n v="74132"/>
    <n v="72.599999999999994"/>
  </r>
  <r>
    <x v="4"/>
    <x v="8"/>
    <x v="0"/>
    <n v="28859"/>
    <n v="110000"/>
    <n v="126439"/>
    <n v="209091"/>
    <n v="72.599999999999994"/>
  </r>
  <r>
    <x v="4"/>
    <x v="8"/>
    <x v="1"/>
    <n v="7862"/>
    <n v="42500"/>
    <n v="51359"/>
    <n v="80785"/>
    <n v="72.599999999999994"/>
  </r>
  <r>
    <x v="4"/>
    <x v="8"/>
    <x v="2"/>
    <n v="35919"/>
    <n v="59500"/>
    <n v="64973"/>
    <n v="113099"/>
    <n v="72.599999999999994"/>
  </r>
  <r>
    <x v="4"/>
    <x v="8"/>
    <x v="3"/>
    <n v="30419"/>
    <n v="46000"/>
    <n v="50485"/>
    <n v="87438"/>
    <n v="72.599999999999994"/>
  </r>
  <r>
    <x v="4"/>
    <x v="9"/>
    <x v="0"/>
    <n v="25682"/>
    <n v="89500"/>
    <n v="104089"/>
    <n v="170124"/>
    <n v="72.599999999999994"/>
  </r>
  <r>
    <x v="4"/>
    <x v="9"/>
    <x v="1"/>
    <n v="4754"/>
    <n v="46500"/>
    <n v="54336"/>
    <n v="88388"/>
    <n v="72.599999999999994"/>
  </r>
  <r>
    <x v="4"/>
    <x v="9"/>
    <x v="2"/>
    <n v="34899"/>
    <n v="52000"/>
    <n v="55747"/>
    <n v="98843"/>
    <n v="72.599999999999994"/>
  </r>
  <r>
    <x v="4"/>
    <x v="9"/>
    <x v="3"/>
    <n v="32354"/>
    <n v="38000"/>
    <n v="42319"/>
    <n v="72231"/>
    <n v="72.599999999999994"/>
  </r>
  <r>
    <x v="5"/>
    <x v="0"/>
    <x v="0"/>
    <n v="34913"/>
    <n v="97000"/>
    <n v="114126"/>
    <n v="182371"/>
    <n v="73.400000000000006"/>
  </r>
  <r>
    <x v="5"/>
    <x v="0"/>
    <x v="1"/>
    <n v="3347"/>
    <n v="43000"/>
    <n v="54235"/>
    <n v="80845"/>
    <n v="73.400000000000006"/>
  </r>
  <r>
    <x v="5"/>
    <x v="0"/>
    <x v="2"/>
    <n v="31747"/>
    <n v="55500"/>
    <n v="60254"/>
    <n v="104346"/>
    <n v="73.400000000000006"/>
  </r>
  <r>
    <x v="5"/>
    <x v="0"/>
    <x v="3"/>
    <n v="25828"/>
    <n v="43000"/>
    <n v="47954"/>
    <n v="80845"/>
    <n v="73.400000000000006"/>
  </r>
  <r>
    <x v="5"/>
    <x v="1"/>
    <x v="0"/>
    <n v="36856"/>
    <n v="140000"/>
    <n v="169728"/>
    <n v="263215"/>
    <n v="73.400000000000006"/>
  </r>
  <r>
    <x v="5"/>
    <x v="1"/>
    <x v="1"/>
    <n v="18937"/>
    <n v="59950"/>
    <n v="68078"/>
    <n v="112713"/>
    <n v="73.400000000000006"/>
  </r>
  <r>
    <x v="5"/>
    <x v="1"/>
    <x v="2"/>
    <n v="35759"/>
    <n v="85250"/>
    <n v="99241"/>
    <n v="160279"/>
    <n v="73.400000000000006"/>
  </r>
  <r>
    <x v="5"/>
    <x v="1"/>
    <x v="3"/>
    <n v="37812"/>
    <n v="72000"/>
    <n v="81624"/>
    <n v="135368"/>
    <n v="73.400000000000006"/>
  </r>
  <r>
    <x v="5"/>
    <x v="2"/>
    <x v="0"/>
    <n v="6244"/>
    <n v="295000"/>
    <n v="401441"/>
    <n v="554632"/>
    <n v="73.400000000000006"/>
  </r>
  <r>
    <x v="5"/>
    <x v="2"/>
    <x v="1"/>
    <n v="78438"/>
    <n v="121000"/>
    <n v="162309"/>
    <n v="227493"/>
    <n v="73.400000000000006"/>
  </r>
  <r>
    <x v="5"/>
    <x v="2"/>
    <x v="2"/>
    <n v="22308"/>
    <n v="165000"/>
    <n v="207186"/>
    <n v="310218"/>
    <n v="73.400000000000006"/>
  </r>
  <r>
    <x v="5"/>
    <x v="2"/>
    <x v="3"/>
    <n v="45268"/>
    <n v="135000"/>
    <n v="196629"/>
    <n v="253815"/>
    <n v="73.400000000000006"/>
  </r>
  <r>
    <x v="5"/>
    <x v="3"/>
    <x v="0"/>
    <n v="9957"/>
    <n v="92500"/>
    <n v="107980"/>
    <n v="173910"/>
    <n v="73.400000000000006"/>
  </r>
  <r>
    <x v="5"/>
    <x v="3"/>
    <x v="1"/>
    <n v="5354"/>
    <n v="36500"/>
    <n v="46002"/>
    <n v="68624"/>
    <n v="73.400000000000006"/>
  </r>
  <r>
    <x v="5"/>
    <x v="3"/>
    <x v="2"/>
    <n v="15371"/>
    <n v="54000"/>
    <n v="57230"/>
    <n v="101526"/>
    <n v="73.400000000000006"/>
  </r>
  <r>
    <x v="5"/>
    <x v="3"/>
    <x v="3"/>
    <n v="16185"/>
    <n v="36100"/>
    <n v="43739"/>
    <n v="67872"/>
    <n v="73.400000000000006"/>
  </r>
  <r>
    <x v="5"/>
    <x v="4"/>
    <x v="0"/>
    <n v="28349"/>
    <n v="109000"/>
    <n v="127854"/>
    <n v="204932"/>
    <n v="73.400000000000006"/>
  </r>
  <r>
    <x v="5"/>
    <x v="4"/>
    <x v="1"/>
    <n v="10031"/>
    <n v="54000"/>
    <n v="66530"/>
    <n v="101526"/>
    <n v="73.400000000000006"/>
  </r>
  <r>
    <x v="5"/>
    <x v="4"/>
    <x v="2"/>
    <n v="47998"/>
    <n v="59500"/>
    <n v="65481"/>
    <n v="111866"/>
    <n v="73.400000000000006"/>
  </r>
  <r>
    <x v="5"/>
    <x v="4"/>
    <x v="3"/>
    <n v="48661"/>
    <n v="36995"/>
    <n v="42572"/>
    <n v="69555"/>
    <n v="73.400000000000006"/>
  </r>
  <r>
    <x v="5"/>
    <x v="5"/>
    <x v="0"/>
    <n v="49773"/>
    <n v="193000"/>
    <n v="241116"/>
    <n v="362861"/>
    <n v="73.400000000000006"/>
  </r>
  <r>
    <x v="5"/>
    <x v="5"/>
    <x v="1"/>
    <n v="38138"/>
    <n v="72500"/>
    <n v="83191"/>
    <n v="136308"/>
    <n v="73.400000000000006"/>
  </r>
  <r>
    <x v="5"/>
    <x v="5"/>
    <x v="2"/>
    <n v="49275"/>
    <n v="117800"/>
    <n v="127471"/>
    <n v="221477"/>
    <n v="73.400000000000006"/>
  </r>
  <r>
    <x v="5"/>
    <x v="5"/>
    <x v="3"/>
    <n v="52905"/>
    <n v="89950"/>
    <n v="101144"/>
    <n v="169116"/>
    <n v="73.400000000000006"/>
  </r>
  <r>
    <x v="5"/>
    <x v="6"/>
    <x v="0"/>
    <n v="36649"/>
    <n v="137000"/>
    <n v="160773"/>
    <n v="257575"/>
    <n v="73.400000000000006"/>
  </r>
  <r>
    <x v="5"/>
    <x v="6"/>
    <x v="1"/>
    <n v="17793"/>
    <n v="59000"/>
    <n v="73383"/>
    <n v="110926"/>
    <n v="73.400000000000006"/>
  </r>
  <r>
    <x v="5"/>
    <x v="6"/>
    <x v="2"/>
    <n v="28835"/>
    <n v="83250"/>
    <n v="92295"/>
    <n v="156519"/>
    <n v="73.400000000000006"/>
  </r>
  <r>
    <x v="5"/>
    <x v="6"/>
    <x v="3"/>
    <n v="38904"/>
    <n v="68500"/>
    <n v="76801"/>
    <n v="128787"/>
    <n v="73.400000000000006"/>
  </r>
  <r>
    <x v="5"/>
    <x v="7"/>
    <x v="0"/>
    <n v="16892"/>
    <n v="89500"/>
    <n v="101108"/>
    <n v="168270"/>
    <n v="73.400000000000006"/>
  </r>
  <r>
    <x v="5"/>
    <x v="7"/>
    <x v="1"/>
    <n v="2645"/>
    <n v="49000"/>
    <n v="56238"/>
    <n v="92125"/>
    <n v="73.400000000000006"/>
  </r>
  <r>
    <x v="5"/>
    <x v="7"/>
    <x v="2"/>
    <n v="15316"/>
    <n v="54000"/>
    <n v="58987"/>
    <n v="101526"/>
    <n v="73.400000000000006"/>
  </r>
  <r>
    <x v="5"/>
    <x v="7"/>
    <x v="3"/>
    <n v="18919"/>
    <n v="40000"/>
    <n v="45957"/>
    <n v="75204"/>
    <n v="73.400000000000006"/>
  </r>
  <r>
    <x v="5"/>
    <x v="8"/>
    <x v="0"/>
    <n v="26302"/>
    <n v="124000"/>
    <n v="142401"/>
    <n v="233134"/>
    <n v="73.400000000000006"/>
  </r>
  <r>
    <x v="5"/>
    <x v="8"/>
    <x v="1"/>
    <n v="8268"/>
    <n v="47500"/>
    <n v="58114"/>
    <n v="89305"/>
    <n v="73.400000000000006"/>
  </r>
  <r>
    <x v="5"/>
    <x v="8"/>
    <x v="2"/>
    <n v="35106"/>
    <n v="65000"/>
    <n v="71557"/>
    <n v="122207"/>
    <n v="73.400000000000006"/>
  </r>
  <r>
    <x v="5"/>
    <x v="8"/>
    <x v="3"/>
    <n v="30903"/>
    <n v="50000"/>
    <n v="55901"/>
    <n v="94005"/>
    <n v="73.400000000000006"/>
  </r>
  <r>
    <x v="5"/>
    <x v="9"/>
    <x v="0"/>
    <n v="26303"/>
    <n v="95000"/>
    <n v="111330"/>
    <n v="178610"/>
    <n v="73.400000000000006"/>
  </r>
  <r>
    <x v="5"/>
    <x v="9"/>
    <x v="1"/>
    <n v="5591"/>
    <n v="52000"/>
    <n v="63894"/>
    <n v="97766"/>
    <n v="73.400000000000006"/>
  </r>
  <r>
    <x v="5"/>
    <x v="9"/>
    <x v="2"/>
    <n v="34744"/>
    <n v="54500"/>
    <n v="59567"/>
    <n v="102466"/>
    <n v="73.400000000000006"/>
  </r>
  <r>
    <x v="5"/>
    <x v="9"/>
    <x v="3"/>
    <n v="33730"/>
    <n v="39000"/>
    <n v="44947"/>
    <n v="73324"/>
    <n v="73.400000000000006"/>
  </r>
  <r>
    <x v="6"/>
    <x v="0"/>
    <x v="0"/>
    <n v="37927"/>
    <n v="112500"/>
    <n v="127973"/>
    <n v="208110"/>
    <n v="74.599999999999994"/>
  </r>
  <r>
    <x v="6"/>
    <x v="0"/>
    <x v="1"/>
    <n v="4447"/>
    <n v="52000"/>
    <n v="65609"/>
    <n v="96193"/>
    <n v="74.599999999999994"/>
  </r>
  <r>
    <x v="6"/>
    <x v="0"/>
    <x v="2"/>
    <n v="35210"/>
    <n v="62000"/>
    <n v="67581"/>
    <n v="114692"/>
    <n v="74.599999999999994"/>
  </r>
  <r>
    <x v="6"/>
    <x v="0"/>
    <x v="3"/>
    <n v="28973"/>
    <n v="48000"/>
    <n v="53604"/>
    <n v="88794"/>
    <n v="74.599999999999994"/>
  </r>
  <r>
    <x v="6"/>
    <x v="1"/>
    <x v="0"/>
    <n v="41649"/>
    <n v="155000"/>
    <n v="189262"/>
    <n v="286729"/>
    <n v="74.599999999999994"/>
  </r>
  <r>
    <x v="6"/>
    <x v="1"/>
    <x v="1"/>
    <n v="20351"/>
    <n v="67000"/>
    <n v="76631"/>
    <n v="123941"/>
    <n v="74.599999999999994"/>
  </r>
  <r>
    <x v="6"/>
    <x v="1"/>
    <x v="2"/>
    <n v="39881"/>
    <n v="99995"/>
    <n v="114108"/>
    <n v="184977"/>
    <n v="74.599999999999994"/>
  </r>
  <r>
    <x v="6"/>
    <x v="1"/>
    <x v="3"/>
    <n v="42451"/>
    <n v="82995"/>
    <n v="93904"/>
    <n v="153530"/>
    <n v="74.599999999999994"/>
  </r>
  <r>
    <x v="6"/>
    <x v="2"/>
    <x v="0"/>
    <n v="6846"/>
    <n v="310000"/>
    <n v="422110"/>
    <n v="573458"/>
    <n v="74.599999999999994"/>
  </r>
  <r>
    <x v="6"/>
    <x v="2"/>
    <x v="1"/>
    <n v="80408"/>
    <n v="136500"/>
    <n v="177930"/>
    <n v="252507"/>
    <n v="74.599999999999994"/>
  </r>
  <r>
    <x v="6"/>
    <x v="2"/>
    <x v="2"/>
    <n v="26073"/>
    <n v="182000"/>
    <n v="226632"/>
    <n v="336676"/>
    <n v="74.599999999999994"/>
  </r>
  <r>
    <x v="6"/>
    <x v="2"/>
    <x v="3"/>
    <n v="52238"/>
    <n v="150000"/>
    <n v="207337"/>
    <n v="277480"/>
    <n v="74.599999999999994"/>
  </r>
  <r>
    <x v="6"/>
    <x v="3"/>
    <x v="0"/>
    <n v="10962"/>
    <n v="99950"/>
    <n v="117337"/>
    <n v="184894"/>
    <n v="74.599999999999994"/>
  </r>
  <r>
    <x v="6"/>
    <x v="3"/>
    <x v="1"/>
    <n v="6115"/>
    <n v="39950"/>
    <n v="51766"/>
    <n v="73902"/>
    <n v="74.599999999999994"/>
  </r>
  <r>
    <x v="6"/>
    <x v="3"/>
    <x v="2"/>
    <n v="16724"/>
    <n v="57500"/>
    <n v="61526"/>
    <n v="106367"/>
    <n v="74.599999999999994"/>
  </r>
  <r>
    <x v="6"/>
    <x v="3"/>
    <x v="3"/>
    <n v="19062"/>
    <n v="37750"/>
    <n v="46490"/>
    <n v="69832"/>
    <n v="74.599999999999994"/>
  </r>
  <r>
    <x v="6"/>
    <x v="4"/>
    <x v="0"/>
    <n v="29776"/>
    <n v="119995"/>
    <n v="143166"/>
    <n v="221975"/>
    <n v="74.599999999999994"/>
  </r>
  <r>
    <x v="6"/>
    <x v="4"/>
    <x v="1"/>
    <n v="11309"/>
    <n v="60000"/>
    <n v="75296"/>
    <n v="110992"/>
    <n v="74.599999999999994"/>
  </r>
  <r>
    <x v="6"/>
    <x v="4"/>
    <x v="2"/>
    <n v="51571"/>
    <n v="65000"/>
    <n v="72439"/>
    <n v="120241"/>
    <n v="74.599999999999994"/>
  </r>
  <r>
    <x v="6"/>
    <x v="4"/>
    <x v="3"/>
    <n v="53298"/>
    <n v="39000"/>
    <n v="46264"/>
    <n v="72145"/>
    <n v="74.599999999999994"/>
  </r>
  <r>
    <x v="6"/>
    <x v="5"/>
    <x v="0"/>
    <n v="54324"/>
    <n v="216500"/>
    <n v="263066"/>
    <n v="400496"/>
    <n v="74.599999999999994"/>
  </r>
  <r>
    <x v="6"/>
    <x v="5"/>
    <x v="1"/>
    <n v="41222"/>
    <n v="84500"/>
    <n v="96858"/>
    <n v="156314"/>
    <n v="74.599999999999994"/>
  </r>
  <r>
    <x v="6"/>
    <x v="5"/>
    <x v="2"/>
    <n v="56201"/>
    <n v="130000"/>
    <n v="142334"/>
    <n v="240483"/>
    <n v="74.599999999999994"/>
  </r>
  <r>
    <x v="6"/>
    <x v="5"/>
    <x v="3"/>
    <n v="59668"/>
    <n v="102500"/>
    <n v="114076"/>
    <n v="189611"/>
    <n v="74.599999999999994"/>
  </r>
  <r>
    <x v="6"/>
    <x v="6"/>
    <x v="0"/>
    <n v="40091"/>
    <n v="153000"/>
    <n v="179034"/>
    <n v="283029"/>
    <n v="74.599999999999994"/>
  </r>
  <r>
    <x v="6"/>
    <x v="6"/>
    <x v="1"/>
    <n v="19905"/>
    <n v="69500"/>
    <n v="85503"/>
    <n v="128566"/>
    <n v="74.599999999999994"/>
  </r>
  <r>
    <x v="6"/>
    <x v="6"/>
    <x v="2"/>
    <n v="32140"/>
    <n v="94000"/>
    <n v="105595"/>
    <n v="173887"/>
    <n v="74.599999999999994"/>
  </r>
  <r>
    <x v="6"/>
    <x v="6"/>
    <x v="3"/>
    <n v="42576"/>
    <n v="78000"/>
    <n v="88413"/>
    <n v="144290"/>
    <n v="74.599999999999994"/>
  </r>
  <r>
    <x v="6"/>
    <x v="7"/>
    <x v="0"/>
    <n v="18103"/>
    <n v="97995"/>
    <n v="112160"/>
    <n v="181278"/>
    <n v="74.599999999999994"/>
  </r>
  <r>
    <x v="6"/>
    <x v="7"/>
    <x v="1"/>
    <n v="3192"/>
    <n v="57000"/>
    <n v="67313"/>
    <n v="105442"/>
    <n v="74.599999999999994"/>
  </r>
  <r>
    <x v="6"/>
    <x v="7"/>
    <x v="2"/>
    <n v="17090"/>
    <n v="58225"/>
    <n v="63895"/>
    <n v="107708"/>
    <n v="74.599999999999994"/>
  </r>
  <r>
    <x v="6"/>
    <x v="7"/>
    <x v="3"/>
    <n v="21330"/>
    <n v="43950"/>
    <n v="50269"/>
    <n v="81302"/>
    <n v="74.599999999999994"/>
  </r>
  <r>
    <x v="6"/>
    <x v="8"/>
    <x v="0"/>
    <n v="28066"/>
    <n v="138000"/>
    <n v="159380"/>
    <n v="255282"/>
    <n v="74.599999999999994"/>
  </r>
  <r>
    <x v="6"/>
    <x v="8"/>
    <x v="1"/>
    <n v="9891"/>
    <n v="57000"/>
    <n v="70875"/>
    <n v="105442"/>
    <n v="74.599999999999994"/>
  </r>
  <r>
    <x v="6"/>
    <x v="8"/>
    <x v="2"/>
    <n v="37008"/>
    <n v="73000"/>
    <n v="80821"/>
    <n v="135040"/>
    <n v="74.599999999999994"/>
  </r>
  <r>
    <x v="6"/>
    <x v="8"/>
    <x v="3"/>
    <n v="33945"/>
    <n v="56300"/>
    <n v="62211"/>
    <n v="104147"/>
    <n v="74.599999999999994"/>
  </r>
  <r>
    <x v="6"/>
    <x v="9"/>
    <x v="0"/>
    <n v="27791"/>
    <n v="105000"/>
    <n v="123343"/>
    <n v="194236"/>
    <n v="74.599999999999994"/>
  </r>
  <r>
    <x v="6"/>
    <x v="9"/>
    <x v="1"/>
    <n v="6276"/>
    <n v="59950"/>
    <n v="72454"/>
    <n v="110899"/>
    <n v="74.599999999999994"/>
  </r>
  <r>
    <x v="6"/>
    <x v="9"/>
    <x v="2"/>
    <n v="38602"/>
    <n v="58995"/>
    <n v="65292"/>
    <n v="109133"/>
    <n v="74.599999999999994"/>
  </r>
  <r>
    <x v="6"/>
    <x v="9"/>
    <x v="3"/>
    <n v="39946"/>
    <n v="40500"/>
    <n v="48184"/>
    <n v="74920"/>
    <n v="74.599999999999994"/>
  </r>
  <r>
    <x v="7"/>
    <x v="0"/>
    <x v="0"/>
    <n v="39628"/>
    <n v="135000"/>
    <n v="153847"/>
    <n v="246103"/>
    <n v="75.7"/>
  </r>
  <r>
    <x v="7"/>
    <x v="0"/>
    <x v="1"/>
    <n v="5568"/>
    <n v="66000"/>
    <n v="79598"/>
    <n v="120317"/>
    <n v="75.7"/>
  </r>
  <r>
    <x v="7"/>
    <x v="0"/>
    <x v="2"/>
    <n v="37374"/>
    <n v="77000"/>
    <n v="82625"/>
    <n v="140370"/>
    <n v="75.7"/>
  </r>
  <r>
    <x v="7"/>
    <x v="0"/>
    <x v="3"/>
    <n v="32198"/>
    <n v="59995"/>
    <n v="66044"/>
    <n v="109370"/>
    <n v="75.7"/>
  </r>
  <r>
    <x v="7"/>
    <x v="1"/>
    <x v="0"/>
    <n v="43257"/>
    <n v="185000"/>
    <n v="222356"/>
    <n v="337252"/>
    <n v="75.7"/>
  </r>
  <r>
    <x v="7"/>
    <x v="1"/>
    <x v="1"/>
    <n v="22720"/>
    <n v="85950"/>
    <n v="97133"/>
    <n v="156686"/>
    <n v="75.7"/>
  </r>
  <r>
    <x v="7"/>
    <x v="1"/>
    <x v="2"/>
    <n v="41122"/>
    <n v="125000"/>
    <n v="137991"/>
    <n v="227873"/>
    <n v="75.7"/>
  </r>
  <r>
    <x v="7"/>
    <x v="1"/>
    <x v="3"/>
    <n v="43076"/>
    <n v="104000"/>
    <n v="114383"/>
    <n v="189590"/>
    <n v="75.7"/>
  </r>
  <r>
    <x v="7"/>
    <x v="2"/>
    <x v="0"/>
    <n v="7356"/>
    <n v="351500"/>
    <n v="460176"/>
    <n v="640779"/>
    <n v="75.7"/>
  </r>
  <r>
    <x v="7"/>
    <x v="2"/>
    <x v="1"/>
    <n v="86864"/>
    <n v="160000"/>
    <n v="202788"/>
    <n v="291678"/>
    <n v="75.7"/>
  </r>
  <r>
    <x v="7"/>
    <x v="2"/>
    <x v="2"/>
    <n v="27330"/>
    <n v="217000"/>
    <n v="260062"/>
    <n v="395588"/>
    <n v="75.7"/>
  </r>
  <r>
    <x v="7"/>
    <x v="2"/>
    <x v="3"/>
    <n v="55399"/>
    <n v="180000"/>
    <n v="238253"/>
    <n v="328137"/>
    <n v="75.7"/>
  </r>
  <r>
    <x v="7"/>
    <x v="3"/>
    <x v="0"/>
    <n v="11549"/>
    <n v="121950"/>
    <n v="138700"/>
    <n v="222313"/>
    <n v="75.7"/>
  </r>
  <r>
    <x v="7"/>
    <x v="3"/>
    <x v="1"/>
    <n v="7579"/>
    <n v="47500"/>
    <n v="62676"/>
    <n v="86592"/>
    <n v="75.7"/>
  </r>
  <r>
    <x v="7"/>
    <x v="3"/>
    <x v="2"/>
    <n v="17823"/>
    <n v="66000"/>
    <n v="72149"/>
    <n v="120317"/>
    <n v="75.7"/>
  </r>
  <r>
    <x v="7"/>
    <x v="3"/>
    <x v="3"/>
    <n v="22645"/>
    <n v="42000"/>
    <n v="53110"/>
    <n v="76565"/>
    <n v="75.7"/>
  </r>
  <r>
    <x v="7"/>
    <x v="4"/>
    <x v="0"/>
    <n v="31626"/>
    <n v="140000"/>
    <n v="167708"/>
    <n v="255218"/>
    <n v="75.7"/>
  </r>
  <r>
    <x v="7"/>
    <x v="4"/>
    <x v="1"/>
    <n v="15905"/>
    <n v="79000"/>
    <n v="91560"/>
    <n v="144016"/>
    <n v="75.7"/>
  </r>
  <r>
    <x v="7"/>
    <x v="4"/>
    <x v="2"/>
    <n v="56146"/>
    <n v="76950"/>
    <n v="85855"/>
    <n v="140279"/>
    <n v="75.7"/>
  </r>
  <r>
    <x v="7"/>
    <x v="4"/>
    <x v="3"/>
    <n v="64947"/>
    <n v="44000"/>
    <n v="52783"/>
    <n v="80211"/>
    <n v="75.7"/>
  </r>
  <r>
    <x v="7"/>
    <x v="5"/>
    <x v="0"/>
    <n v="58103"/>
    <n v="248000"/>
    <n v="297493"/>
    <n v="452100"/>
    <n v="75.7"/>
  </r>
  <r>
    <x v="7"/>
    <x v="5"/>
    <x v="1"/>
    <n v="45033"/>
    <n v="104000"/>
    <n v="115409"/>
    <n v="189590"/>
    <n v="75.7"/>
  </r>
  <r>
    <x v="7"/>
    <x v="5"/>
    <x v="2"/>
    <n v="59763"/>
    <n v="153500"/>
    <n v="166366"/>
    <n v="279828"/>
    <n v="75.7"/>
  </r>
  <r>
    <x v="7"/>
    <x v="5"/>
    <x v="3"/>
    <n v="62923"/>
    <n v="125000"/>
    <n v="135593"/>
    <n v="227873"/>
    <n v="75.7"/>
  </r>
  <r>
    <x v="7"/>
    <x v="6"/>
    <x v="0"/>
    <n v="41596"/>
    <n v="185000"/>
    <n v="213091"/>
    <n v="337252"/>
    <n v="75.7"/>
  </r>
  <r>
    <x v="7"/>
    <x v="6"/>
    <x v="1"/>
    <n v="22216"/>
    <n v="88000"/>
    <n v="106913"/>
    <n v="160423"/>
    <n v="75.7"/>
  </r>
  <r>
    <x v="7"/>
    <x v="6"/>
    <x v="2"/>
    <n v="32601"/>
    <n v="119000"/>
    <n v="128539"/>
    <n v="216935"/>
    <n v="75.7"/>
  </r>
  <r>
    <x v="7"/>
    <x v="6"/>
    <x v="3"/>
    <n v="43370"/>
    <n v="97000"/>
    <n v="109340"/>
    <n v="176830"/>
    <n v="75.7"/>
  </r>
  <r>
    <x v="7"/>
    <x v="7"/>
    <x v="0"/>
    <n v="20006"/>
    <n v="119950"/>
    <n v="132026"/>
    <n v="218667"/>
    <n v="75.7"/>
  </r>
  <r>
    <x v="7"/>
    <x v="7"/>
    <x v="1"/>
    <n v="4166"/>
    <n v="69950"/>
    <n v="85052"/>
    <n v="127518"/>
    <n v="75.7"/>
  </r>
  <r>
    <x v="7"/>
    <x v="7"/>
    <x v="2"/>
    <n v="19133"/>
    <n v="67500"/>
    <n v="74532"/>
    <n v="123052"/>
    <n v="75.7"/>
  </r>
  <r>
    <x v="7"/>
    <x v="7"/>
    <x v="3"/>
    <n v="24093"/>
    <n v="49950"/>
    <n v="58087"/>
    <n v="91058"/>
    <n v="75.7"/>
  </r>
  <r>
    <x v="7"/>
    <x v="8"/>
    <x v="0"/>
    <n v="30739"/>
    <n v="162500"/>
    <n v="187376"/>
    <n v="296235"/>
    <n v="75.7"/>
  </r>
  <r>
    <x v="7"/>
    <x v="8"/>
    <x v="1"/>
    <n v="11475"/>
    <n v="69500"/>
    <n v="83762"/>
    <n v="126697"/>
    <n v="75.7"/>
  </r>
  <r>
    <x v="7"/>
    <x v="8"/>
    <x v="2"/>
    <n v="40564"/>
    <n v="86500"/>
    <n v="95733"/>
    <n v="157688"/>
    <n v="75.7"/>
  </r>
  <r>
    <x v="7"/>
    <x v="8"/>
    <x v="3"/>
    <n v="37793"/>
    <n v="67500"/>
    <n v="74421"/>
    <n v="123052"/>
    <n v="75.7"/>
  </r>
  <r>
    <x v="7"/>
    <x v="9"/>
    <x v="0"/>
    <n v="28791"/>
    <n v="129000"/>
    <n v="149635"/>
    <n v="235165"/>
    <n v="75.7"/>
  </r>
  <r>
    <x v="7"/>
    <x v="9"/>
    <x v="1"/>
    <n v="8548"/>
    <n v="75950"/>
    <n v="87150"/>
    <n v="138456"/>
    <n v="75.7"/>
  </r>
  <r>
    <x v="7"/>
    <x v="9"/>
    <x v="2"/>
    <n v="41047"/>
    <n v="69950"/>
    <n v="77838"/>
    <n v="127518"/>
    <n v="75.7"/>
  </r>
  <r>
    <x v="7"/>
    <x v="9"/>
    <x v="3"/>
    <n v="46763"/>
    <n v="46500"/>
    <n v="56477"/>
    <n v="84769"/>
    <n v="75.7"/>
  </r>
  <r>
    <x v="8"/>
    <x v="0"/>
    <x v="0"/>
    <n v="33374"/>
    <n v="167000"/>
    <n v="188113"/>
    <n v="300469"/>
    <n v="76.7"/>
  </r>
  <r>
    <x v="8"/>
    <x v="0"/>
    <x v="1"/>
    <n v="6535"/>
    <n v="87000"/>
    <n v="97074"/>
    <n v="156532"/>
    <n v="76.7"/>
  </r>
  <r>
    <x v="8"/>
    <x v="0"/>
    <x v="2"/>
    <n v="34133"/>
    <n v="97000"/>
    <n v="104887"/>
    <n v="174524"/>
    <n v="76.7"/>
  </r>
  <r>
    <x v="8"/>
    <x v="0"/>
    <x v="3"/>
    <n v="29974"/>
    <n v="78000"/>
    <n v="84632"/>
    <n v="140339"/>
    <n v="76.7"/>
  </r>
  <r>
    <x v="8"/>
    <x v="1"/>
    <x v="0"/>
    <n v="36703"/>
    <n v="215000"/>
    <n v="253245"/>
    <n v="386832"/>
    <n v="76.7"/>
  </r>
  <r>
    <x v="8"/>
    <x v="1"/>
    <x v="1"/>
    <n v="21395"/>
    <n v="105000"/>
    <n v="115550"/>
    <n v="188918"/>
    <n v="76.7"/>
  </r>
  <r>
    <x v="8"/>
    <x v="1"/>
    <x v="2"/>
    <n v="36302"/>
    <n v="148000"/>
    <n v="161738"/>
    <n v="266284"/>
    <n v="76.7"/>
  </r>
  <r>
    <x v="8"/>
    <x v="1"/>
    <x v="3"/>
    <n v="39076"/>
    <n v="126000"/>
    <n v="136179"/>
    <n v="226701"/>
    <n v="76.7"/>
  </r>
  <r>
    <x v="8"/>
    <x v="2"/>
    <x v="0"/>
    <n v="5985"/>
    <n v="390000"/>
    <n v="508883"/>
    <n v="701695"/>
    <n v="76.7"/>
  </r>
  <r>
    <x v="8"/>
    <x v="2"/>
    <x v="1"/>
    <n v="74896"/>
    <n v="173000"/>
    <n v="216498"/>
    <n v="311265"/>
    <n v="76.7"/>
  </r>
  <r>
    <x v="8"/>
    <x v="2"/>
    <x v="2"/>
    <n v="23716"/>
    <n v="244997"/>
    <n v="283746"/>
    <n v="440803"/>
    <n v="76.7"/>
  </r>
  <r>
    <x v="8"/>
    <x v="2"/>
    <x v="3"/>
    <n v="47844"/>
    <n v="204950"/>
    <n v="257889"/>
    <n v="368750"/>
    <n v="76.7"/>
  </r>
  <r>
    <x v="8"/>
    <x v="3"/>
    <x v="0"/>
    <n v="10775"/>
    <n v="155000"/>
    <n v="174521"/>
    <n v="278879"/>
    <n v="76.7"/>
  </r>
  <r>
    <x v="8"/>
    <x v="3"/>
    <x v="1"/>
    <n v="8703"/>
    <n v="64000"/>
    <n v="81092"/>
    <n v="115150"/>
    <n v="76.7"/>
  </r>
  <r>
    <x v="8"/>
    <x v="3"/>
    <x v="2"/>
    <n v="16964"/>
    <n v="85000"/>
    <n v="92730"/>
    <n v="152934"/>
    <n v="76.7"/>
  </r>
  <r>
    <x v="8"/>
    <x v="3"/>
    <x v="3"/>
    <n v="24038"/>
    <n v="53500"/>
    <n v="65223"/>
    <n v="96258"/>
    <n v="76.7"/>
  </r>
  <r>
    <x v="8"/>
    <x v="4"/>
    <x v="0"/>
    <n v="28740"/>
    <n v="171000"/>
    <n v="200196"/>
    <n v="307666"/>
    <n v="76.7"/>
  </r>
  <r>
    <x v="8"/>
    <x v="4"/>
    <x v="1"/>
    <n v="17798"/>
    <n v="93500"/>
    <n v="105426"/>
    <n v="168227"/>
    <n v="76.7"/>
  </r>
  <r>
    <x v="8"/>
    <x v="4"/>
    <x v="2"/>
    <n v="53384"/>
    <n v="94950"/>
    <n v="105383"/>
    <n v="170836"/>
    <n v="76.7"/>
  </r>
  <r>
    <x v="8"/>
    <x v="4"/>
    <x v="3"/>
    <n v="67239"/>
    <n v="55000"/>
    <n v="63757"/>
    <n v="98957"/>
    <n v="76.7"/>
  </r>
  <r>
    <x v="8"/>
    <x v="5"/>
    <x v="0"/>
    <n v="47997"/>
    <n v="279950"/>
    <n v="332258"/>
    <n v="503691"/>
    <n v="76.7"/>
  </r>
  <r>
    <x v="8"/>
    <x v="5"/>
    <x v="1"/>
    <n v="40830"/>
    <n v="120000"/>
    <n v="132532"/>
    <n v="215906"/>
    <n v="76.7"/>
  </r>
  <r>
    <x v="8"/>
    <x v="5"/>
    <x v="2"/>
    <n v="51940"/>
    <n v="177500"/>
    <n v="190462"/>
    <n v="319361"/>
    <n v="76.7"/>
  </r>
  <r>
    <x v="8"/>
    <x v="5"/>
    <x v="3"/>
    <n v="54970"/>
    <n v="144000"/>
    <n v="155206"/>
    <n v="259087"/>
    <n v="76.7"/>
  </r>
  <r>
    <x v="8"/>
    <x v="6"/>
    <x v="0"/>
    <n v="34593"/>
    <n v="225000"/>
    <n v="252796"/>
    <n v="404824"/>
    <n v="76.7"/>
  </r>
  <r>
    <x v="8"/>
    <x v="6"/>
    <x v="1"/>
    <n v="21317"/>
    <n v="108000"/>
    <n v="124753"/>
    <n v="194316"/>
    <n v="76.7"/>
  </r>
  <r>
    <x v="8"/>
    <x v="6"/>
    <x v="2"/>
    <n v="29582"/>
    <n v="141000"/>
    <n v="152319"/>
    <n v="253690"/>
    <n v="76.7"/>
  </r>
  <r>
    <x v="8"/>
    <x v="6"/>
    <x v="3"/>
    <n v="38727"/>
    <n v="120000"/>
    <n v="131276"/>
    <n v="215906"/>
    <n v="76.7"/>
  </r>
  <r>
    <x v="8"/>
    <x v="7"/>
    <x v="0"/>
    <n v="18432"/>
    <n v="146858"/>
    <n v="160230"/>
    <n v="264229"/>
    <n v="76.7"/>
  </r>
  <r>
    <x v="8"/>
    <x v="7"/>
    <x v="1"/>
    <n v="4023"/>
    <n v="86000"/>
    <n v="97680"/>
    <n v="154733"/>
    <n v="76.7"/>
  </r>
  <r>
    <x v="8"/>
    <x v="7"/>
    <x v="2"/>
    <n v="18058"/>
    <n v="85000"/>
    <n v="91972"/>
    <n v="152934"/>
    <n v="76.7"/>
  </r>
  <r>
    <x v="8"/>
    <x v="7"/>
    <x v="3"/>
    <n v="23477"/>
    <n v="63000"/>
    <n v="71619"/>
    <n v="113351"/>
    <n v="76.7"/>
  </r>
  <r>
    <x v="8"/>
    <x v="8"/>
    <x v="0"/>
    <n v="25915"/>
    <n v="192495"/>
    <n v="220286"/>
    <n v="346340"/>
    <n v="76.7"/>
  </r>
  <r>
    <x v="8"/>
    <x v="8"/>
    <x v="1"/>
    <n v="12327"/>
    <n v="88750"/>
    <n v="102868"/>
    <n v="159681"/>
    <n v="76.7"/>
  </r>
  <r>
    <x v="8"/>
    <x v="8"/>
    <x v="2"/>
    <n v="36821"/>
    <n v="108000"/>
    <n v="116401"/>
    <n v="194316"/>
    <n v="76.7"/>
  </r>
  <r>
    <x v="8"/>
    <x v="8"/>
    <x v="3"/>
    <n v="35517"/>
    <n v="83500"/>
    <n v="90835"/>
    <n v="150235"/>
    <n v="76.7"/>
  </r>
  <r>
    <x v="8"/>
    <x v="9"/>
    <x v="0"/>
    <n v="25305"/>
    <n v="161950"/>
    <n v="184742"/>
    <n v="291383"/>
    <n v="76.7"/>
  </r>
  <r>
    <x v="8"/>
    <x v="9"/>
    <x v="1"/>
    <n v="10283"/>
    <n v="94000"/>
    <n v="104845"/>
    <n v="169126"/>
    <n v="76.7"/>
  </r>
  <r>
    <x v="8"/>
    <x v="9"/>
    <x v="2"/>
    <n v="38950"/>
    <n v="89500"/>
    <n v="98481"/>
    <n v="161030"/>
    <n v="76.7"/>
  </r>
  <r>
    <x v="8"/>
    <x v="9"/>
    <x v="3"/>
    <n v="47079"/>
    <n v="59950"/>
    <n v="70061"/>
    <n v="107863"/>
    <n v="76.7"/>
  </r>
  <r>
    <x v="9"/>
    <x v="0"/>
    <x v="0"/>
    <n v="33067"/>
    <n v="187000"/>
    <n v="211278"/>
    <n v="331697"/>
    <n v="77.8"/>
  </r>
  <r>
    <x v="9"/>
    <x v="0"/>
    <x v="1"/>
    <n v="6820"/>
    <n v="102000"/>
    <n v="109553"/>
    <n v="180925"/>
    <n v="77.8"/>
  </r>
  <r>
    <x v="9"/>
    <x v="0"/>
    <x v="2"/>
    <n v="34254"/>
    <n v="118000"/>
    <n v="123008"/>
    <n v="209306"/>
    <n v="77.8"/>
  </r>
  <r>
    <x v="9"/>
    <x v="0"/>
    <x v="3"/>
    <n v="28426"/>
    <n v="94000"/>
    <n v="102093"/>
    <n v="166735"/>
    <n v="77.8"/>
  </r>
  <r>
    <x v="9"/>
    <x v="1"/>
    <x v="0"/>
    <n v="37876"/>
    <n v="235000"/>
    <n v="274807"/>
    <n v="416838"/>
    <n v="77.8"/>
  </r>
  <r>
    <x v="9"/>
    <x v="1"/>
    <x v="1"/>
    <n v="21271"/>
    <n v="120000"/>
    <n v="128844"/>
    <n v="212853"/>
    <n v="77.8"/>
  </r>
  <r>
    <x v="9"/>
    <x v="1"/>
    <x v="2"/>
    <n v="37703"/>
    <n v="165000"/>
    <n v="179743"/>
    <n v="292674"/>
    <n v="77.8"/>
  </r>
  <r>
    <x v="9"/>
    <x v="1"/>
    <x v="3"/>
    <n v="39727"/>
    <n v="142000"/>
    <n v="153080"/>
    <n v="251877"/>
    <n v="77.8"/>
  </r>
  <r>
    <x v="9"/>
    <x v="2"/>
    <x v="0"/>
    <n v="6101"/>
    <n v="430000"/>
    <n v="558916"/>
    <n v="762725"/>
    <n v="77.8"/>
  </r>
  <r>
    <x v="9"/>
    <x v="2"/>
    <x v="1"/>
    <n v="80951"/>
    <n v="191000"/>
    <n v="237976"/>
    <n v="338792"/>
    <n v="77.8"/>
  </r>
  <r>
    <x v="9"/>
    <x v="2"/>
    <x v="2"/>
    <n v="24059"/>
    <n v="250000"/>
    <n v="311305"/>
    <n v="443445"/>
    <n v="77.8"/>
  </r>
  <r>
    <x v="9"/>
    <x v="2"/>
    <x v="3"/>
    <n v="48400"/>
    <n v="225000"/>
    <n v="285308"/>
    <n v="399100"/>
    <n v="77.8"/>
  </r>
  <r>
    <x v="9"/>
    <x v="3"/>
    <x v="0"/>
    <n v="10300"/>
    <n v="183500"/>
    <n v="205011"/>
    <n v="325488"/>
    <n v="77.8"/>
  </r>
  <r>
    <x v="9"/>
    <x v="3"/>
    <x v="1"/>
    <n v="8489"/>
    <n v="82000"/>
    <n v="97578"/>
    <n v="145450"/>
    <n v="77.8"/>
  </r>
  <r>
    <x v="9"/>
    <x v="3"/>
    <x v="2"/>
    <n v="15688"/>
    <n v="110000"/>
    <n v="116090"/>
    <n v="195116"/>
    <n v="77.8"/>
  </r>
  <r>
    <x v="9"/>
    <x v="3"/>
    <x v="3"/>
    <n v="23659"/>
    <n v="70000"/>
    <n v="83125"/>
    <n v="124165"/>
    <n v="77.8"/>
  </r>
  <r>
    <x v="9"/>
    <x v="4"/>
    <x v="0"/>
    <n v="26618"/>
    <n v="200500"/>
    <n v="236793"/>
    <n v="355643"/>
    <n v="77.8"/>
  </r>
  <r>
    <x v="9"/>
    <x v="4"/>
    <x v="1"/>
    <n v="19212"/>
    <n v="114000"/>
    <n v="124402"/>
    <n v="202211"/>
    <n v="77.8"/>
  </r>
  <r>
    <x v="9"/>
    <x v="4"/>
    <x v="2"/>
    <n v="50174"/>
    <n v="122000"/>
    <n v="130377"/>
    <n v="216401"/>
    <n v="77.8"/>
  </r>
  <r>
    <x v="9"/>
    <x v="4"/>
    <x v="3"/>
    <n v="66939"/>
    <n v="72950"/>
    <n v="81597"/>
    <n v="129397"/>
    <n v="77.8"/>
  </r>
  <r>
    <x v="9"/>
    <x v="5"/>
    <x v="0"/>
    <n v="51154"/>
    <n v="300000"/>
    <n v="358320"/>
    <n v="532134"/>
    <n v="77.8"/>
  </r>
  <r>
    <x v="9"/>
    <x v="5"/>
    <x v="1"/>
    <n v="43071"/>
    <n v="134950"/>
    <n v="147162"/>
    <n v="239371"/>
    <n v="77.8"/>
  </r>
  <r>
    <x v="9"/>
    <x v="5"/>
    <x v="2"/>
    <n v="53552"/>
    <n v="192000"/>
    <n v="207716"/>
    <n v="340566"/>
    <n v="77.8"/>
  </r>
  <r>
    <x v="9"/>
    <x v="5"/>
    <x v="3"/>
    <n v="55000"/>
    <n v="158500"/>
    <n v="171124"/>
    <n v="281144"/>
    <n v="77.8"/>
  </r>
  <r>
    <x v="9"/>
    <x v="6"/>
    <x v="0"/>
    <n v="34587"/>
    <n v="247000"/>
    <n v="280794"/>
    <n v="438123"/>
    <n v="77.8"/>
  </r>
  <r>
    <x v="9"/>
    <x v="6"/>
    <x v="1"/>
    <n v="22148"/>
    <n v="124950"/>
    <n v="141002"/>
    <n v="221634"/>
    <n v="77.8"/>
  </r>
  <r>
    <x v="9"/>
    <x v="6"/>
    <x v="2"/>
    <n v="29248"/>
    <n v="160000"/>
    <n v="173683"/>
    <n v="283805"/>
    <n v="77.8"/>
  </r>
  <r>
    <x v="9"/>
    <x v="6"/>
    <x v="3"/>
    <n v="37325"/>
    <n v="137500"/>
    <n v="151372"/>
    <n v="243895"/>
    <n v="77.8"/>
  </r>
  <r>
    <x v="9"/>
    <x v="7"/>
    <x v="0"/>
    <n v="16208"/>
    <n v="177000"/>
    <n v="192663"/>
    <n v="313959"/>
    <n v="77.8"/>
  </r>
  <r>
    <x v="9"/>
    <x v="7"/>
    <x v="1"/>
    <n v="4128"/>
    <n v="110000"/>
    <n v="117114"/>
    <n v="195116"/>
    <n v="77.8"/>
  </r>
  <r>
    <x v="9"/>
    <x v="7"/>
    <x v="2"/>
    <n v="16004"/>
    <n v="111950"/>
    <n v="118731"/>
    <n v="198575"/>
    <n v="77.8"/>
  </r>
  <r>
    <x v="9"/>
    <x v="7"/>
    <x v="3"/>
    <n v="20881"/>
    <n v="83000"/>
    <n v="92179"/>
    <n v="147224"/>
    <n v="77.8"/>
  </r>
  <r>
    <x v="9"/>
    <x v="8"/>
    <x v="0"/>
    <n v="25312"/>
    <n v="220000"/>
    <n v="247669"/>
    <n v="390231"/>
    <n v="77.8"/>
  </r>
  <r>
    <x v="9"/>
    <x v="8"/>
    <x v="1"/>
    <n v="12889"/>
    <n v="105000"/>
    <n v="117323"/>
    <n v="186247"/>
    <n v="77.8"/>
  </r>
  <r>
    <x v="9"/>
    <x v="8"/>
    <x v="2"/>
    <n v="37135"/>
    <n v="127500"/>
    <n v="136520"/>
    <n v="226157"/>
    <n v="77.8"/>
  </r>
  <r>
    <x v="9"/>
    <x v="8"/>
    <x v="3"/>
    <n v="34752"/>
    <n v="100000"/>
    <n v="109436"/>
    <n v="177378"/>
    <n v="77.8"/>
  </r>
  <r>
    <x v="9"/>
    <x v="9"/>
    <x v="0"/>
    <n v="23913"/>
    <n v="189950"/>
    <n v="216376"/>
    <n v="336929"/>
    <n v="77.8"/>
  </r>
  <r>
    <x v="9"/>
    <x v="9"/>
    <x v="1"/>
    <n v="11083"/>
    <n v="115000"/>
    <n v="121964"/>
    <n v="203985"/>
    <n v="77.8"/>
  </r>
  <r>
    <x v="9"/>
    <x v="9"/>
    <x v="2"/>
    <n v="37882"/>
    <n v="115000"/>
    <n v="120734"/>
    <n v="203985"/>
    <n v="77.8"/>
  </r>
  <r>
    <x v="9"/>
    <x v="9"/>
    <x v="3"/>
    <n v="44986"/>
    <n v="77000"/>
    <n v="87849"/>
    <n v="136581"/>
    <n v="77.8"/>
  </r>
  <r>
    <x v="10"/>
    <x v="0"/>
    <x v="0"/>
    <n v="26282"/>
    <n v="199950"/>
    <n v="226467"/>
    <n v="347520"/>
    <n v="79.400000000000006"/>
  </r>
  <r>
    <x v="10"/>
    <x v="0"/>
    <x v="1"/>
    <n v="6713"/>
    <n v="110000"/>
    <n v="116764"/>
    <n v="191184"/>
    <n v="79.400000000000006"/>
  </r>
  <r>
    <x v="10"/>
    <x v="0"/>
    <x v="2"/>
    <n v="29744"/>
    <n v="125000"/>
    <n v="131882"/>
    <n v="217254"/>
    <n v="79.400000000000006"/>
  </r>
  <r>
    <x v="10"/>
    <x v="0"/>
    <x v="3"/>
    <n v="24760"/>
    <n v="104000"/>
    <n v="111481"/>
    <n v="180756"/>
    <n v="79.400000000000006"/>
  </r>
  <r>
    <x v="10"/>
    <x v="1"/>
    <x v="0"/>
    <n v="31482"/>
    <n v="247000"/>
    <n v="295261"/>
    <n v="429295"/>
    <n v="79.400000000000006"/>
  </r>
  <r>
    <x v="10"/>
    <x v="1"/>
    <x v="1"/>
    <n v="20104"/>
    <n v="128500"/>
    <n v="139653"/>
    <n v="223338"/>
    <n v="79.400000000000006"/>
  </r>
  <r>
    <x v="10"/>
    <x v="1"/>
    <x v="2"/>
    <n v="32945"/>
    <n v="170500"/>
    <n v="187310"/>
    <n v="296335"/>
    <n v="79.400000000000006"/>
  </r>
  <r>
    <x v="10"/>
    <x v="1"/>
    <x v="3"/>
    <n v="34034"/>
    <n v="148000"/>
    <n v="159668"/>
    <n v="257229"/>
    <n v="79.400000000000006"/>
  </r>
  <r>
    <x v="10"/>
    <x v="2"/>
    <x v="0"/>
    <n v="5333"/>
    <n v="450000"/>
    <n v="582844"/>
    <n v="782116"/>
    <n v="79.400000000000006"/>
  </r>
  <r>
    <x v="10"/>
    <x v="2"/>
    <x v="1"/>
    <n v="70553"/>
    <n v="200000"/>
    <n v="248539"/>
    <n v="347607"/>
    <n v="79.400000000000006"/>
  </r>
  <r>
    <x v="10"/>
    <x v="2"/>
    <x v="2"/>
    <n v="20806"/>
    <n v="266000"/>
    <n v="330520"/>
    <n v="462317"/>
    <n v="79.400000000000006"/>
  </r>
  <r>
    <x v="10"/>
    <x v="2"/>
    <x v="3"/>
    <n v="41912"/>
    <n v="235000"/>
    <n v="304152"/>
    <n v="408438"/>
    <n v="79.400000000000006"/>
  </r>
  <r>
    <x v="10"/>
    <x v="3"/>
    <x v="0"/>
    <n v="7693"/>
    <n v="199950"/>
    <n v="227043"/>
    <n v="347520"/>
    <n v="79.400000000000006"/>
  </r>
  <r>
    <x v="10"/>
    <x v="3"/>
    <x v="1"/>
    <n v="8357"/>
    <n v="91950"/>
    <n v="104846"/>
    <n v="159812"/>
    <n v="79.400000000000006"/>
  </r>
  <r>
    <x v="10"/>
    <x v="3"/>
    <x v="2"/>
    <n v="13958"/>
    <n v="120000"/>
    <n v="127625"/>
    <n v="208564"/>
    <n v="79.400000000000006"/>
  </r>
  <r>
    <x v="10"/>
    <x v="3"/>
    <x v="3"/>
    <n v="20159"/>
    <n v="82950"/>
    <n v="95588"/>
    <n v="144170"/>
    <n v="79.400000000000006"/>
  </r>
  <r>
    <x v="10"/>
    <x v="4"/>
    <x v="0"/>
    <n v="19720"/>
    <n v="224000"/>
    <n v="261109"/>
    <n v="389320"/>
    <n v="79.400000000000006"/>
  </r>
  <r>
    <x v="10"/>
    <x v="4"/>
    <x v="1"/>
    <n v="19197"/>
    <n v="121035"/>
    <n v="133081"/>
    <n v="210363"/>
    <n v="79.400000000000006"/>
  </r>
  <r>
    <x v="10"/>
    <x v="4"/>
    <x v="2"/>
    <n v="40290"/>
    <n v="133000"/>
    <n v="143454"/>
    <n v="231159"/>
    <n v="79.400000000000006"/>
  </r>
  <r>
    <x v="10"/>
    <x v="4"/>
    <x v="3"/>
    <n v="55608"/>
    <n v="84000"/>
    <n v="93059"/>
    <n v="145995"/>
    <n v="79.400000000000006"/>
  </r>
  <r>
    <x v="10"/>
    <x v="5"/>
    <x v="0"/>
    <n v="42499"/>
    <n v="315000"/>
    <n v="377151"/>
    <n v="547481"/>
    <n v="79.400000000000006"/>
  </r>
  <r>
    <x v="10"/>
    <x v="5"/>
    <x v="1"/>
    <n v="39158"/>
    <n v="141500"/>
    <n v="155572"/>
    <n v="245932"/>
    <n v="79.400000000000006"/>
  </r>
  <r>
    <x v="10"/>
    <x v="5"/>
    <x v="2"/>
    <n v="45530"/>
    <n v="200000"/>
    <n v="216088"/>
    <n v="347607"/>
    <n v="79.400000000000006"/>
  </r>
  <r>
    <x v="10"/>
    <x v="5"/>
    <x v="3"/>
    <n v="48354"/>
    <n v="165000"/>
    <n v="179965"/>
    <n v="286776"/>
    <n v="79.400000000000006"/>
  </r>
  <r>
    <x v="10"/>
    <x v="6"/>
    <x v="0"/>
    <n v="28766"/>
    <n v="250000"/>
    <n v="295128"/>
    <n v="434509"/>
    <n v="79.400000000000006"/>
  </r>
  <r>
    <x v="10"/>
    <x v="6"/>
    <x v="1"/>
    <n v="20014"/>
    <n v="128500"/>
    <n v="145386"/>
    <n v="223338"/>
    <n v="79.400000000000006"/>
  </r>
  <r>
    <x v="10"/>
    <x v="6"/>
    <x v="2"/>
    <n v="25898"/>
    <n v="168500"/>
    <n v="183318"/>
    <n v="292859"/>
    <n v="79.400000000000006"/>
  </r>
  <r>
    <x v="10"/>
    <x v="6"/>
    <x v="3"/>
    <n v="33909"/>
    <n v="145000"/>
    <n v="158682"/>
    <n v="252015"/>
    <n v="79.400000000000006"/>
  </r>
  <r>
    <x v="10"/>
    <x v="7"/>
    <x v="0"/>
    <n v="12557"/>
    <n v="195000"/>
    <n v="213475"/>
    <n v="338917"/>
    <n v="79.400000000000006"/>
  </r>
  <r>
    <x v="10"/>
    <x v="7"/>
    <x v="1"/>
    <n v="3966"/>
    <n v="124125"/>
    <n v="131638"/>
    <n v="215734"/>
    <n v="79.400000000000006"/>
  </r>
  <r>
    <x v="10"/>
    <x v="7"/>
    <x v="2"/>
    <n v="13762"/>
    <n v="123000"/>
    <n v="130442"/>
    <n v="213778"/>
    <n v="79.400000000000006"/>
  </r>
  <r>
    <x v="10"/>
    <x v="7"/>
    <x v="3"/>
    <n v="18019"/>
    <n v="94000"/>
    <n v="104133"/>
    <n v="163375"/>
    <n v="79.400000000000006"/>
  </r>
  <r>
    <x v="10"/>
    <x v="8"/>
    <x v="0"/>
    <n v="19710"/>
    <n v="235000"/>
    <n v="265043"/>
    <n v="408438"/>
    <n v="79.400000000000006"/>
  </r>
  <r>
    <x v="10"/>
    <x v="8"/>
    <x v="1"/>
    <n v="13129"/>
    <n v="116000"/>
    <n v="124969"/>
    <n v="201612"/>
    <n v="79.400000000000006"/>
  </r>
  <r>
    <x v="10"/>
    <x v="8"/>
    <x v="2"/>
    <n v="32029"/>
    <n v="135000"/>
    <n v="145749"/>
    <n v="234635"/>
    <n v="79.400000000000006"/>
  </r>
  <r>
    <x v="10"/>
    <x v="8"/>
    <x v="3"/>
    <n v="31124"/>
    <n v="110000"/>
    <n v="118022"/>
    <n v="191184"/>
    <n v="79.400000000000006"/>
  </r>
  <r>
    <x v="10"/>
    <x v="9"/>
    <x v="0"/>
    <n v="18936"/>
    <n v="208500"/>
    <n v="236640"/>
    <n v="362380"/>
    <n v="79.400000000000006"/>
  </r>
  <r>
    <x v="10"/>
    <x v="9"/>
    <x v="1"/>
    <n v="10567"/>
    <n v="119500"/>
    <n v="127814"/>
    <n v="207695"/>
    <n v="79.400000000000006"/>
  </r>
  <r>
    <x v="10"/>
    <x v="9"/>
    <x v="2"/>
    <n v="32890"/>
    <n v="124950"/>
    <n v="133226"/>
    <n v="217168"/>
    <n v="79.400000000000006"/>
  </r>
  <r>
    <x v="10"/>
    <x v="9"/>
    <x v="3"/>
    <n v="40459"/>
    <n v="89000"/>
    <n v="100678"/>
    <n v="154685"/>
    <n v="79.400000000000006"/>
  </r>
  <r>
    <x v="11"/>
    <x v="0"/>
    <x v="0"/>
    <n v="33083"/>
    <n v="205000"/>
    <n v="232597"/>
    <n v="347543"/>
    <n v="81.400000000000006"/>
  </r>
  <r>
    <x v="11"/>
    <x v="0"/>
    <x v="1"/>
    <n v="9390"/>
    <n v="115000"/>
    <n v="118787"/>
    <n v="194963"/>
    <n v="81.400000000000006"/>
  </r>
  <r>
    <x v="11"/>
    <x v="0"/>
    <x v="2"/>
    <n v="36545"/>
    <n v="130000"/>
    <n v="138626"/>
    <n v="220393"/>
    <n v="81.400000000000006"/>
  </r>
  <r>
    <x v="11"/>
    <x v="0"/>
    <x v="3"/>
    <n v="29792"/>
    <n v="110000"/>
    <n v="117082"/>
    <n v="186486"/>
    <n v="81.400000000000006"/>
  </r>
  <r>
    <x v="11"/>
    <x v="1"/>
    <x v="0"/>
    <n v="40498"/>
    <n v="250000"/>
    <n v="309130"/>
    <n v="423833"/>
    <n v="81.400000000000006"/>
  </r>
  <r>
    <x v="11"/>
    <x v="1"/>
    <x v="1"/>
    <n v="25661"/>
    <n v="135000"/>
    <n v="148323"/>
    <n v="228870"/>
    <n v="81.400000000000006"/>
  </r>
  <r>
    <x v="11"/>
    <x v="1"/>
    <x v="2"/>
    <n v="41073"/>
    <n v="178500"/>
    <n v="197914"/>
    <n v="302617"/>
    <n v="81.400000000000006"/>
  </r>
  <r>
    <x v="11"/>
    <x v="1"/>
    <x v="3"/>
    <n v="41887"/>
    <n v="155500"/>
    <n v="170338"/>
    <n v="263624"/>
    <n v="81.400000000000006"/>
  </r>
  <r>
    <x v="11"/>
    <x v="2"/>
    <x v="0"/>
    <n v="7352"/>
    <n v="480000"/>
    <n v="634931"/>
    <n v="813759"/>
    <n v="81.400000000000006"/>
  </r>
  <r>
    <x v="11"/>
    <x v="2"/>
    <x v="1"/>
    <n v="88402"/>
    <n v="217500"/>
    <n v="267697"/>
    <n v="368735"/>
    <n v="81.400000000000006"/>
  </r>
  <r>
    <x v="11"/>
    <x v="2"/>
    <x v="2"/>
    <n v="26260"/>
    <n v="285000"/>
    <n v="355975"/>
    <n v="483170"/>
    <n v="81.400000000000006"/>
  </r>
  <r>
    <x v="11"/>
    <x v="2"/>
    <x v="3"/>
    <n v="51557"/>
    <n v="245500"/>
    <n v="333611"/>
    <n v="416204"/>
    <n v="81.400000000000006"/>
  </r>
  <r>
    <x v="11"/>
    <x v="3"/>
    <x v="0"/>
    <n v="9623"/>
    <n v="205000"/>
    <n v="233584"/>
    <n v="347543"/>
    <n v="81.400000000000006"/>
  </r>
  <r>
    <x v="11"/>
    <x v="3"/>
    <x v="1"/>
    <n v="9433"/>
    <n v="102500"/>
    <n v="112243"/>
    <n v="173771"/>
    <n v="81.400000000000006"/>
  </r>
  <r>
    <x v="11"/>
    <x v="3"/>
    <x v="2"/>
    <n v="17999"/>
    <n v="127000"/>
    <n v="136485"/>
    <n v="215307"/>
    <n v="81.400000000000006"/>
  </r>
  <r>
    <x v="11"/>
    <x v="3"/>
    <x v="3"/>
    <n v="23337"/>
    <n v="90000"/>
    <n v="106286"/>
    <n v="152580"/>
    <n v="81.400000000000006"/>
  </r>
  <r>
    <x v="11"/>
    <x v="4"/>
    <x v="0"/>
    <n v="24919"/>
    <n v="232500"/>
    <n v="272977"/>
    <n v="394165"/>
    <n v="81.400000000000006"/>
  </r>
  <r>
    <x v="11"/>
    <x v="4"/>
    <x v="1"/>
    <n v="23699"/>
    <n v="127000"/>
    <n v="139244"/>
    <n v="215307"/>
    <n v="81.400000000000006"/>
  </r>
  <r>
    <x v="11"/>
    <x v="4"/>
    <x v="2"/>
    <n v="51553"/>
    <n v="140000"/>
    <n v="153164"/>
    <n v="237346"/>
    <n v="81.400000000000006"/>
  </r>
  <r>
    <x v="11"/>
    <x v="4"/>
    <x v="3"/>
    <n v="64050"/>
    <n v="93000"/>
    <n v="104516"/>
    <n v="157666"/>
    <n v="81.400000000000006"/>
  </r>
  <r>
    <x v="11"/>
    <x v="5"/>
    <x v="0"/>
    <n v="55947"/>
    <n v="334000"/>
    <n v="402464"/>
    <n v="566241"/>
    <n v="81.400000000000006"/>
  </r>
  <r>
    <x v="11"/>
    <x v="5"/>
    <x v="1"/>
    <n v="50460"/>
    <n v="148000"/>
    <n v="162797"/>
    <n v="250909"/>
    <n v="81.400000000000006"/>
  </r>
  <r>
    <x v="11"/>
    <x v="5"/>
    <x v="2"/>
    <n v="58008"/>
    <n v="213000"/>
    <n v="228829"/>
    <n v="361106"/>
    <n v="81.400000000000006"/>
  </r>
  <r>
    <x v="11"/>
    <x v="5"/>
    <x v="3"/>
    <n v="60494"/>
    <n v="173000"/>
    <n v="190400"/>
    <n v="293292"/>
    <n v="81.400000000000006"/>
  </r>
  <r>
    <x v="11"/>
    <x v="6"/>
    <x v="0"/>
    <n v="38125"/>
    <n v="267000"/>
    <n v="308774"/>
    <n v="452654"/>
    <n v="81.400000000000006"/>
  </r>
  <r>
    <x v="11"/>
    <x v="6"/>
    <x v="1"/>
    <n v="26762"/>
    <n v="136000"/>
    <n v="153426"/>
    <n v="230565"/>
    <n v="81.400000000000006"/>
  </r>
  <r>
    <x v="11"/>
    <x v="6"/>
    <x v="2"/>
    <n v="33100"/>
    <n v="176000"/>
    <n v="192579"/>
    <n v="298378"/>
    <n v="81.400000000000006"/>
  </r>
  <r>
    <x v="11"/>
    <x v="6"/>
    <x v="3"/>
    <n v="43047"/>
    <n v="154000"/>
    <n v="170023"/>
    <n v="261081"/>
    <n v="81.400000000000006"/>
  </r>
  <r>
    <x v="11"/>
    <x v="7"/>
    <x v="0"/>
    <n v="15825"/>
    <n v="202500"/>
    <n v="226041"/>
    <n v="343305"/>
    <n v="81.400000000000006"/>
  </r>
  <r>
    <x v="11"/>
    <x v="7"/>
    <x v="1"/>
    <n v="4870"/>
    <n v="120773"/>
    <n v="132153"/>
    <n v="204750"/>
    <n v="81.400000000000006"/>
  </r>
  <r>
    <x v="11"/>
    <x v="7"/>
    <x v="2"/>
    <n v="17836"/>
    <n v="131000"/>
    <n v="141054"/>
    <n v="222088"/>
    <n v="81.400000000000006"/>
  </r>
  <r>
    <x v="11"/>
    <x v="7"/>
    <x v="3"/>
    <n v="21715"/>
    <n v="104000"/>
    <n v="112291"/>
    <n v="176314"/>
    <n v="81.400000000000006"/>
  </r>
  <r>
    <x v="11"/>
    <x v="8"/>
    <x v="0"/>
    <n v="25164"/>
    <n v="245000"/>
    <n v="278489"/>
    <n v="415356"/>
    <n v="81.400000000000006"/>
  </r>
  <r>
    <x v="11"/>
    <x v="8"/>
    <x v="1"/>
    <n v="16011"/>
    <n v="119000"/>
    <n v="128871"/>
    <n v="201744"/>
    <n v="81.400000000000006"/>
  </r>
  <r>
    <x v="11"/>
    <x v="8"/>
    <x v="2"/>
    <n v="39266"/>
    <n v="143000"/>
    <n v="153935"/>
    <n v="242432"/>
    <n v="81.400000000000006"/>
  </r>
  <r>
    <x v="11"/>
    <x v="8"/>
    <x v="3"/>
    <n v="36880"/>
    <n v="118000"/>
    <n v="126561"/>
    <n v="200049"/>
    <n v="81.400000000000006"/>
  </r>
  <r>
    <x v="11"/>
    <x v="9"/>
    <x v="0"/>
    <n v="23875"/>
    <n v="220000"/>
    <n v="250932"/>
    <n v="372973"/>
    <n v="81.400000000000006"/>
  </r>
  <r>
    <x v="11"/>
    <x v="9"/>
    <x v="1"/>
    <n v="13808"/>
    <n v="123000"/>
    <n v="133330"/>
    <n v="208526"/>
    <n v="81.400000000000006"/>
  </r>
  <r>
    <x v="11"/>
    <x v="9"/>
    <x v="2"/>
    <n v="41232"/>
    <n v="132000"/>
    <n v="142456"/>
    <n v="223784"/>
    <n v="81.400000000000006"/>
  </r>
  <r>
    <x v="11"/>
    <x v="9"/>
    <x v="3"/>
    <n v="46778"/>
    <n v="99000"/>
    <n v="111478"/>
    <n v="167838"/>
    <n v="81.400000000000006"/>
  </r>
  <r>
    <x v="12"/>
    <x v="0"/>
    <x v="0"/>
    <n v="31257"/>
    <n v="218000"/>
    <n v="247990"/>
    <n v="361152"/>
    <n v="83.3"/>
  </r>
  <r>
    <x v="12"/>
    <x v="0"/>
    <x v="1"/>
    <n v="9353"/>
    <n v="117000"/>
    <n v="122194"/>
    <n v="193830"/>
    <n v="83.3"/>
  </r>
  <r>
    <x v="12"/>
    <x v="0"/>
    <x v="2"/>
    <n v="35279"/>
    <n v="137000"/>
    <n v="146274"/>
    <n v="226963"/>
    <n v="83.3"/>
  </r>
  <r>
    <x v="12"/>
    <x v="0"/>
    <x v="3"/>
    <n v="28361"/>
    <n v="117000"/>
    <n v="123965"/>
    <n v="193830"/>
    <n v="83.3"/>
  </r>
  <r>
    <x v="12"/>
    <x v="1"/>
    <x v="0"/>
    <n v="37315"/>
    <n v="280000"/>
    <n v="338952"/>
    <n v="463866"/>
    <n v="83.3"/>
  </r>
  <r>
    <x v="12"/>
    <x v="1"/>
    <x v="1"/>
    <n v="27034"/>
    <n v="144500"/>
    <n v="156734"/>
    <n v="239388"/>
    <n v="83.3"/>
  </r>
  <r>
    <x v="12"/>
    <x v="1"/>
    <x v="2"/>
    <n v="39306"/>
    <n v="194000"/>
    <n v="214646"/>
    <n v="321393"/>
    <n v="83.3"/>
  </r>
  <r>
    <x v="12"/>
    <x v="1"/>
    <x v="3"/>
    <n v="39372"/>
    <n v="168000"/>
    <n v="183645"/>
    <n v="278319"/>
    <n v="83.3"/>
  </r>
  <r>
    <x v="12"/>
    <x v="2"/>
    <x v="0"/>
    <n v="7137"/>
    <n v="522000"/>
    <n v="710836"/>
    <n v="864778"/>
    <n v="83.3"/>
  </r>
  <r>
    <x v="12"/>
    <x v="2"/>
    <x v="1"/>
    <n v="88241"/>
    <n v="240000"/>
    <n v="298623"/>
    <n v="397599"/>
    <n v="83.3"/>
  </r>
  <r>
    <x v="12"/>
    <x v="2"/>
    <x v="2"/>
    <n v="24298"/>
    <n v="317000"/>
    <n v="397524"/>
    <n v="525162"/>
    <n v="83.3"/>
  </r>
  <r>
    <x v="12"/>
    <x v="2"/>
    <x v="3"/>
    <n v="47906"/>
    <n v="267000"/>
    <n v="377104"/>
    <n v="442329"/>
    <n v="83.3"/>
  </r>
  <r>
    <x v="12"/>
    <x v="3"/>
    <x v="0"/>
    <n v="9395"/>
    <n v="215000"/>
    <n v="247371"/>
    <n v="356182"/>
    <n v="83.3"/>
  </r>
  <r>
    <x v="12"/>
    <x v="3"/>
    <x v="1"/>
    <n v="9538"/>
    <n v="106207"/>
    <n v="116258"/>
    <n v="175949"/>
    <n v="83.3"/>
  </r>
  <r>
    <x v="12"/>
    <x v="3"/>
    <x v="2"/>
    <n v="18475"/>
    <n v="132000"/>
    <n v="140765"/>
    <n v="218679"/>
    <n v="83.3"/>
  </r>
  <r>
    <x v="12"/>
    <x v="3"/>
    <x v="3"/>
    <n v="23908"/>
    <n v="97000"/>
    <n v="113125"/>
    <n v="160696"/>
    <n v="83.3"/>
  </r>
  <r>
    <x v="12"/>
    <x v="4"/>
    <x v="0"/>
    <n v="23650"/>
    <n v="245000"/>
    <n v="292628"/>
    <n v="405882"/>
    <n v="83.3"/>
  </r>
  <r>
    <x v="12"/>
    <x v="4"/>
    <x v="1"/>
    <n v="24966"/>
    <n v="127995"/>
    <n v="140909"/>
    <n v="212045"/>
    <n v="83.3"/>
  </r>
  <r>
    <x v="12"/>
    <x v="4"/>
    <x v="2"/>
    <n v="49631"/>
    <n v="149000"/>
    <n v="162664"/>
    <n v="246843"/>
    <n v="83.3"/>
  </r>
  <r>
    <x v="12"/>
    <x v="4"/>
    <x v="3"/>
    <n v="62072"/>
    <n v="103000"/>
    <n v="114335"/>
    <n v="170636"/>
    <n v="83.3"/>
  </r>
  <r>
    <x v="12"/>
    <x v="5"/>
    <x v="0"/>
    <n v="51443"/>
    <n v="365000"/>
    <n v="448556"/>
    <n v="604682"/>
    <n v="83.3"/>
  </r>
  <r>
    <x v="12"/>
    <x v="5"/>
    <x v="1"/>
    <n v="53098"/>
    <n v="160000"/>
    <n v="174044"/>
    <n v="265066"/>
    <n v="83.3"/>
  </r>
  <r>
    <x v="12"/>
    <x v="5"/>
    <x v="2"/>
    <n v="53539"/>
    <n v="232995"/>
    <n v="251358"/>
    <n v="385994"/>
    <n v="83.3"/>
  </r>
  <r>
    <x v="12"/>
    <x v="5"/>
    <x v="3"/>
    <n v="57074"/>
    <n v="188000"/>
    <n v="206872"/>
    <n v="311453"/>
    <n v="83.3"/>
  </r>
  <r>
    <x v="12"/>
    <x v="6"/>
    <x v="0"/>
    <n v="34817"/>
    <n v="290500"/>
    <n v="340772"/>
    <n v="481261"/>
    <n v="83.3"/>
  </r>
  <r>
    <x v="12"/>
    <x v="6"/>
    <x v="1"/>
    <n v="27434"/>
    <n v="144105"/>
    <n v="164275"/>
    <n v="238733"/>
    <n v="83.3"/>
  </r>
  <r>
    <x v="12"/>
    <x v="6"/>
    <x v="2"/>
    <n v="29876"/>
    <n v="190000"/>
    <n v="211678"/>
    <n v="314766"/>
    <n v="83.3"/>
  </r>
  <r>
    <x v="12"/>
    <x v="6"/>
    <x v="3"/>
    <n v="38621"/>
    <n v="167500"/>
    <n v="185185"/>
    <n v="277491"/>
    <n v="83.3"/>
  </r>
  <r>
    <x v="12"/>
    <x v="7"/>
    <x v="0"/>
    <n v="15287"/>
    <n v="218000"/>
    <n v="239630"/>
    <n v="361152"/>
    <n v="83.3"/>
  </r>
  <r>
    <x v="12"/>
    <x v="7"/>
    <x v="1"/>
    <n v="6104"/>
    <n v="125000"/>
    <n v="137285"/>
    <n v="207083"/>
    <n v="83.3"/>
  </r>
  <r>
    <x v="12"/>
    <x v="7"/>
    <x v="2"/>
    <n v="16979"/>
    <n v="138000"/>
    <n v="148528"/>
    <n v="228619"/>
    <n v="83.3"/>
  </r>
  <r>
    <x v="12"/>
    <x v="7"/>
    <x v="3"/>
    <n v="19977"/>
    <n v="110000"/>
    <n v="119374"/>
    <n v="182233"/>
    <n v="83.3"/>
  </r>
  <r>
    <x v="12"/>
    <x v="8"/>
    <x v="0"/>
    <n v="23004"/>
    <n v="250000"/>
    <n v="294212"/>
    <n v="414166"/>
    <n v="83.3"/>
  </r>
  <r>
    <x v="12"/>
    <x v="8"/>
    <x v="1"/>
    <n v="15622"/>
    <n v="120835"/>
    <n v="131180"/>
    <n v="200183"/>
    <n v="83.3"/>
  </r>
  <r>
    <x v="12"/>
    <x v="8"/>
    <x v="2"/>
    <n v="36755"/>
    <n v="149000"/>
    <n v="160958"/>
    <n v="246843"/>
    <n v="83.3"/>
  </r>
  <r>
    <x v="12"/>
    <x v="8"/>
    <x v="3"/>
    <n v="35451"/>
    <n v="122950"/>
    <n v="132284"/>
    <n v="203687"/>
    <n v="83.3"/>
  </r>
  <r>
    <x v="12"/>
    <x v="9"/>
    <x v="0"/>
    <n v="22192"/>
    <n v="230000"/>
    <n v="266360"/>
    <n v="381032"/>
    <n v="83.3"/>
  </r>
  <r>
    <x v="12"/>
    <x v="9"/>
    <x v="1"/>
    <n v="14910"/>
    <n v="125000"/>
    <n v="135608"/>
    <n v="207083"/>
    <n v="83.3"/>
  </r>
  <r>
    <x v="12"/>
    <x v="9"/>
    <x v="2"/>
    <n v="39587"/>
    <n v="138500"/>
    <n v="150354"/>
    <n v="229448"/>
    <n v="83.3"/>
  </r>
  <r>
    <x v="12"/>
    <x v="9"/>
    <x v="3"/>
    <n v="43285"/>
    <n v="109000"/>
    <n v="120113"/>
    <n v="180576"/>
    <n v="83.3"/>
  </r>
  <r>
    <x v="13"/>
    <x v="0"/>
    <x v="0"/>
    <n v="16254"/>
    <n v="210000"/>
    <n v="242996"/>
    <n v="336195"/>
    <n v="86.2"/>
  </r>
  <r>
    <x v="13"/>
    <x v="0"/>
    <x v="1"/>
    <n v="5328"/>
    <n v="105000"/>
    <n v="111995"/>
    <n v="168097"/>
    <n v="86.2"/>
  </r>
  <r>
    <x v="13"/>
    <x v="0"/>
    <x v="2"/>
    <n v="18463"/>
    <n v="132000"/>
    <n v="141168"/>
    <n v="211323"/>
    <n v="86.2"/>
  </r>
  <r>
    <x v="13"/>
    <x v="0"/>
    <x v="3"/>
    <n v="14609"/>
    <n v="113500"/>
    <n v="119712"/>
    <n v="181705"/>
    <n v="86.2"/>
  </r>
  <r>
    <x v="13"/>
    <x v="1"/>
    <x v="0"/>
    <n v="18812"/>
    <n v="275000"/>
    <n v="339723"/>
    <n v="440255"/>
    <n v="86.2"/>
  </r>
  <r>
    <x v="13"/>
    <x v="1"/>
    <x v="1"/>
    <n v="13821"/>
    <n v="138000"/>
    <n v="152607"/>
    <n v="220928"/>
    <n v="86.2"/>
  </r>
  <r>
    <x v="13"/>
    <x v="1"/>
    <x v="2"/>
    <n v="19738"/>
    <n v="190000"/>
    <n v="211745"/>
    <n v="304176"/>
    <n v="86.2"/>
  </r>
  <r>
    <x v="13"/>
    <x v="1"/>
    <x v="3"/>
    <n v="19223"/>
    <n v="166000"/>
    <n v="182246"/>
    <n v="265754"/>
    <n v="86.2"/>
  </r>
  <r>
    <x v="13"/>
    <x v="2"/>
    <x v="0"/>
    <n v="3312"/>
    <n v="539475"/>
    <n v="776815"/>
    <n v="863661"/>
    <n v="86.2"/>
  </r>
  <r>
    <x v="13"/>
    <x v="2"/>
    <x v="1"/>
    <n v="44553"/>
    <n v="243000"/>
    <n v="308603"/>
    <n v="389026"/>
    <n v="86.2"/>
  </r>
  <r>
    <x v="13"/>
    <x v="2"/>
    <x v="2"/>
    <n v="11650"/>
    <n v="312000"/>
    <n v="407743"/>
    <n v="499490"/>
    <n v="86.2"/>
  </r>
  <r>
    <x v="13"/>
    <x v="2"/>
    <x v="3"/>
    <n v="22635"/>
    <n v="264000"/>
    <n v="382890"/>
    <n v="422645"/>
    <n v="86.2"/>
  </r>
  <r>
    <x v="13"/>
    <x v="3"/>
    <x v="0"/>
    <n v="4609"/>
    <n v="213000"/>
    <n v="251745"/>
    <n v="340998"/>
    <n v="86.2"/>
  </r>
  <r>
    <x v="13"/>
    <x v="3"/>
    <x v="1"/>
    <n v="4817"/>
    <n v="100400"/>
    <n v="115177"/>
    <n v="160733"/>
    <n v="86.2"/>
  </r>
  <r>
    <x v="13"/>
    <x v="3"/>
    <x v="2"/>
    <n v="9144"/>
    <n v="127975"/>
    <n v="139277"/>
    <n v="204879"/>
    <n v="86.2"/>
  </r>
  <r>
    <x v="13"/>
    <x v="3"/>
    <x v="3"/>
    <n v="11837"/>
    <n v="95000"/>
    <n v="112150"/>
    <n v="152088"/>
    <n v="86.2"/>
  </r>
  <r>
    <x v="13"/>
    <x v="4"/>
    <x v="0"/>
    <n v="11988"/>
    <n v="240472"/>
    <n v="292325"/>
    <n v="384979"/>
    <n v="86.2"/>
  </r>
  <r>
    <x v="13"/>
    <x v="4"/>
    <x v="1"/>
    <n v="12598"/>
    <n v="120000"/>
    <n v="131789"/>
    <n v="192111"/>
    <n v="86.2"/>
  </r>
  <r>
    <x v="13"/>
    <x v="4"/>
    <x v="2"/>
    <n v="24540"/>
    <n v="143000"/>
    <n v="157586"/>
    <n v="228933"/>
    <n v="86.2"/>
  </r>
  <r>
    <x v="13"/>
    <x v="4"/>
    <x v="3"/>
    <n v="30517"/>
    <n v="100000"/>
    <n v="113347"/>
    <n v="160093"/>
    <n v="86.2"/>
  </r>
  <r>
    <x v="13"/>
    <x v="5"/>
    <x v="0"/>
    <n v="26227"/>
    <n v="360000"/>
    <n v="456509"/>
    <n v="576334"/>
    <n v="86.2"/>
  </r>
  <r>
    <x v="13"/>
    <x v="5"/>
    <x v="1"/>
    <n v="27897"/>
    <n v="159950"/>
    <n v="173197"/>
    <n v="256068"/>
    <n v="86.2"/>
  </r>
  <r>
    <x v="13"/>
    <x v="5"/>
    <x v="2"/>
    <n v="27485"/>
    <n v="228000"/>
    <n v="247347"/>
    <n v="365012"/>
    <n v="86.2"/>
  </r>
  <r>
    <x v="13"/>
    <x v="5"/>
    <x v="3"/>
    <n v="28276"/>
    <n v="187000"/>
    <n v="205573"/>
    <n v="299374"/>
    <n v="86.2"/>
  </r>
  <r>
    <x v="13"/>
    <x v="6"/>
    <x v="0"/>
    <n v="18179"/>
    <n v="280000"/>
    <n v="334654"/>
    <n v="448260"/>
    <n v="86.2"/>
  </r>
  <r>
    <x v="13"/>
    <x v="6"/>
    <x v="1"/>
    <n v="14956"/>
    <n v="139950"/>
    <n v="160759"/>
    <n v="224050"/>
    <n v="86.2"/>
  </r>
  <r>
    <x v="13"/>
    <x v="6"/>
    <x v="2"/>
    <n v="14962"/>
    <n v="185000"/>
    <n v="204964"/>
    <n v="296172"/>
    <n v="86.2"/>
  </r>
  <r>
    <x v="13"/>
    <x v="6"/>
    <x v="3"/>
    <n v="20037"/>
    <n v="160950"/>
    <n v="179417"/>
    <n v="257669"/>
    <n v="86.2"/>
  </r>
  <r>
    <x v="13"/>
    <x v="7"/>
    <x v="0"/>
    <n v="8049"/>
    <n v="210000"/>
    <n v="233737"/>
    <n v="336195"/>
    <n v="86.2"/>
  </r>
  <r>
    <x v="13"/>
    <x v="7"/>
    <x v="1"/>
    <n v="3762"/>
    <n v="120000"/>
    <n v="130720"/>
    <n v="192111"/>
    <n v="86.2"/>
  </r>
  <r>
    <x v="13"/>
    <x v="7"/>
    <x v="2"/>
    <n v="9057"/>
    <n v="135000"/>
    <n v="144201"/>
    <n v="216125"/>
    <n v="86.2"/>
  </r>
  <r>
    <x v="13"/>
    <x v="7"/>
    <x v="3"/>
    <n v="10577"/>
    <n v="105000"/>
    <n v="114515"/>
    <n v="168097"/>
    <n v="86.2"/>
  </r>
  <r>
    <x v="13"/>
    <x v="8"/>
    <x v="0"/>
    <n v="12083"/>
    <n v="248950"/>
    <n v="291191"/>
    <n v="398551"/>
    <n v="86.2"/>
  </r>
  <r>
    <x v="13"/>
    <x v="8"/>
    <x v="1"/>
    <n v="8846"/>
    <n v="115000"/>
    <n v="123687"/>
    <n v="184107"/>
    <n v="86.2"/>
  </r>
  <r>
    <x v="13"/>
    <x v="8"/>
    <x v="2"/>
    <n v="18927"/>
    <n v="145000"/>
    <n v="157573"/>
    <n v="232135"/>
    <n v="86.2"/>
  </r>
  <r>
    <x v="13"/>
    <x v="8"/>
    <x v="3"/>
    <n v="18309"/>
    <n v="120000"/>
    <n v="129692"/>
    <n v="192111"/>
    <n v="86.2"/>
  </r>
  <r>
    <x v="13"/>
    <x v="9"/>
    <x v="0"/>
    <n v="11449"/>
    <n v="230000"/>
    <n v="267805"/>
    <n v="368213"/>
    <n v="86.2"/>
  </r>
  <r>
    <x v="13"/>
    <x v="9"/>
    <x v="1"/>
    <n v="8551"/>
    <n v="119950"/>
    <n v="128161"/>
    <n v="192031"/>
    <n v="86.2"/>
  </r>
  <r>
    <x v="13"/>
    <x v="9"/>
    <x v="2"/>
    <n v="20456"/>
    <n v="135000"/>
    <n v="146719"/>
    <n v="216125"/>
    <n v="86.2"/>
  </r>
  <r>
    <x v="13"/>
    <x v="9"/>
    <x v="3"/>
    <n v="22425"/>
    <n v="105000"/>
    <n v="117631"/>
    <n v="168097"/>
    <n v="86.2"/>
  </r>
  <r>
    <x v="14"/>
    <x v="0"/>
    <x v="0"/>
    <n v="18361"/>
    <n v="191500"/>
    <n v="222863"/>
    <n v="300648"/>
    <n v="87.9"/>
  </r>
  <r>
    <x v="14"/>
    <x v="0"/>
    <x v="1"/>
    <n v="3672"/>
    <n v="95000"/>
    <n v="106576"/>
    <n v="149147"/>
    <n v="87.9"/>
  </r>
  <r>
    <x v="14"/>
    <x v="0"/>
    <x v="2"/>
    <n v="17774"/>
    <n v="125000"/>
    <n v="133461"/>
    <n v="196246"/>
    <n v="87.9"/>
  </r>
  <r>
    <x v="14"/>
    <x v="0"/>
    <x v="3"/>
    <n v="12357"/>
    <n v="105000"/>
    <n v="112128"/>
    <n v="164846"/>
    <n v="87.9"/>
  </r>
  <r>
    <x v="14"/>
    <x v="1"/>
    <x v="0"/>
    <n v="22683"/>
    <n v="249995"/>
    <n v="309757"/>
    <n v="392484"/>
    <n v="87.9"/>
  </r>
  <r>
    <x v="14"/>
    <x v="1"/>
    <x v="1"/>
    <n v="11432"/>
    <n v="130000"/>
    <n v="142377"/>
    <n v="204096"/>
    <n v="87.9"/>
  </r>
  <r>
    <x v="14"/>
    <x v="1"/>
    <x v="2"/>
    <n v="22209"/>
    <n v="174950"/>
    <n v="196846"/>
    <n v="274666"/>
    <n v="87.9"/>
  </r>
  <r>
    <x v="14"/>
    <x v="1"/>
    <x v="3"/>
    <n v="20003"/>
    <n v="155000"/>
    <n v="169406"/>
    <n v="243345"/>
    <n v="87.9"/>
  </r>
  <r>
    <x v="14"/>
    <x v="2"/>
    <x v="0"/>
    <n v="3656"/>
    <n v="491000"/>
    <n v="683234"/>
    <n v="770853"/>
    <n v="87.9"/>
  </r>
  <r>
    <x v="14"/>
    <x v="2"/>
    <x v="1"/>
    <n v="37860"/>
    <n v="240000"/>
    <n v="309822"/>
    <n v="376792"/>
    <n v="87.9"/>
  </r>
  <r>
    <x v="14"/>
    <x v="2"/>
    <x v="2"/>
    <n v="12248"/>
    <n v="295000"/>
    <n v="385361"/>
    <n v="463140"/>
    <n v="87.9"/>
  </r>
  <r>
    <x v="14"/>
    <x v="2"/>
    <x v="3"/>
    <n v="22398"/>
    <n v="250000"/>
    <n v="387796"/>
    <n v="392491"/>
    <n v="87.9"/>
  </r>
  <r>
    <x v="14"/>
    <x v="3"/>
    <x v="0"/>
    <n v="4529"/>
    <n v="195000"/>
    <n v="228778"/>
    <n v="306143"/>
    <n v="87.9"/>
  </r>
  <r>
    <x v="14"/>
    <x v="3"/>
    <x v="1"/>
    <n v="2971"/>
    <n v="99500"/>
    <n v="108978"/>
    <n v="156212"/>
    <n v="87.9"/>
  </r>
  <r>
    <x v="14"/>
    <x v="3"/>
    <x v="2"/>
    <n v="8300"/>
    <n v="123500"/>
    <n v="133349"/>
    <n v="193891"/>
    <n v="87.9"/>
  </r>
  <r>
    <x v="14"/>
    <x v="3"/>
    <x v="3"/>
    <n v="8567"/>
    <n v="95000"/>
    <n v="110244"/>
    <n v="149147"/>
    <n v="87.9"/>
  </r>
  <r>
    <x v="14"/>
    <x v="4"/>
    <x v="0"/>
    <n v="12292"/>
    <n v="226000"/>
    <n v="270957"/>
    <n v="354812"/>
    <n v="87.9"/>
  </r>
  <r>
    <x v="14"/>
    <x v="4"/>
    <x v="1"/>
    <n v="8749"/>
    <n v="110000"/>
    <n v="123710"/>
    <n v="172696"/>
    <n v="87.9"/>
  </r>
  <r>
    <x v="14"/>
    <x v="4"/>
    <x v="2"/>
    <n v="23710"/>
    <n v="137702"/>
    <n v="150640"/>
    <n v="216187"/>
    <n v="87.9"/>
  </r>
  <r>
    <x v="14"/>
    <x v="4"/>
    <x v="3"/>
    <n v="22698"/>
    <n v="95000"/>
    <n v="107931"/>
    <n v="149147"/>
    <n v="87.9"/>
  </r>
  <r>
    <x v="14"/>
    <x v="5"/>
    <x v="0"/>
    <n v="31656"/>
    <n v="330000"/>
    <n v="410708"/>
    <n v="518089"/>
    <n v="87.9"/>
  </r>
  <r>
    <x v="14"/>
    <x v="5"/>
    <x v="1"/>
    <n v="23928"/>
    <n v="146000"/>
    <n v="159358"/>
    <n v="229215"/>
    <n v="87.9"/>
  </r>
  <r>
    <x v="14"/>
    <x v="5"/>
    <x v="2"/>
    <n v="31646"/>
    <n v="209325"/>
    <n v="228487"/>
    <n v="328633"/>
    <n v="87.9"/>
  </r>
  <r>
    <x v="14"/>
    <x v="5"/>
    <x v="3"/>
    <n v="29931"/>
    <n v="173500"/>
    <n v="191334"/>
    <n v="272389"/>
    <n v="87.9"/>
  </r>
  <r>
    <x v="14"/>
    <x v="6"/>
    <x v="0"/>
    <n v="22517"/>
    <n v="250000"/>
    <n v="304149"/>
    <n v="392491"/>
    <n v="87.9"/>
  </r>
  <r>
    <x v="14"/>
    <x v="6"/>
    <x v="1"/>
    <n v="13130"/>
    <n v="133700"/>
    <n v="152881"/>
    <n v="209904"/>
    <n v="87.9"/>
  </r>
  <r>
    <x v="14"/>
    <x v="6"/>
    <x v="2"/>
    <n v="18110"/>
    <n v="170000"/>
    <n v="188196"/>
    <n v="266894"/>
    <n v="87.9"/>
  </r>
  <r>
    <x v="14"/>
    <x v="6"/>
    <x v="3"/>
    <n v="21908"/>
    <n v="150000"/>
    <n v="168254"/>
    <n v="235495"/>
    <n v="87.9"/>
  </r>
  <r>
    <x v="14"/>
    <x v="7"/>
    <x v="0"/>
    <n v="8491"/>
    <n v="195000"/>
    <n v="220867"/>
    <n v="306143"/>
    <n v="87.9"/>
  </r>
  <r>
    <x v="14"/>
    <x v="7"/>
    <x v="1"/>
    <n v="3074"/>
    <n v="114000"/>
    <n v="126343"/>
    <n v="178976"/>
    <n v="87.9"/>
  </r>
  <r>
    <x v="14"/>
    <x v="7"/>
    <x v="2"/>
    <n v="8632"/>
    <n v="130000"/>
    <n v="138498"/>
    <n v="204096"/>
    <n v="87.9"/>
  </r>
  <r>
    <x v="14"/>
    <x v="7"/>
    <x v="3"/>
    <n v="8923"/>
    <n v="100000"/>
    <n v="108460"/>
    <n v="156997"/>
    <n v="87.9"/>
  </r>
  <r>
    <x v="14"/>
    <x v="8"/>
    <x v="0"/>
    <n v="13100"/>
    <n v="233000"/>
    <n v="266456"/>
    <n v="365802"/>
    <n v="87.9"/>
  </r>
  <r>
    <x v="14"/>
    <x v="8"/>
    <x v="1"/>
    <n v="6133"/>
    <n v="105000"/>
    <n v="114756"/>
    <n v="164846"/>
    <n v="87.9"/>
  </r>
  <r>
    <x v="14"/>
    <x v="8"/>
    <x v="2"/>
    <n v="17806"/>
    <n v="139995"/>
    <n v="149999"/>
    <n v="219787"/>
    <n v="87.9"/>
  </r>
  <r>
    <x v="14"/>
    <x v="8"/>
    <x v="3"/>
    <n v="15373"/>
    <n v="116000"/>
    <n v="124283"/>
    <n v="182116"/>
    <n v="87.9"/>
  </r>
  <r>
    <x v="14"/>
    <x v="9"/>
    <x v="0"/>
    <n v="11664"/>
    <n v="215000"/>
    <n v="250786"/>
    <n v="337543"/>
    <n v="87.9"/>
  </r>
  <r>
    <x v="14"/>
    <x v="9"/>
    <x v="1"/>
    <n v="5859"/>
    <n v="108500"/>
    <n v="119585"/>
    <n v="170341"/>
    <n v="87.9"/>
  </r>
  <r>
    <x v="14"/>
    <x v="9"/>
    <x v="2"/>
    <n v="19022"/>
    <n v="130000"/>
    <n v="140909"/>
    <n v="204096"/>
    <n v="87.9"/>
  </r>
  <r>
    <x v="14"/>
    <x v="9"/>
    <x v="3"/>
    <n v="17440"/>
    <n v="100000"/>
    <n v="113920"/>
    <n v="156997"/>
    <n v="87.9"/>
  </r>
  <r>
    <x v="15"/>
    <x v="0"/>
    <x v="0"/>
    <n v="19192"/>
    <n v="205000"/>
    <n v="236368"/>
    <n v="313984"/>
    <n v="90.1"/>
  </r>
  <r>
    <x v="15"/>
    <x v="0"/>
    <x v="1"/>
    <n v="3437"/>
    <n v="92000"/>
    <n v="103705"/>
    <n v="140910"/>
    <n v="90.1"/>
  </r>
  <r>
    <x v="15"/>
    <x v="0"/>
    <x v="2"/>
    <n v="18346"/>
    <n v="125000"/>
    <n v="137383"/>
    <n v="191454"/>
    <n v="90.1"/>
  </r>
  <r>
    <x v="15"/>
    <x v="0"/>
    <x v="3"/>
    <n v="13105"/>
    <n v="106500"/>
    <n v="114708"/>
    <n v="163119"/>
    <n v="90.1"/>
  </r>
  <r>
    <x v="15"/>
    <x v="1"/>
    <x v="0"/>
    <n v="24471"/>
    <n v="280000"/>
    <n v="347173"/>
    <n v="428857"/>
    <n v="90.1"/>
  </r>
  <r>
    <x v="15"/>
    <x v="1"/>
    <x v="1"/>
    <n v="11931"/>
    <n v="134995"/>
    <n v="149066"/>
    <n v="206763"/>
    <n v="90.1"/>
  </r>
  <r>
    <x v="15"/>
    <x v="1"/>
    <x v="2"/>
    <n v="22916"/>
    <n v="190000"/>
    <n v="216282"/>
    <n v="291010"/>
    <n v="90.1"/>
  </r>
  <r>
    <x v="15"/>
    <x v="1"/>
    <x v="3"/>
    <n v="20573"/>
    <n v="165000"/>
    <n v="183454"/>
    <n v="252719"/>
    <n v="90.1"/>
  </r>
  <r>
    <x v="15"/>
    <x v="2"/>
    <x v="0"/>
    <n v="4625"/>
    <n v="530000"/>
    <n v="791030"/>
    <n v="811765"/>
    <n v="90.1"/>
  </r>
  <r>
    <x v="15"/>
    <x v="2"/>
    <x v="1"/>
    <n v="47311"/>
    <n v="250000"/>
    <n v="340076"/>
    <n v="382908"/>
    <n v="90.1"/>
  </r>
  <r>
    <x v="15"/>
    <x v="2"/>
    <x v="2"/>
    <n v="14676"/>
    <n v="325000"/>
    <n v="433563"/>
    <n v="497780"/>
    <n v="90.1"/>
  </r>
  <r>
    <x v="15"/>
    <x v="2"/>
    <x v="3"/>
    <n v="26161"/>
    <n v="290000"/>
    <n v="449796"/>
    <n v="444173"/>
    <n v="90.1"/>
  </r>
  <r>
    <x v="15"/>
    <x v="3"/>
    <x v="0"/>
    <n v="4768"/>
    <n v="210000"/>
    <n v="240955"/>
    <n v="321643"/>
    <n v="90.1"/>
  </r>
  <r>
    <x v="15"/>
    <x v="3"/>
    <x v="1"/>
    <n v="2832"/>
    <n v="95000"/>
    <n v="107439"/>
    <n v="145505"/>
    <n v="90.1"/>
  </r>
  <r>
    <x v="15"/>
    <x v="3"/>
    <x v="2"/>
    <n v="8721"/>
    <n v="124950"/>
    <n v="136430"/>
    <n v="191377"/>
    <n v="90.1"/>
  </r>
  <r>
    <x v="15"/>
    <x v="3"/>
    <x v="3"/>
    <n v="9345"/>
    <n v="95000"/>
    <n v="112666"/>
    <n v="145505"/>
    <n v="90.1"/>
  </r>
  <r>
    <x v="15"/>
    <x v="4"/>
    <x v="0"/>
    <n v="13341"/>
    <n v="237000"/>
    <n v="284921"/>
    <n v="362997"/>
    <n v="90.1"/>
  </r>
  <r>
    <x v="15"/>
    <x v="4"/>
    <x v="1"/>
    <n v="8546"/>
    <n v="106000"/>
    <n v="121758"/>
    <n v="162353"/>
    <n v="90.1"/>
  </r>
  <r>
    <x v="15"/>
    <x v="4"/>
    <x v="2"/>
    <n v="24332"/>
    <n v="140000"/>
    <n v="156501"/>
    <n v="214428"/>
    <n v="90.1"/>
  </r>
  <r>
    <x v="15"/>
    <x v="4"/>
    <x v="3"/>
    <n v="24792"/>
    <n v="95000"/>
    <n v="108824"/>
    <n v="145505"/>
    <n v="90.1"/>
  </r>
  <r>
    <x v="15"/>
    <x v="5"/>
    <x v="0"/>
    <n v="34605"/>
    <n v="370000"/>
    <n v="456600"/>
    <n v="566704"/>
    <n v="90.1"/>
  </r>
  <r>
    <x v="15"/>
    <x v="5"/>
    <x v="1"/>
    <n v="23659"/>
    <n v="154950"/>
    <n v="172039"/>
    <n v="237326"/>
    <n v="90.1"/>
  </r>
  <r>
    <x v="15"/>
    <x v="5"/>
    <x v="2"/>
    <n v="32553"/>
    <n v="230000"/>
    <n v="254727"/>
    <n v="352275"/>
    <n v="90.1"/>
  </r>
  <r>
    <x v="15"/>
    <x v="5"/>
    <x v="3"/>
    <n v="30745"/>
    <n v="189000"/>
    <n v="210112"/>
    <n v="289478"/>
    <n v="90.1"/>
  </r>
  <r>
    <x v="15"/>
    <x v="6"/>
    <x v="0"/>
    <n v="23331"/>
    <n v="277500"/>
    <n v="328311"/>
    <n v="425028"/>
    <n v="90.1"/>
  </r>
  <r>
    <x v="15"/>
    <x v="6"/>
    <x v="1"/>
    <n v="12957"/>
    <n v="135000"/>
    <n v="160689"/>
    <n v="206770"/>
    <n v="90.1"/>
  </r>
  <r>
    <x v="15"/>
    <x v="6"/>
    <x v="2"/>
    <n v="18088"/>
    <n v="183000"/>
    <n v="205500"/>
    <n v="280289"/>
    <n v="90.1"/>
  </r>
  <r>
    <x v="15"/>
    <x v="6"/>
    <x v="3"/>
    <n v="22079"/>
    <n v="162000"/>
    <n v="182400"/>
    <n v="248124"/>
    <n v="90.1"/>
  </r>
  <r>
    <x v="15"/>
    <x v="7"/>
    <x v="0"/>
    <n v="9118"/>
    <n v="205000"/>
    <n v="225525"/>
    <n v="313984"/>
    <n v="90.1"/>
  </r>
  <r>
    <x v="15"/>
    <x v="7"/>
    <x v="1"/>
    <n v="2576"/>
    <n v="110000"/>
    <n v="124455"/>
    <n v="168479"/>
    <n v="90.1"/>
  </r>
  <r>
    <x v="15"/>
    <x v="7"/>
    <x v="2"/>
    <n v="9225"/>
    <n v="130000"/>
    <n v="141673"/>
    <n v="199112"/>
    <n v="90.1"/>
  </r>
  <r>
    <x v="15"/>
    <x v="7"/>
    <x v="3"/>
    <n v="9996"/>
    <n v="100000"/>
    <n v="111145"/>
    <n v="153163"/>
    <n v="90.1"/>
  </r>
  <r>
    <x v="15"/>
    <x v="8"/>
    <x v="0"/>
    <n v="14369"/>
    <n v="245000"/>
    <n v="287674"/>
    <n v="375250"/>
    <n v="90.1"/>
  </r>
  <r>
    <x v="15"/>
    <x v="8"/>
    <x v="1"/>
    <n v="6442"/>
    <n v="104000"/>
    <n v="114832"/>
    <n v="159290"/>
    <n v="90.1"/>
  </r>
  <r>
    <x v="15"/>
    <x v="8"/>
    <x v="2"/>
    <n v="18540"/>
    <n v="142500"/>
    <n v="157008"/>
    <n v="218257"/>
    <n v="90.1"/>
  </r>
  <r>
    <x v="15"/>
    <x v="8"/>
    <x v="3"/>
    <n v="16102"/>
    <n v="119000"/>
    <n v="129411"/>
    <n v="182264"/>
    <n v="90.1"/>
  </r>
  <r>
    <x v="15"/>
    <x v="9"/>
    <x v="0"/>
    <n v="12502"/>
    <n v="228500"/>
    <n v="263226"/>
    <n v="349978"/>
    <n v="90.1"/>
  </r>
  <r>
    <x v="15"/>
    <x v="9"/>
    <x v="1"/>
    <n v="5147"/>
    <n v="109950"/>
    <n v="121937"/>
    <n v="168403"/>
    <n v="90.1"/>
  </r>
  <r>
    <x v="15"/>
    <x v="9"/>
    <x v="2"/>
    <n v="19223"/>
    <n v="130000"/>
    <n v="145505"/>
    <n v="199112"/>
    <n v="90.1"/>
  </r>
  <r>
    <x v="15"/>
    <x v="9"/>
    <x v="3"/>
    <n v="18107"/>
    <n v="105000"/>
    <n v="119029"/>
    <n v="160821"/>
    <n v="90.1"/>
  </r>
  <r>
    <x v="16"/>
    <x v="0"/>
    <x v="0"/>
    <n v="19108"/>
    <n v="199950"/>
    <n v="229583"/>
    <n v="294798"/>
    <n v="93.6"/>
  </r>
  <r>
    <x v="16"/>
    <x v="0"/>
    <x v="1"/>
    <n v="2993"/>
    <n v="90250"/>
    <n v="103478"/>
    <n v="133061"/>
    <n v="93.6"/>
  </r>
  <r>
    <x v="16"/>
    <x v="0"/>
    <x v="2"/>
    <n v="18393"/>
    <n v="125000"/>
    <n v="134539"/>
    <n v="184295"/>
    <n v="93.6"/>
  </r>
  <r>
    <x v="16"/>
    <x v="0"/>
    <x v="3"/>
    <n v="13492"/>
    <n v="105000"/>
    <n v="112888"/>
    <n v="154808"/>
    <n v="93.6"/>
  </r>
  <r>
    <x v="16"/>
    <x v="1"/>
    <x v="0"/>
    <n v="24168"/>
    <n v="265500"/>
    <n v="335820"/>
    <n v="391442"/>
    <n v="93.6"/>
  </r>
  <r>
    <x v="16"/>
    <x v="1"/>
    <x v="1"/>
    <n v="11633"/>
    <n v="135000"/>
    <n v="150035"/>
    <n v="199038"/>
    <n v="93.6"/>
  </r>
  <r>
    <x v="16"/>
    <x v="1"/>
    <x v="2"/>
    <n v="23040"/>
    <n v="186500"/>
    <n v="213526"/>
    <n v="274968"/>
    <n v="93.6"/>
  </r>
  <r>
    <x v="16"/>
    <x v="1"/>
    <x v="3"/>
    <n v="21623"/>
    <n v="165000"/>
    <n v="181812"/>
    <n v="243269"/>
    <n v="93.6"/>
  </r>
  <r>
    <x v="16"/>
    <x v="2"/>
    <x v="0"/>
    <n v="4642"/>
    <n v="547500"/>
    <n v="770566"/>
    <n v="807212"/>
    <n v="93.6"/>
  </r>
  <r>
    <x v="16"/>
    <x v="2"/>
    <x v="1"/>
    <n v="45759"/>
    <n v="260000"/>
    <n v="355098"/>
    <n v="383333"/>
    <n v="93.6"/>
  </r>
  <r>
    <x v="16"/>
    <x v="2"/>
    <x v="2"/>
    <n v="14394"/>
    <n v="330000"/>
    <n v="444306"/>
    <n v="486538"/>
    <n v="93.6"/>
  </r>
  <r>
    <x v="16"/>
    <x v="2"/>
    <x v="3"/>
    <n v="25990"/>
    <n v="291000"/>
    <n v="463143"/>
    <n v="429038"/>
    <n v="93.6"/>
  </r>
  <r>
    <x v="16"/>
    <x v="3"/>
    <x v="0"/>
    <n v="4784"/>
    <n v="200000"/>
    <n v="232056"/>
    <n v="294872"/>
    <n v="93.6"/>
  </r>
  <r>
    <x v="16"/>
    <x v="3"/>
    <x v="1"/>
    <n v="2928"/>
    <n v="89995"/>
    <n v="102148"/>
    <n v="132685"/>
    <n v="93.6"/>
  </r>
  <r>
    <x v="16"/>
    <x v="3"/>
    <x v="2"/>
    <n v="9405"/>
    <n v="120000"/>
    <n v="130107"/>
    <n v="176923"/>
    <n v="93.6"/>
  </r>
  <r>
    <x v="16"/>
    <x v="3"/>
    <x v="3"/>
    <n v="9710"/>
    <n v="90000"/>
    <n v="106810"/>
    <n v="132692"/>
    <n v="93.6"/>
  </r>
  <r>
    <x v="16"/>
    <x v="4"/>
    <x v="0"/>
    <n v="13416"/>
    <n v="230000"/>
    <n v="274541"/>
    <n v="339103"/>
    <n v="93.6"/>
  </r>
  <r>
    <x v="16"/>
    <x v="4"/>
    <x v="1"/>
    <n v="8067"/>
    <n v="102500"/>
    <n v="117427"/>
    <n v="151122"/>
    <n v="93.6"/>
  </r>
  <r>
    <x v="16"/>
    <x v="4"/>
    <x v="2"/>
    <n v="25188"/>
    <n v="135000"/>
    <n v="151284"/>
    <n v="199038"/>
    <n v="93.6"/>
  </r>
  <r>
    <x v="16"/>
    <x v="4"/>
    <x v="3"/>
    <n v="24832"/>
    <n v="91000"/>
    <n v="105931"/>
    <n v="134167"/>
    <n v="93.6"/>
  </r>
  <r>
    <x v="16"/>
    <x v="5"/>
    <x v="0"/>
    <n v="33014"/>
    <n v="362000"/>
    <n v="454495"/>
    <n v="533718"/>
    <n v="93.6"/>
  </r>
  <r>
    <x v="16"/>
    <x v="5"/>
    <x v="1"/>
    <n v="23711"/>
    <n v="150000"/>
    <n v="169316"/>
    <n v="221154"/>
    <n v="93.6"/>
  </r>
  <r>
    <x v="16"/>
    <x v="5"/>
    <x v="2"/>
    <n v="32058"/>
    <n v="228000"/>
    <n v="253312"/>
    <n v="336154"/>
    <n v="93.6"/>
  </r>
  <r>
    <x v="16"/>
    <x v="5"/>
    <x v="3"/>
    <n v="31423"/>
    <n v="185000"/>
    <n v="208353"/>
    <n v="272756"/>
    <n v="93.6"/>
  </r>
  <r>
    <x v="16"/>
    <x v="6"/>
    <x v="0"/>
    <n v="22261"/>
    <n v="272000"/>
    <n v="326134"/>
    <n v="401026"/>
    <n v="93.6"/>
  </r>
  <r>
    <x v="16"/>
    <x v="6"/>
    <x v="1"/>
    <n v="12552"/>
    <n v="134000"/>
    <n v="158372"/>
    <n v="197564"/>
    <n v="93.6"/>
  </r>
  <r>
    <x v="16"/>
    <x v="6"/>
    <x v="2"/>
    <n v="18156"/>
    <n v="177500"/>
    <n v="199499"/>
    <n v="261699"/>
    <n v="93.6"/>
  </r>
  <r>
    <x v="16"/>
    <x v="6"/>
    <x v="3"/>
    <n v="21693"/>
    <n v="156000"/>
    <n v="177560"/>
    <n v="230000"/>
    <n v="93.6"/>
  </r>
  <r>
    <x v="16"/>
    <x v="7"/>
    <x v="0"/>
    <n v="9040"/>
    <n v="198000"/>
    <n v="222234"/>
    <n v="291923"/>
    <n v="93.6"/>
  </r>
  <r>
    <x v="16"/>
    <x v="7"/>
    <x v="1"/>
    <n v="2415"/>
    <n v="108000"/>
    <n v="121695"/>
    <n v="159231"/>
    <n v="93.6"/>
  </r>
  <r>
    <x v="16"/>
    <x v="7"/>
    <x v="2"/>
    <n v="9119"/>
    <n v="125000"/>
    <n v="137974"/>
    <n v="184295"/>
    <n v="93.6"/>
  </r>
  <r>
    <x v="16"/>
    <x v="7"/>
    <x v="3"/>
    <n v="10091"/>
    <n v="100000"/>
    <n v="109872"/>
    <n v="147436"/>
    <n v="93.6"/>
  </r>
  <r>
    <x v="16"/>
    <x v="8"/>
    <x v="0"/>
    <n v="14227"/>
    <n v="240000"/>
    <n v="277504"/>
    <n v="353846"/>
    <n v="93.6"/>
  </r>
  <r>
    <x v="16"/>
    <x v="8"/>
    <x v="1"/>
    <n v="6026"/>
    <n v="100000"/>
    <n v="112856"/>
    <n v="147436"/>
    <n v="93.6"/>
  </r>
  <r>
    <x v="16"/>
    <x v="8"/>
    <x v="2"/>
    <n v="19338"/>
    <n v="139000"/>
    <n v="151407"/>
    <n v="204936"/>
    <n v="93.6"/>
  </r>
  <r>
    <x v="16"/>
    <x v="8"/>
    <x v="3"/>
    <n v="16497"/>
    <n v="117000"/>
    <n v="126114"/>
    <n v="172500"/>
    <n v="93.6"/>
  </r>
  <r>
    <x v="16"/>
    <x v="9"/>
    <x v="0"/>
    <n v="12409"/>
    <n v="218000"/>
    <n v="252657"/>
    <n v="321410"/>
    <n v="93.6"/>
  </r>
  <r>
    <x v="16"/>
    <x v="9"/>
    <x v="1"/>
    <n v="5026"/>
    <n v="105450"/>
    <n v="120172"/>
    <n v="155471"/>
    <n v="93.6"/>
  </r>
  <r>
    <x v="16"/>
    <x v="9"/>
    <x v="2"/>
    <n v="19771"/>
    <n v="127500"/>
    <n v="141317"/>
    <n v="187981"/>
    <n v="93.6"/>
  </r>
  <r>
    <x v="16"/>
    <x v="9"/>
    <x v="3"/>
    <n v="18273"/>
    <n v="100000"/>
    <n v="114421"/>
    <n v="147436"/>
    <n v="93.6"/>
  </r>
  <r>
    <x v="17"/>
    <x v="0"/>
    <x v="0"/>
    <n v="19795"/>
    <n v="199999"/>
    <n v="229687"/>
    <n v="287499"/>
    <n v="96"/>
  </r>
  <r>
    <x v="17"/>
    <x v="0"/>
    <x v="1"/>
    <n v="3144"/>
    <n v="90000"/>
    <n v="101374"/>
    <n v="129375"/>
    <n v="96"/>
  </r>
  <r>
    <x v="17"/>
    <x v="0"/>
    <x v="2"/>
    <n v="17767"/>
    <n v="125000"/>
    <n v="134524"/>
    <n v="179688"/>
    <n v="96"/>
  </r>
  <r>
    <x v="17"/>
    <x v="0"/>
    <x v="3"/>
    <n v="14034"/>
    <n v="109000"/>
    <n v="117447"/>
    <n v="156688"/>
    <n v="96"/>
  </r>
  <r>
    <x v="17"/>
    <x v="1"/>
    <x v="0"/>
    <n v="23996"/>
    <n v="270000"/>
    <n v="336471"/>
    <n v="388125"/>
    <n v="96"/>
  </r>
  <r>
    <x v="17"/>
    <x v="1"/>
    <x v="1"/>
    <n v="11652"/>
    <n v="135000"/>
    <n v="151430"/>
    <n v="194062"/>
    <n v="96"/>
  </r>
  <r>
    <x v="17"/>
    <x v="1"/>
    <x v="2"/>
    <n v="22322"/>
    <n v="190000"/>
    <n v="219530"/>
    <n v="273125"/>
    <n v="96"/>
  </r>
  <r>
    <x v="17"/>
    <x v="1"/>
    <x v="3"/>
    <n v="22763"/>
    <n v="169995"/>
    <n v="189297"/>
    <n v="244368"/>
    <n v="96"/>
  </r>
  <r>
    <x v="17"/>
    <x v="2"/>
    <x v="0"/>
    <n v="4514"/>
    <n v="546250"/>
    <n v="759950"/>
    <n v="785234"/>
    <n v="96"/>
  </r>
  <r>
    <x v="17"/>
    <x v="2"/>
    <x v="1"/>
    <n v="49428"/>
    <n v="270000"/>
    <n v="373539"/>
    <n v="388125"/>
    <n v="96"/>
  </r>
  <r>
    <x v="17"/>
    <x v="2"/>
    <x v="2"/>
    <n v="14027"/>
    <n v="340000"/>
    <n v="461767"/>
    <n v="488750"/>
    <n v="96"/>
  </r>
  <r>
    <x v="17"/>
    <x v="2"/>
    <x v="3"/>
    <n v="26442"/>
    <n v="307500"/>
    <n v="490026"/>
    <n v="442031"/>
    <n v="96"/>
  </r>
  <r>
    <x v="17"/>
    <x v="3"/>
    <x v="0"/>
    <n v="5175"/>
    <n v="199995"/>
    <n v="228435"/>
    <n v="287493"/>
    <n v="96"/>
  </r>
  <r>
    <x v="17"/>
    <x v="3"/>
    <x v="1"/>
    <n v="2671"/>
    <n v="85950"/>
    <n v="98127"/>
    <n v="123553"/>
    <n v="96"/>
  </r>
  <r>
    <x v="17"/>
    <x v="3"/>
    <x v="2"/>
    <n v="9026"/>
    <n v="120000"/>
    <n v="131420"/>
    <n v="172500"/>
    <n v="96"/>
  </r>
  <r>
    <x v="17"/>
    <x v="3"/>
    <x v="3"/>
    <n v="9234"/>
    <n v="90000"/>
    <n v="108303"/>
    <n v="129375"/>
    <n v="96"/>
  </r>
  <r>
    <x v="17"/>
    <x v="4"/>
    <x v="0"/>
    <n v="14117"/>
    <n v="225000"/>
    <n v="265273"/>
    <n v="323438"/>
    <n v="96"/>
  </r>
  <r>
    <x v="17"/>
    <x v="4"/>
    <x v="1"/>
    <n v="7404"/>
    <n v="100000"/>
    <n v="115105"/>
    <n v="143750"/>
    <n v="96"/>
  </r>
  <r>
    <x v="17"/>
    <x v="4"/>
    <x v="2"/>
    <n v="24525"/>
    <n v="135000"/>
    <n v="151397"/>
    <n v="194062"/>
    <n v="96"/>
  </r>
  <r>
    <x v="17"/>
    <x v="4"/>
    <x v="3"/>
    <n v="23791"/>
    <n v="93000"/>
    <n v="108097"/>
    <n v="133688"/>
    <n v="96"/>
  </r>
  <r>
    <x v="17"/>
    <x v="5"/>
    <x v="0"/>
    <n v="34359"/>
    <n v="362000"/>
    <n v="453560"/>
    <n v="520375"/>
    <n v="96"/>
  </r>
  <r>
    <x v="17"/>
    <x v="5"/>
    <x v="1"/>
    <n v="23726"/>
    <n v="153000"/>
    <n v="172221"/>
    <n v="219938"/>
    <n v="96"/>
  </r>
  <r>
    <x v="17"/>
    <x v="5"/>
    <x v="2"/>
    <n v="30939"/>
    <n v="234500"/>
    <n v="258938"/>
    <n v="337094"/>
    <n v="96"/>
  </r>
  <r>
    <x v="17"/>
    <x v="5"/>
    <x v="3"/>
    <n v="33858"/>
    <n v="190000"/>
    <n v="215455"/>
    <n v="273125"/>
    <n v="96"/>
  </r>
  <r>
    <x v="17"/>
    <x v="6"/>
    <x v="0"/>
    <n v="23129"/>
    <n v="270000"/>
    <n v="321613"/>
    <n v="388125"/>
    <n v="96"/>
  </r>
  <r>
    <x v="17"/>
    <x v="6"/>
    <x v="1"/>
    <n v="12371"/>
    <n v="132000"/>
    <n v="157686"/>
    <n v="189750"/>
    <n v="96"/>
  </r>
  <r>
    <x v="17"/>
    <x v="6"/>
    <x v="2"/>
    <n v="17881"/>
    <n v="180000"/>
    <n v="202981"/>
    <n v="258750"/>
    <n v="96"/>
  </r>
  <r>
    <x v="17"/>
    <x v="6"/>
    <x v="3"/>
    <n v="22767"/>
    <n v="159000"/>
    <n v="180651"/>
    <n v="228562"/>
    <n v="96"/>
  </r>
  <r>
    <x v="17"/>
    <x v="7"/>
    <x v="0"/>
    <n v="9386"/>
    <n v="196748"/>
    <n v="219874"/>
    <n v="282825"/>
    <n v="96"/>
  </r>
  <r>
    <x v="17"/>
    <x v="7"/>
    <x v="1"/>
    <n v="2396"/>
    <n v="107000"/>
    <n v="120741"/>
    <n v="153812"/>
    <n v="96"/>
  </r>
  <r>
    <x v="17"/>
    <x v="7"/>
    <x v="2"/>
    <n v="8895"/>
    <n v="125000"/>
    <n v="137632"/>
    <n v="179688"/>
    <n v="96"/>
  </r>
  <r>
    <x v="17"/>
    <x v="7"/>
    <x v="3"/>
    <n v="9969"/>
    <n v="100000"/>
    <n v="111368"/>
    <n v="143750"/>
    <n v="96"/>
  </r>
  <r>
    <x v="17"/>
    <x v="8"/>
    <x v="0"/>
    <n v="15256"/>
    <n v="235500"/>
    <n v="271360"/>
    <n v="338531"/>
    <n v="96"/>
  </r>
  <r>
    <x v="17"/>
    <x v="8"/>
    <x v="1"/>
    <n v="5921"/>
    <n v="100000"/>
    <n v="110778"/>
    <n v="143750"/>
    <n v="96"/>
  </r>
  <r>
    <x v="17"/>
    <x v="8"/>
    <x v="2"/>
    <n v="19240"/>
    <n v="140000"/>
    <n v="152626"/>
    <n v="201250"/>
    <n v="96"/>
  </r>
  <r>
    <x v="17"/>
    <x v="8"/>
    <x v="3"/>
    <n v="16287"/>
    <n v="118000"/>
    <n v="128619"/>
    <n v="169625"/>
    <n v="96"/>
  </r>
  <r>
    <x v="17"/>
    <x v="9"/>
    <x v="0"/>
    <n v="13193"/>
    <n v="218000"/>
    <n v="251018"/>
    <n v="313375"/>
    <n v="96"/>
  </r>
  <r>
    <x v="17"/>
    <x v="9"/>
    <x v="1"/>
    <n v="4843"/>
    <n v="102500"/>
    <n v="115145"/>
    <n v="147344"/>
    <n v="96"/>
  </r>
  <r>
    <x v="17"/>
    <x v="9"/>
    <x v="2"/>
    <n v="19775"/>
    <n v="125000"/>
    <n v="141699"/>
    <n v="179688"/>
    <n v="96"/>
  </r>
  <r>
    <x v="17"/>
    <x v="9"/>
    <x v="3"/>
    <n v="18283"/>
    <n v="104000"/>
    <n v="116886"/>
    <n v="149500"/>
    <n v="96"/>
  </r>
  <r>
    <x v="18"/>
    <x v="0"/>
    <x v="0"/>
    <n v="24193"/>
    <n v="204000"/>
    <n v="232373"/>
    <n v="286680"/>
    <n v="98.2"/>
  </r>
  <r>
    <x v="18"/>
    <x v="0"/>
    <x v="1"/>
    <n v="3685"/>
    <n v="92000"/>
    <n v="101064"/>
    <n v="129287"/>
    <n v="98.2"/>
  </r>
  <r>
    <x v="18"/>
    <x v="0"/>
    <x v="2"/>
    <n v="20926"/>
    <n v="127000"/>
    <n v="138475"/>
    <n v="178473"/>
    <n v="98.2"/>
  </r>
  <r>
    <x v="18"/>
    <x v="0"/>
    <x v="3"/>
    <n v="16553"/>
    <n v="111000"/>
    <n v="120808"/>
    <n v="155988"/>
    <n v="98.2"/>
  </r>
  <r>
    <x v="18"/>
    <x v="1"/>
    <x v="0"/>
    <n v="28603"/>
    <n v="276000"/>
    <n v="345852"/>
    <n v="387862"/>
    <n v="98.2"/>
  </r>
  <r>
    <x v="18"/>
    <x v="1"/>
    <x v="1"/>
    <n v="14538"/>
    <n v="140000"/>
    <n v="161458"/>
    <n v="196741"/>
    <n v="98.2"/>
  </r>
  <r>
    <x v="18"/>
    <x v="1"/>
    <x v="2"/>
    <n v="25573"/>
    <n v="198500"/>
    <n v="227595"/>
    <n v="278951"/>
    <n v="98.2"/>
  </r>
  <r>
    <x v="18"/>
    <x v="1"/>
    <x v="3"/>
    <n v="26888"/>
    <n v="174000"/>
    <n v="195321"/>
    <n v="244521"/>
    <n v="98.2"/>
  </r>
  <r>
    <x v="18"/>
    <x v="2"/>
    <x v="0"/>
    <n v="5405"/>
    <n v="569995"/>
    <n v="821067"/>
    <n v="801011"/>
    <n v="98.2"/>
  </r>
  <r>
    <x v="18"/>
    <x v="2"/>
    <x v="1"/>
    <n v="60240"/>
    <n v="292402"/>
    <n v="406170"/>
    <n v="410912"/>
    <n v="98.2"/>
  </r>
  <r>
    <x v="18"/>
    <x v="2"/>
    <x v="2"/>
    <n v="15799"/>
    <n v="363000"/>
    <n v="494312"/>
    <n v="510122"/>
    <n v="98.2"/>
  </r>
  <r>
    <x v="18"/>
    <x v="2"/>
    <x v="3"/>
    <n v="29877"/>
    <n v="325000"/>
    <n v="536727"/>
    <n v="456721"/>
    <n v="98.2"/>
  </r>
  <r>
    <x v="18"/>
    <x v="3"/>
    <x v="0"/>
    <n v="6308"/>
    <n v="200000"/>
    <n v="230090"/>
    <n v="281059"/>
    <n v="98.2"/>
  </r>
  <r>
    <x v="18"/>
    <x v="3"/>
    <x v="1"/>
    <n v="3148"/>
    <n v="87000"/>
    <n v="98114"/>
    <n v="122261"/>
    <n v="98.2"/>
  </r>
  <r>
    <x v="18"/>
    <x v="3"/>
    <x v="2"/>
    <n v="10294"/>
    <n v="123000"/>
    <n v="132043"/>
    <n v="172851"/>
    <n v="98.2"/>
  </r>
  <r>
    <x v="18"/>
    <x v="3"/>
    <x v="3"/>
    <n v="10293"/>
    <n v="92500"/>
    <n v="109322"/>
    <n v="129990"/>
    <n v="98.2"/>
  </r>
  <r>
    <x v="18"/>
    <x v="4"/>
    <x v="0"/>
    <n v="17488"/>
    <n v="230000"/>
    <n v="270451"/>
    <n v="323218"/>
    <n v="98.2"/>
  </r>
  <r>
    <x v="18"/>
    <x v="4"/>
    <x v="1"/>
    <n v="9404"/>
    <n v="100000"/>
    <n v="115434"/>
    <n v="140530"/>
    <n v="98.2"/>
  </r>
  <r>
    <x v="18"/>
    <x v="4"/>
    <x v="2"/>
    <n v="29479"/>
    <n v="137500"/>
    <n v="153819"/>
    <n v="193228"/>
    <n v="98.2"/>
  </r>
  <r>
    <x v="18"/>
    <x v="4"/>
    <x v="3"/>
    <n v="28111"/>
    <n v="95000"/>
    <n v="109823"/>
    <n v="133503"/>
    <n v="98.2"/>
  </r>
  <r>
    <x v="18"/>
    <x v="5"/>
    <x v="0"/>
    <n v="39465"/>
    <n v="375000"/>
    <n v="468099"/>
    <n v="526986"/>
    <n v="98.2"/>
  </r>
  <r>
    <x v="18"/>
    <x v="5"/>
    <x v="1"/>
    <n v="29236"/>
    <n v="158000"/>
    <n v="176017"/>
    <n v="222037"/>
    <n v="98.2"/>
  </r>
  <r>
    <x v="18"/>
    <x v="5"/>
    <x v="2"/>
    <n v="35759"/>
    <n v="243000"/>
    <n v="270751"/>
    <n v="341487"/>
    <n v="98.2"/>
  </r>
  <r>
    <x v="18"/>
    <x v="5"/>
    <x v="3"/>
    <n v="40331"/>
    <n v="200000"/>
    <n v="224122"/>
    <n v="281059"/>
    <n v="98.2"/>
  </r>
  <r>
    <x v="18"/>
    <x v="6"/>
    <x v="0"/>
    <n v="26983"/>
    <n v="275000"/>
    <n v="327083"/>
    <n v="386456"/>
    <n v="98.2"/>
  </r>
  <r>
    <x v="18"/>
    <x v="6"/>
    <x v="1"/>
    <n v="14958"/>
    <n v="135972"/>
    <n v="160358"/>
    <n v="191082"/>
    <n v="98.2"/>
  </r>
  <r>
    <x v="18"/>
    <x v="6"/>
    <x v="2"/>
    <n v="20856"/>
    <n v="184995"/>
    <n v="206975"/>
    <n v="259973"/>
    <n v="98.2"/>
  </r>
  <r>
    <x v="18"/>
    <x v="6"/>
    <x v="3"/>
    <n v="27107"/>
    <n v="161000"/>
    <n v="183498"/>
    <n v="226253"/>
    <n v="98.2"/>
  </r>
  <r>
    <x v="18"/>
    <x v="7"/>
    <x v="0"/>
    <n v="11240"/>
    <n v="200000"/>
    <n v="221998"/>
    <n v="281059"/>
    <n v="98.2"/>
  </r>
  <r>
    <x v="18"/>
    <x v="7"/>
    <x v="1"/>
    <n v="2715"/>
    <n v="106000"/>
    <n v="116929"/>
    <n v="148961"/>
    <n v="98.2"/>
  </r>
  <r>
    <x v="18"/>
    <x v="7"/>
    <x v="2"/>
    <n v="10777"/>
    <n v="125000"/>
    <n v="138275"/>
    <n v="175662"/>
    <n v="98.2"/>
  </r>
  <r>
    <x v="18"/>
    <x v="7"/>
    <x v="3"/>
    <n v="11620"/>
    <n v="100000"/>
    <n v="113619"/>
    <n v="140530"/>
    <n v="98.2"/>
  </r>
  <r>
    <x v="18"/>
    <x v="8"/>
    <x v="0"/>
    <n v="18315"/>
    <n v="240000"/>
    <n v="276248"/>
    <n v="337271"/>
    <n v="98.2"/>
  </r>
  <r>
    <x v="18"/>
    <x v="8"/>
    <x v="1"/>
    <n v="7018"/>
    <n v="105000"/>
    <n v="115583"/>
    <n v="147556"/>
    <n v="98.2"/>
  </r>
  <r>
    <x v="18"/>
    <x v="8"/>
    <x v="2"/>
    <n v="22355"/>
    <n v="143000"/>
    <n v="156288"/>
    <n v="200957"/>
    <n v="98.2"/>
  </r>
  <r>
    <x v="18"/>
    <x v="8"/>
    <x v="3"/>
    <n v="19257"/>
    <n v="120000"/>
    <n v="132553"/>
    <n v="168635"/>
    <n v="98.2"/>
  </r>
  <r>
    <x v="18"/>
    <x v="9"/>
    <x v="0"/>
    <n v="15905"/>
    <n v="220000"/>
    <n v="250625"/>
    <n v="309165"/>
    <n v="98.2"/>
  </r>
  <r>
    <x v="18"/>
    <x v="9"/>
    <x v="1"/>
    <n v="5688"/>
    <n v="102000"/>
    <n v="116257"/>
    <n v="143340"/>
    <n v="98.2"/>
  </r>
  <r>
    <x v="18"/>
    <x v="9"/>
    <x v="2"/>
    <n v="23302"/>
    <n v="130000"/>
    <n v="144760"/>
    <n v="182688"/>
    <n v="98.2"/>
  </r>
  <r>
    <x v="18"/>
    <x v="9"/>
    <x v="3"/>
    <n v="21709"/>
    <n v="105000"/>
    <n v="119112"/>
    <n v="147556"/>
    <n v="98.2"/>
  </r>
  <r>
    <x v="19"/>
    <x v="0"/>
    <x v="0"/>
    <n v="28666"/>
    <n v="219950"/>
    <n v="247120"/>
    <n v="304750"/>
    <n v="99.6"/>
  </r>
  <r>
    <x v="19"/>
    <x v="0"/>
    <x v="1"/>
    <n v="4949"/>
    <n v="97700"/>
    <n v="108729"/>
    <n v="135367"/>
    <n v="99.6"/>
  </r>
  <r>
    <x v="19"/>
    <x v="0"/>
    <x v="2"/>
    <n v="24251"/>
    <n v="136000"/>
    <n v="147444"/>
    <n v="188434"/>
    <n v="99.6"/>
  </r>
  <r>
    <x v="19"/>
    <x v="0"/>
    <x v="3"/>
    <n v="20339"/>
    <n v="119400"/>
    <n v="128295"/>
    <n v="165434"/>
    <n v="99.6"/>
  </r>
  <r>
    <x v="19"/>
    <x v="1"/>
    <x v="0"/>
    <n v="33058"/>
    <n v="300000"/>
    <n v="371094"/>
    <n v="415663"/>
    <n v="99.6"/>
  </r>
  <r>
    <x v="19"/>
    <x v="1"/>
    <x v="1"/>
    <n v="18828"/>
    <n v="150000"/>
    <n v="171219"/>
    <n v="207831"/>
    <n v="99.6"/>
  </r>
  <r>
    <x v="19"/>
    <x v="1"/>
    <x v="2"/>
    <n v="28838"/>
    <n v="216538"/>
    <n v="246088"/>
    <n v="300022"/>
    <n v="99.6"/>
  </r>
  <r>
    <x v="19"/>
    <x v="1"/>
    <x v="3"/>
    <n v="31645"/>
    <n v="185000"/>
    <n v="212610"/>
    <n v="256325"/>
    <n v="99.6"/>
  </r>
  <r>
    <x v="19"/>
    <x v="2"/>
    <x v="0"/>
    <n v="5652"/>
    <n v="635000"/>
    <n v="907769"/>
    <n v="879819"/>
    <n v="99.6"/>
  </r>
  <r>
    <x v="19"/>
    <x v="2"/>
    <x v="1"/>
    <n v="66579"/>
    <n v="330000"/>
    <n v="456397"/>
    <n v="457229"/>
    <n v="99.6"/>
  </r>
  <r>
    <x v="19"/>
    <x v="2"/>
    <x v="2"/>
    <n v="15529"/>
    <n v="415000"/>
    <n v="553303"/>
    <n v="575000"/>
    <n v="99.6"/>
  </r>
  <r>
    <x v="19"/>
    <x v="2"/>
    <x v="3"/>
    <n v="30862"/>
    <n v="375000"/>
    <n v="589568"/>
    <n v="519578"/>
    <n v="99.6"/>
  </r>
  <r>
    <x v="19"/>
    <x v="3"/>
    <x v="0"/>
    <n v="7822"/>
    <n v="209495"/>
    <n v="238646"/>
    <n v="290264"/>
    <n v="99.6"/>
  </r>
  <r>
    <x v="19"/>
    <x v="3"/>
    <x v="1"/>
    <n v="3895"/>
    <n v="90000"/>
    <n v="101319"/>
    <n v="124699"/>
    <n v="99.6"/>
  </r>
  <r>
    <x v="19"/>
    <x v="3"/>
    <x v="2"/>
    <n v="11926"/>
    <n v="127000"/>
    <n v="138807"/>
    <n v="175964"/>
    <n v="99.6"/>
  </r>
  <r>
    <x v="19"/>
    <x v="3"/>
    <x v="3"/>
    <n v="11728"/>
    <n v="95948"/>
    <n v="114028"/>
    <n v="132939"/>
    <n v="99.6"/>
  </r>
  <r>
    <x v="19"/>
    <x v="4"/>
    <x v="0"/>
    <n v="21366"/>
    <n v="236995"/>
    <n v="279321"/>
    <n v="328367"/>
    <n v="99.6"/>
  </r>
  <r>
    <x v="19"/>
    <x v="4"/>
    <x v="1"/>
    <n v="11909"/>
    <n v="108000"/>
    <n v="121279"/>
    <n v="149639"/>
    <n v="99.6"/>
  </r>
  <r>
    <x v="19"/>
    <x v="4"/>
    <x v="2"/>
    <n v="34677"/>
    <n v="143250"/>
    <n v="161297"/>
    <n v="198479"/>
    <n v="99.6"/>
  </r>
  <r>
    <x v="19"/>
    <x v="4"/>
    <x v="3"/>
    <n v="33511"/>
    <n v="100000"/>
    <n v="114975"/>
    <n v="138554"/>
    <n v="99.6"/>
  </r>
  <r>
    <x v="19"/>
    <x v="5"/>
    <x v="0"/>
    <n v="43662"/>
    <n v="407000"/>
    <n v="504487"/>
    <n v="563916"/>
    <n v="99.6"/>
  </r>
  <r>
    <x v="19"/>
    <x v="5"/>
    <x v="1"/>
    <n v="38291"/>
    <n v="169000"/>
    <n v="188749"/>
    <n v="234157"/>
    <n v="99.6"/>
  </r>
  <r>
    <x v="19"/>
    <x v="5"/>
    <x v="2"/>
    <n v="38531"/>
    <n v="262500"/>
    <n v="296703"/>
    <n v="363705"/>
    <n v="99.6"/>
  </r>
  <r>
    <x v="19"/>
    <x v="5"/>
    <x v="3"/>
    <n v="46369"/>
    <n v="220000"/>
    <n v="244616"/>
    <n v="304819"/>
    <n v="99.6"/>
  </r>
  <r>
    <x v="19"/>
    <x v="6"/>
    <x v="0"/>
    <n v="30899"/>
    <n v="295000"/>
    <n v="346091"/>
    <n v="408735"/>
    <n v="99.6"/>
  </r>
  <r>
    <x v="19"/>
    <x v="6"/>
    <x v="1"/>
    <n v="19293"/>
    <n v="142000"/>
    <n v="169065"/>
    <n v="196747"/>
    <n v="99.6"/>
  </r>
  <r>
    <x v="19"/>
    <x v="6"/>
    <x v="2"/>
    <n v="23538"/>
    <n v="195000"/>
    <n v="219205"/>
    <n v="270181"/>
    <n v="99.6"/>
  </r>
  <r>
    <x v="19"/>
    <x v="6"/>
    <x v="3"/>
    <n v="31648"/>
    <n v="171000"/>
    <n v="195505"/>
    <n v="236928"/>
    <n v="99.6"/>
  </r>
  <r>
    <x v="19"/>
    <x v="7"/>
    <x v="0"/>
    <n v="12973"/>
    <n v="210000"/>
    <n v="231099"/>
    <n v="290964"/>
    <n v="99.6"/>
  </r>
  <r>
    <x v="19"/>
    <x v="7"/>
    <x v="1"/>
    <n v="3728"/>
    <n v="114500"/>
    <n v="124945"/>
    <n v="158645"/>
    <n v="99.6"/>
  </r>
  <r>
    <x v="19"/>
    <x v="7"/>
    <x v="2"/>
    <n v="12130"/>
    <n v="130000"/>
    <n v="143870"/>
    <n v="180120"/>
    <n v="99.6"/>
  </r>
  <r>
    <x v="19"/>
    <x v="7"/>
    <x v="3"/>
    <n v="13495"/>
    <n v="106000"/>
    <n v="118944"/>
    <n v="146867"/>
    <n v="99.6"/>
  </r>
  <r>
    <x v="19"/>
    <x v="8"/>
    <x v="0"/>
    <n v="21427"/>
    <n v="249995"/>
    <n v="293108"/>
    <n v="346379"/>
    <n v="99.6"/>
  </r>
  <r>
    <x v="19"/>
    <x v="8"/>
    <x v="1"/>
    <n v="9011"/>
    <n v="110000"/>
    <n v="122867"/>
    <n v="152410"/>
    <n v="99.6"/>
  </r>
  <r>
    <x v="19"/>
    <x v="8"/>
    <x v="2"/>
    <n v="25952"/>
    <n v="150000"/>
    <n v="164919"/>
    <n v="207831"/>
    <n v="99.6"/>
  </r>
  <r>
    <x v="19"/>
    <x v="8"/>
    <x v="3"/>
    <n v="23178"/>
    <n v="125000"/>
    <n v="139712"/>
    <n v="173193"/>
    <n v="99.6"/>
  </r>
  <r>
    <x v="19"/>
    <x v="9"/>
    <x v="0"/>
    <n v="18843"/>
    <n v="230000"/>
    <n v="261652"/>
    <n v="318675"/>
    <n v="99.6"/>
  </r>
  <r>
    <x v="19"/>
    <x v="9"/>
    <x v="1"/>
    <n v="7288"/>
    <n v="105410"/>
    <n v="119541"/>
    <n v="146050"/>
    <n v="99.6"/>
  </r>
  <r>
    <x v="19"/>
    <x v="9"/>
    <x v="2"/>
    <n v="27141"/>
    <n v="135000"/>
    <n v="150043"/>
    <n v="187048"/>
    <n v="99.6"/>
  </r>
  <r>
    <x v="19"/>
    <x v="9"/>
    <x v="3"/>
    <n v="25620"/>
    <n v="111950"/>
    <n v="124924"/>
    <n v="155111"/>
    <n v="99.6"/>
  </r>
  <r>
    <x v="20"/>
    <x v="0"/>
    <x v="0"/>
    <n v="29066"/>
    <n v="235000"/>
    <n v="264583"/>
    <n v="324300"/>
    <n v="100"/>
  </r>
  <r>
    <x v="20"/>
    <x v="0"/>
    <x v="1"/>
    <n v="4994"/>
    <n v="105000"/>
    <n v="115239"/>
    <n v="144900"/>
    <n v="100"/>
  </r>
  <r>
    <x v="20"/>
    <x v="0"/>
    <x v="2"/>
    <n v="24117"/>
    <n v="145000"/>
    <n v="156292"/>
    <n v="200100"/>
    <n v="100"/>
  </r>
  <r>
    <x v="20"/>
    <x v="0"/>
    <x v="3"/>
    <n v="20451"/>
    <n v="123500"/>
    <n v="133514"/>
    <n v="170430"/>
    <n v="100"/>
  </r>
  <r>
    <x v="20"/>
    <x v="1"/>
    <x v="0"/>
    <n v="32483"/>
    <n v="330000"/>
    <n v="400956"/>
    <n v="455400"/>
    <n v="100"/>
  </r>
  <r>
    <x v="20"/>
    <x v="1"/>
    <x v="1"/>
    <n v="19012"/>
    <n v="160000"/>
    <n v="182267"/>
    <n v="220800"/>
    <n v="100"/>
  </r>
  <r>
    <x v="20"/>
    <x v="1"/>
    <x v="2"/>
    <n v="27334"/>
    <n v="240000"/>
    <n v="270775"/>
    <n v="331200"/>
    <n v="100"/>
  </r>
  <r>
    <x v="20"/>
    <x v="1"/>
    <x v="3"/>
    <n v="30809"/>
    <n v="210000"/>
    <n v="234490"/>
    <n v="289800"/>
    <n v="100"/>
  </r>
  <r>
    <x v="20"/>
    <x v="2"/>
    <x v="0"/>
    <n v="5322"/>
    <n v="690000"/>
    <n v="928739"/>
    <n v="952200"/>
    <n v="100"/>
  </r>
  <r>
    <x v="20"/>
    <x v="2"/>
    <x v="1"/>
    <n v="63336"/>
    <n v="365000"/>
    <n v="474894"/>
    <n v="503700"/>
    <n v="100"/>
  </r>
  <r>
    <x v="20"/>
    <x v="2"/>
    <x v="2"/>
    <n v="15105"/>
    <n v="457500"/>
    <n v="590675"/>
    <n v="631350"/>
    <n v="100"/>
  </r>
  <r>
    <x v="20"/>
    <x v="2"/>
    <x v="3"/>
    <n v="29664"/>
    <n v="420000"/>
    <n v="604378"/>
    <n v="579600"/>
    <n v="100"/>
  </r>
  <r>
    <x v="20"/>
    <x v="3"/>
    <x v="0"/>
    <n v="8367"/>
    <n v="215995"/>
    <n v="244963"/>
    <n v="298073"/>
    <n v="100"/>
  </r>
  <r>
    <x v="20"/>
    <x v="3"/>
    <x v="1"/>
    <n v="3820"/>
    <n v="92500"/>
    <n v="106635"/>
    <n v="127650"/>
    <n v="100"/>
  </r>
  <r>
    <x v="20"/>
    <x v="3"/>
    <x v="2"/>
    <n v="12159"/>
    <n v="130000"/>
    <n v="142458"/>
    <n v="179400"/>
    <n v="100"/>
  </r>
  <r>
    <x v="20"/>
    <x v="3"/>
    <x v="3"/>
    <n v="11819"/>
    <n v="96995"/>
    <n v="115425"/>
    <n v="133853"/>
    <n v="100"/>
  </r>
  <r>
    <x v="20"/>
    <x v="4"/>
    <x v="0"/>
    <n v="22799"/>
    <n v="247750"/>
    <n v="290473"/>
    <n v="341895"/>
    <n v="100"/>
  </r>
  <r>
    <x v="20"/>
    <x v="4"/>
    <x v="1"/>
    <n v="13270"/>
    <n v="115000"/>
    <n v="128094"/>
    <n v="158700"/>
    <n v="100"/>
  </r>
  <r>
    <x v="20"/>
    <x v="4"/>
    <x v="2"/>
    <n v="35771"/>
    <n v="148500"/>
    <n v="166975"/>
    <n v="204930"/>
    <n v="100"/>
  </r>
  <r>
    <x v="20"/>
    <x v="4"/>
    <x v="3"/>
    <n v="34807"/>
    <n v="105000"/>
    <n v="120040"/>
    <n v="144900"/>
    <n v="100"/>
  </r>
  <r>
    <x v="20"/>
    <x v="5"/>
    <x v="0"/>
    <n v="43098"/>
    <n v="430000"/>
    <n v="525282"/>
    <n v="593400"/>
    <n v="100"/>
  </r>
  <r>
    <x v="20"/>
    <x v="5"/>
    <x v="1"/>
    <n v="38258"/>
    <n v="180000"/>
    <n v="203326"/>
    <n v="248400"/>
    <n v="100"/>
  </r>
  <r>
    <x v="20"/>
    <x v="5"/>
    <x v="2"/>
    <n v="37579"/>
    <n v="287000"/>
    <n v="319458"/>
    <n v="396060"/>
    <n v="100"/>
  </r>
  <r>
    <x v="20"/>
    <x v="5"/>
    <x v="3"/>
    <n v="44635"/>
    <n v="240000"/>
    <n v="266008"/>
    <n v="331200"/>
    <n v="100"/>
  </r>
  <r>
    <x v="20"/>
    <x v="6"/>
    <x v="0"/>
    <n v="31606"/>
    <n v="313000"/>
    <n v="361392"/>
    <n v="431940"/>
    <n v="100"/>
  </r>
  <r>
    <x v="20"/>
    <x v="6"/>
    <x v="1"/>
    <n v="19653"/>
    <n v="149000"/>
    <n v="176603"/>
    <n v="205620"/>
    <n v="100"/>
  </r>
  <r>
    <x v="20"/>
    <x v="6"/>
    <x v="2"/>
    <n v="23236"/>
    <n v="210000"/>
    <n v="230929"/>
    <n v="289800"/>
    <n v="100"/>
  </r>
  <r>
    <x v="20"/>
    <x v="6"/>
    <x v="3"/>
    <n v="31358"/>
    <n v="182000"/>
    <n v="208191"/>
    <n v="251160"/>
    <n v="100"/>
  </r>
  <r>
    <x v="20"/>
    <x v="7"/>
    <x v="0"/>
    <n v="13621"/>
    <n v="215000"/>
    <n v="237579"/>
    <n v="296700"/>
    <n v="100"/>
  </r>
  <r>
    <x v="20"/>
    <x v="7"/>
    <x v="1"/>
    <n v="3583"/>
    <n v="115000"/>
    <n v="126360"/>
    <n v="158700"/>
    <n v="100"/>
  </r>
  <r>
    <x v="20"/>
    <x v="7"/>
    <x v="2"/>
    <n v="12386"/>
    <n v="135000"/>
    <n v="147465"/>
    <n v="186300"/>
    <n v="100"/>
  </r>
  <r>
    <x v="20"/>
    <x v="7"/>
    <x v="3"/>
    <n v="14019"/>
    <n v="109000"/>
    <n v="121467"/>
    <n v="150420"/>
    <n v="100"/>
  </r>
  <r>
    <x v="20"/>
    <x v="8"/>
    <x v="0"/>
    <n v="22537"/>
    <n v="266000"/>
    <n v="306524"/>
    <n v="367080"/>
    <n v="100"/>
  </r>
  <r>
    <x v="20"/>
    <x v="8"/>
    <x v="1"/>
    <n v="9045"/>
    <n v="115000"/>
    <n v="131427"/>
    <n v="158700"/>
    <n v="100"/>
  </r>
  <r>
    <x v="20"/>
    <x v="8"/>
    <x v="2"/>
    <n v="26443"/>
    <n v="156500"/>
    <n v="171891"/>
    <n v="215970"/>
    <n v="100"/>
  </r>
  <r>
    <x v="20"/>
    <x v="8"/>
    <x v="3"/>
    <n v="23466"/>
    <n v="130000"/>
    <n v="145811"/>
    <n v="179400"/>
    <n v="100"/>
  </r>
  <r>
    <x v="20"/>
    <x v="9"/>
    <x v="0"/>
    <n v="19423"/>
    <n v="239950"/>
    <n v="273188"/>
    <n v="331131"/>
    <n v="100"/>
  </r>
  <r>
    <x v="20"/>
    <x v="9"/>
    <x v="1"/>
    <n v="7431"/>
    <n v="110000"/>
    <n v="127321"/>
    <n v="151800"/>
    <n v="100"/>
  </r>
  <r>
    <x v="20"/>
    <x v="9"/>
    <x v="2"/>
    <n v="27026"/>
    <n v="139000"/>
    <n v="155462"/>
    <n v="191820"/>
    <n v="100"/>
  </r>
  <r>
    <x v="20"/>
    <x v="9"/>
    <x v="3"/>
    <n v="25652"/>
    <n v="115000"/>
    <n v="129640"/>
    <n v="158700"/>
    <n v="100"/>
  </r>
  <r>
    <x v="21"/>
    <x v="0"/>
    <x v="0"/>
    <n v="30202"/>
    <n v="247000"/>
    <n v="275652"/>
    <n v="337485"/>
    <n v="101"/>
  </r>
  <r>
    <x v="21"/>
    <x v="0"/>
    <x v="1"/>
    <n v="5767"/>
    <n v="112000"/>
    <n v="124364"/>
    <n v="153030"/>
    <n v="101"/>
  </r>
  <r>
    <x v="21"/>
    <x v="0"/>
    <x v="2"/>
    <n v="25556"/>
    <n v="154000"/>
    <n v="164937"/>
    <n v="210416"/>
    <n v="101"/>
  </r>
  <r>
    <x v="21"/>
    <x v="0"/>
    <x v="3"/>
    <n v="20722"/>
    <n v="130000"/>
    <n v="141795"/>
    <n v="177624"/>
    <n v="101"/>
  </r>
  <r>
    <x v="21"/>
    <x v="1"/>
    <x v="0"/>
    <n v="31518"/>
    <n v="355000"/>
    <n v="428215"/>
    <n v="485050"/>
    <n v="101"/>
  </r>
  <r>
    <x v="21"/>
    <x v="1"/>
    <x v="1"/>
    <n v="19962"/>
    <n v="177000"/>
    <n v="199574"/>
    <n v="241842"/>
    <n v="101"/>
  </r>
  <r>
    <x v="21"/>
    <x v="1"/>
    <x v="2"/>
    <n v="27251"/>
    <n v="264000"/>
    <n v="294868"/>
    <n v="360713"/>
    <n v="101"/>
  </r>
  <r>
    <x v="21"/>
    <x v="1"/>
    <x v="3"/>
    <n v="29296"/>
    <n v="235000"/>
    <n v="255314"/>
    <n v="321089"/>
    <n v="101"/>
  </r>
  <r>
    <x v="21"/>
    <x v="2"/>
    <x v="0"/>
    <n v="4505"/>
    <n v="750000"/>
    <n v="1001816"/>
    <n v="1024752"/>
    <n v="101"/>
  </r>
  <r>
    <x v="21"/>
    <x v="2"/>
    <x v="1"/>
    <n v="60263"/>
    <n v="400000"/>
    <n v="518144"/>
    <n v="546535"/>
    <n v="101"/>
  </r>
  <r>
    <x v="21"/>
    <x v="2"/>
    <x v="2"/>
    <n v="13018"/>
    <n v="502500"/>
    <n v="632243"/>
    <n v="686584"/>
    <n v="101"/>
  </r>
  <r>
    <x v="21"/>
    <x v="2"/>
    <x v="3"/>
    <n v="25529"/>
    <n v="460000"/>
    <n v="649466"/>
    <n v="628515"/>
    <n v="101"/>
  </r>
  <r>
    <x v="21"/>
    <x v="3"/>
    <x v="0"/>
    <n v="8505"/>
    <n v="220000"/>
    <n v="251736"/>
    <n v="300594"/>
    <n v="101"/>
  </r>
  <r>
    <x v="21"/>
    <x v="3"/>
    <x v="1"/>
    <n v="3949"/>
    <n v="93000"/>
    <n v="109736"/>
    <n v="127069"/>
    <n v="101"/>
  </r>
  <r>
    <x v="21"/>
    <x v="3"/>
    <x v="2"/>
    <n v="12502"/>
    <n v="132950"/>
    <n v="145389"/>
    <n v="181654"/>
    <n v="101"/>
  </r>
  <r>
    <x v="21"/>
    <x v="3"/>
    <x v="3"/>
    <n v="12151"/>
    <n v="98000"/>
    <n v="116957"/>
    <n v="133901"/>
    <n v="101"/>
  </r>
  <r>
    <x v="21"/>
    <x v="4"/>
    <x v="0"/>
    <n v="24185"/>
    <n v="257000"/>
    <n v="302957"/>
    <n v="351149"/>
    <n v="101"/>
  </r>
  <r>
    <x v="21"/>
    <x v="4"/>
    <x v="1"/>
    <n v="14660"/>
    <n v="122500"/>
    <n v="135623"/>
    <n v="167376"/>
    <n v="101"/>
  </r>
  <r>
    <x v="21"/>
    <x v="4"/>
    <x v="2"/>
    <n v="37554"/>
    <n v="153500"/>
    <n v="173063"/>
    <n v="209733"/>
    <n v="101"/>
  </r>
  <r>
    <x v="21"/>
    <x v="4"/>
    <x v="3"/>
    <n v="36049"/>
    <n v="106000"/>
    <n v="122989"/>
    <n v="144832"/>
    <n v="101"/>
  </r>
  <r>
    <x v="21"/>
    <x v="5"/>
    <x v="0"/>
    <n v="40487"/>
    <n v="469000"/>
    <n v="558501"/>
    <n v="640812"/>
    <n v="101"/>
  </r>
  <r>
    <x v="21"/>
    <x v="5"/>
    <x v="1"/>
    <n v="38871"/>
    <n v="200000"/>
    <n v="220523"/>
    <n v="273267"/>
    <n v="101"/>
  </r>
  <r>
    <x v="21"/>
    <x v="5"/>
    <x v="2"/>
    <n v="36983"/>
    <n v="317500"/>
    <n v="346584"/>
    <n v="433812"/>
    <n v="101"/>
  </r>
  <r>
    <x v="21"/>
    <x v="5"/>
    <x v="3"/>
    <n v="41702"/>
    <n v="265000"/>
    <n v="289786"/>
    <n v="362079"/>
    <n v="101"/>
  </r>
  <r>
    <x v="21"/>
    <x v="6"/>
    <x v="0"/>
    <n v="31462"/>
    <n v="330000"/>
    <n v="379111"/>
    <n v="450891"/>
    <n v="101"/>
  </r>
  <r>
    <x v="21"/>
    <x v="6"/>
    <x v="1"/>
    <n v="20771"/>
    <n v="156000"/>
    <n v="186318"/>
    <n v="213149"/>
    <n v="101"/>
  </r>
  <r>
    <x v="21"/>
    <x v="6"/>
    <x v="2"/>
    <n v="24214"/>
    <n v="225000"/>
    <n v="246045"/>
    <n v="307426"/>
    <n v="101"/>
  </r>
  <r>
    <x v="21"/>
    <x v="6"/>
    <x v="3"/>
    <n v="31168"/>
    <n v="193000"/>
    <n v="219911"/>
    <n v="263703"/>
    <n v="101"/>
  </r>
  <r>
    <x v="21"/>
    <x v="7"/>
    <x v="0"/>
    <n v="14354"/>
    <n v="223000"/>
    <n v="247632"/>
    <n v="304693"/>
    <n v="101"/>
  </r>
  <r>
    <x v="21"/>
    <x v="7"/>
    <x v="1"/>
    <n v="3856"/>
    <n v="118000"/>
    <n v="128713"/>
    <n v="161228"/>
    <n v="101"/>
  </r>
  <r>
    <x v="21"/>
    <x v="7"/>
    <x v="2"/>
    <n v="13114"/>
    <n v="140000"/>
    <n v="153641"/>
    <n v="191287"/>
    <n v="101"/>
  </r>
  <r>
    <x v="21"/>
    <x v="7"/>
    <x v="3"/>
    <n v="14358"/>
    <n v="110000"/>
    <n v="124378"/>
    <n v="150297"/>
    <n v="101"/>
  </r>
  <r>
    <x v="21"/>
    <x v="8"/>
    <x v="0"/>
    <n v="23330"/>
    <n v="280000"/>
    <n v="320254"/>
    <n v="382574"/>
    <n v="101"/>
  </r>
  <r>
    <x v="21"/>
    <x v="8"/>
    <x v="1"/>
    <n v="10263"/>
    <n v="120000"/>
    <n v="136258"/>
    <n v="163960"/>
    <n v="101"/>
  </r>
  <r>
    <x v="21"/>
    <x v="8"/>
    <x v="2"/>
    <n v="27845"/>
    <n v="164995"/>
    <n v="180718"/>
    <n v="225439"/>
    <n v="101"/>
  </r>
  <r>
    <x v="21"/>
    <x v="8"/>
    <x v="3"/>
    <n v="23960"/>
    <n v="135500"/>
    <n v="152209"/>
    <n v="185139"/>
    <n v="101"/>
  </r>
  <r>
    <x v="21"/>
    <x v="9"/>
    <x v="0"/>
    <n v="20313"/>
    <n v="249950"/>
    <n v="282968"/>
    <n v="341516"/>
    <n v="101"/>
  </r>
  <r>
    <x v="21"/>
    <x v="9"/>
    <x v="1"/>
    <n v="8410"/>
    <n v="114972"/>
    <n v="133781"/>
    <n v="157091"/>
    <n v="101"/>
  </r>
  <r>
    <x v="21"/>
    <x v="9"/>
    <x v="2"/>
    <n v="28191"/>
    <n v="144995"/>
    <n v="161473"/>
    <n v="198112"/>
    <n v="101"/>
  </r>
  <r>
    <x v="21"/>
    <x v="9"/>
    <x v="3"/>
    <n v="25344"/>
    <n v="118000"/>
    <n v="133188"/>
    <n v="161228"/>
    <n v="101"/>
  </r>
  <r>
    <x v="22"/>
    <x v="0"/>
    <x v="0"/>
    <n v="29843"/>
    <n v="264000"/>
    <n v="291215"/>
    <n v="351660"/>
    <n v="103.6"/>
  </r>
  <r>
    <x v="22"/>
    <x v="0"/>
    <x v="1"/>
    <n v="5354"/>
    <n v="114950"/>
    <n v="126750"/>
    <n v="153119"/>
    <n v="103.6"/>
  </r>
  <r>
    <x v="22"/>
    <x v="0"/>
    <x v="2"/>
    <n v="26276"/>
    <n v="164995"/>
    <n v="174983"/>
    <n v="219781"/>
    <n v="103.6"/>
  </r>
  <r>
    <x v="22"/>
    <x v="0"/>
    <x v="3"/>
    <n v="19245"/>
    <n v="137500"/>
    <n v="149345"/>
    <n v="183156"/>
    <n v="103.6"/>
  </r>
  <r>
    <x v="22"/>
    <x v="1"/>
    <x v="0"/>
    <n v="31214"/>
    <n v="379995"/>
    <n v="447954"/>
    <n v="506171"/>
    <n v="103.6"/>
  </r>
  <r>
    <x v="22"/>
    <x v="1"/>
    <x v="1"/>
    <n v="17387"/>
    <n v="189995"/>
    <n v="212146"/>
    <n v="253082"/>
    <n v="103.6"/>
  </r>
  <r>
    <x v="22"/>
    <x v="1"/>
    <x v="2"/>
    <n v="27759"/>
    <n v="280000"/>
    <n v="312793"/>
    <n v="372973"/>
    <n v="103.6"/>
  </r>
  <r>
    <x v="22"/>
    <x v="1"/>
    <x v="3"/>
    <n v="26520"/>
    <n v="249000"/>
    <n v="269375"/>
    <n v="331680"/>
    <n v="103.6"/>
  </r>
  <r>
    <x v="22"/>
    <x v="2"/>
    <x v="0"/>
    <n v="4095"/>
    <n v="780000"/>
    <n v="1042373"/>
    <n v="1038996"/>
    <n v="103.6"/>
  </r>
  <r>
    <x v="22"/>
    <x v="2"/>
    <x v="1"/>
    <n v="52714"/>
    <n v="422000"/>
    <n v="555913"/>
    <n v="562124"/>
    <n v="103.6"/>
  </r>
  <r>
    <x v="22"/>
    <x v="2"/>
    <x v="2"/>
    <n v="12849"/>
    <n v="525000"/>
    <n v="659204"/>
    <n v="699324"/>
    <n v="103.6"/>
  </r>
  <r>
    <x v="22"/>
    <x v="2"/>
    <x v="3"/>
    <n v="23726"/>
    <n v="485000"/>
    <n v="669657"/>
    <n v="646042"/>
    <n v="103.6"/>
  </r>
  <r>
    <x v="22"/>
    <x v="3"/>
    <x v="0"/>
    <n v="9401"/>
    <n v="229950"/>
    <n v="260341"/>
    <n v="306304"/>
    <n v="103.6"/>
  </r>
  <r>
    <x v="22"/>
    <x v="3"/>
    <x v="1"/>
    <n v="3928"/>
    <n v="92500"/>
    <n v="108349"/>
    <n v="123214"/>
    <n v="103.6"/>
  </r>
  <r>
    <x v="22"/>
    <x v="3"/>
    <x v="2"/>
    <n v="13397"/>
    <n v="134950"/>
    <n v="146678"/>
    <n v="179760"/>
    <n v="103.6"/>
  </r>
  <r>
    <x v="22"/>
    <x v="3"/>
    <x v="3"/>
    <n v="12307"/>
    <n v="97845"/>
    <n v="115678"/>
    <n v="130334"/>
    <n v="103.6"/>
  </r>
  <r>
    <x v="22"/>
    <x v="4"/>
    <x v="0"/>
    <n v="25251"/>
    <n v="267500"/>
    <n v="316836"/>
    <n v="356322"/>
    <n v="103.6"/>
  </r>
  <r>
    <x v="22"/>
    <x v="4"/>
    <x v="1"/>
    <n v="13964"/>
    <n v="124950"/>
    <n v="143885"/>
    <n v="166439"/>
    <n v="103.6"/>
  </r>
  <r>
    <x v="22"/>
    <x v="4"/>
    <x v="2"/>
    <n v="39597"/>
    <n v="160000"/>
    <n v="180553"/>
    <n v="213127"/>
    <n v="103.6"/>
  </r>
  <r>
    <x v="22"/>
    <x v="4"/>
    <x v="3"/>
    <n v="35838"/>
    <n v="110000"/>
    <n v="126974"/>
    <n v="146525"/>
    <n v="103.6"/>
  </r>
  <r>
    <x v="22"/>
    <x v="5"/>
    <x v="0"/>
    <n v="40421"/>
    <n v="487000"/>
    <n v="581645"/>
    <n v="648707"/>
    <n v="103.6"/>
  </r>
  <r>
    <x v="22"/>
    <x v="5"/>
    <x v="1"/>
    <n v="34611"/>
    <n v="210000"/>
    <n v="230356"/>
    <n v="279730"/>
    <n v="103.6"/>
  </r>
  <r>
    <x v="22"/>
    <x v="5"/>
    <x v="2"/>
    <n v="37930"/>
    <n v="330000"/>
    <n v="358934"/>
    <n v="439575"/>
    <n v="103.6"/>
  </r>
  <r>
    <x v="22"/>
    <x v="5"/>
    <x v="3"/>
    <n v="38647"/>
    <n v="275000"/>
    <n v="300177"/>
    <n v="366313"/>
    <n v="103.6"/>
  </r>
  <r>
    <x v="22"/>
    <x v="6"/>
    <x v="0"/>
    <n v="31453"/>
    <n v="350000"/>
    <n v="401686"/>
    <n v="466216"/>
    <n v="103.6"/>
  </r>
  <r>
    <x v="22"/>
    <x v="6"/>
    <x v="1"/>
    <n v="19300"/>
    <n v="164000"/>
    <n v="195874"/>
    <n v="218456"/>
    <n v="103.6"/>
  </r>
  <r>
    <x v="22"/>
    <x v="6"/>
    <x v="2"/>
    <n v="24655"/>
    <n v="235000"/>
    <n v="258733"/>
    <n v="313031"/>
    <n v="103.6"/>
  </r>
  <r>
    <x v="22"/>
    <x v="6"/>
    <x v="3"/>
    <n v="29598"/>
    <n v="205000"/>
    <n v="228745"/>
    <n v="273069"/>
    <n v="103.6"/>
  </r>
  <r>
    <x v="22"/>
    <x v="7"/>
    <x v="0"/>
    <n v="15017"/>
    <n v="230000"/>
    <n v="255768"/>
    <n v="306371"/>
    <n v="103.6"/>
  </r>
  <r>
    <x v="22"/>
    <x v="7"/>
    <x v="1"/>
    <n v="3955"/>
    <n v="120000"/>
    <n v="133714"/>
    <n v="159846"/>
    <n v="103.6"/>
  </r>
  <r>
    <x v="22"/>
    <x v="7"/>
    <x v="2"/>
    <n v="14069"/>
    <n v="145000"/>
    <n v="159428"/>
    <n v="193147"/>
    <n v="103.6"/>
  </r>
  <r>
    <x v="22"/>
    <x v="7"/>
    <x v="3"/>
    <n v="15056"/>
    <n v="112000"/>
    <n v="126086"/>
    <n v="149189"/>
    <n v="103.6"/>
  </r>
  <r>
    <x v="22"/>
    <x v="8"/>
    <x v="0"/>
    <n v="23692"/>
    <n v="294850"/>
    <n v="336954"/>
    <n v="392754"/>
    <n v="103.6"/>
  </r>
  <r>
    <x v="22"/>
    <x v="8"/>
    <x v="1"/>
    <n v="9798"/>
    <n v="125000"/>
    <n v="144035"/>
    <n v="166506"/>
    <n v="103.6"/>
  </r>
  <r>
    <x v="22"/>
    <x v="8"/>
    <x v="2"/>
    <n v="28869"/>
    <n v="173000"/>
    <n v="191104"/>
    <n v="230444"/>
    <n v="103.6"/>
  </r>
  <r>
    <x v="22"/>
    <x v="8"/>
    <x v="3"/>
    <n v="23651"/>
    <n v="145000"/>
    <n v="159570"/>
    <n v="193147"/>
    <n v="103.6"/>
  </r>
  <r>
    <x v="22"/>
    <x v="9"/>
    <x v="0"/>
    <n v="21196"/>
    <n v="255000"/>
    <n v="295513"/>
    <n v="339672"/>
    <n v="103.6"/>
  </r>
  <r>
    <x v="22"/>
    <x v="9"/>
    <x v="1"/>
    <n v="8455"/>
    <n v="119950"/>
    <n v="137675"/>
    <n v="159779"/>
    <n v="103.6"/>
  </r>
  <r>
    <x v="22"/>
    <x v="9"/>
    <x v="2"/>
    <n v="29780"/>
    <n v="149950"/>
    <n v="166788"/>
    <n v="199740"/>
    <n v="103.6"/>
  </r>
  <r>
    <x v="22"/>
    <x v="9"/>
    <x v="3"/>
    <n v="25839"/>
    <n v="120000"/>
    <n v="136429"/>
    <n v="159846"/>
    <n v="103.6"/>
  </r>
  <r>
    <x v="23"/>
    <x v="0"/>
    <x v="0"/>
    <n v="29364"/>
    <n v="275000"/>
    <n v="305423"/>
    <n v="358019"/>
    <n v="106"/>
  </r>
  <r>
    <x v="23"/>
    <x v="0"/>
    <x v="1"/>
    <n v="5003"/>
    <n v="120000"/>
    <n v="132361"/>
    <n v="156226"/>
    <n v="106"/>
  </r>
  <r>
    <x v="23"/>
    <x v="0"/>
    <x v="2"/>
    <n v="26031"/>
    <n v="173000"/>
    <n v="184473"/>
    <n v="225226"/>
    <n v="106"/>
  </r>
  <r>
    <x v="23"/>
    <x v="0"/>
    <x v="3"/>
    <n v="18775"/>
    <n v="144950"/>
    <n v="155061"/>
    <n v="188708"/>
    <n v="106"/>
  </r>
  <r>
    <x v="23"/>
    <x v="1"/>
    <x v="0"/>
    <n v="29697"/>
    <n v="390000"/>
    <n v="460230"/>
    <n v="507736"/>
    <n v="106"/>
  </r>
  <r>
    <x v="23"/>
    <x v="1"/>
    <x v="1"/>
    <n v="16199"/>
    <n v="195000"/>
    <n v="216776"/>
    <n v="253868"/>
    <n v="106"/>
  </r>
  <r>
    <x v="23"/>
    <x v="1"/>
    <x v="2"/>
    <n v="27089"/>
    <n v="290000"/>
    <n v="319918"/>
    <n v="377547"/>
    <n v="106"/>
  </r>
  <r>
    <x v="23"/>
    <x v="1"/>
    <x v="3"/>
    <n v="25148"/>
    <n v="252000"/>
    <n v="273647"/>
    <n v="328075"/>
    <n v="106"/>
  </r>
  <r>
    <x v="23"/>
    <x v="2"/>
    <x v="0"/>
    <n v="3993"/>
    <n v="773000"/>
    <n v="1064990"/>
    <n v="1006358"/>
    <n v="106"/>
  </r>
  <r>
    <x v="23"/>
    <x v="2"/>
    <x v="1"/>
    <n v="48436"/>
    <n v="425000"/>
    <n v="551096"/>
    <n v="553302"/>
    <n v="106"/>
  </r>
  <r>
    <x v="23"/>
    <x v="2"/>
    <x v="2"/>
    <n v="12241"/>
    <n v="530000"/>
    <n v="656282"/>
    <n v="690000"/>
    <n v="106"/>
  </r>
  <r>
    <x v="23"/>
    <x v="2"/>
    <x v="3"/>
    <n v="22815"/>
    <n v="487500"/>
    <n v="674643"/>
    <n v="634670"/>
    <n v="106"/>
  </r>
  <r>
    <x v="23"/>
    <x v="3"/>
    <x v="0"/>
    <n v="9401"/>
    <n v="235000"/>
    <n v="265183"/>
    <n v="305943"/>
    <n v="106"/>
  </r>
  <r>
    <x v="23"/>
    <x v="3"/>
    <x v="1"/>
    <n v="3651"/>
    <n v="99000"/>
    <n v="113498"/>
    <n v="128887"/>
    <n v="106"/>
  </r>
  <r>
    <x v="23"/>
    <x v="3"/>
    <x v="2"/>
    <n v="13053"/>
    <n v="136000"/>
    <n v="148533"/>
    <n v="177057"/>
    <n v="106"/>
  </r>
  <r>
    <x v="23"/>
    <x v="3"/>
    <x v="3"/>
    <n v="12221"/>
    <n v="100000"/>
    <n v="119595"/>
    <n v="130189"/>
    <n v="106"/>
  </r>
  <r>
    <x v="23"/>
    <x v="4"/>
    <x v="0"/>
    <n v="24573"/>
    <n v="275000"/>
    <n v="324366"/>
    <n v="358019"/>
    <n v="106"/>
  </r>
  <r>
    <x v="23"/>
    <x v="4"/>
    <x v="1"/>
    <n v="13749"/>
    <n v="124000"/>
    <n v="142250"/>
    <n v="161434"/>
    <n v="106"/>
  </r>
  <r>
    <x v="23"/>
    <x v="4"/>
    <x v="2"/>
    <n v="39126"/>
    <n v="165000"/>
    <n v="186889"/>
    <n v="214811"/>
    <n v="106"/>
  </r>
  <r>
    <x v="23"/>
    <x v="4"/>
    <x v="3"/>
    <n v="35278"/>
    <n v="115000"/>
    <n v="131841"/>
    <n v="149717"/>
    <n v="106"/>
  </r>
  <r>
    <x v="23"/>
    <x v="5"/>
    <x v="0"/>
    <n v="38842"/>
    <n v="495000"/>
    <n v="588638"/>
    <n v="644434"/>
    <n v="106"/>
  </r>
  <r>
    <x v="23"/>
    <x v="5"/>
    <x v="1"/>
    <n v="31865"/>
    <n v="212500"/>
    <n v="232217"/>
    <n v="276651"/>
    <n v="106"/>
  </r>
  <r>
    <x v="23"/>
    <x v="5"/>
    <x v="2"/>
    <n v="36794"/>
    <n v="335000"/>
    <n v="364829"/>
    <n v="436132"/>
    <n v="106"/>
  </r>
  <r>
    <x v="23"/>
    <x v="5"/>
    <x v="3"/>
    <n v="35951"/>
    <n v="280000"/>
    <n v="305931"/>
    <n v="364528"/>
    <n v="106"/>
  </r>
  <r>
    <x v="23"/>
    <x v="6"/>
    <x v="0"/>
    <n v="29889"/>
    <n v="360000"/>
    <n v="413842"/>
    <n v="468679"/>
    <n v="106"/>
  </r>
  <r>
    <x v="23"/>
    <x v="6"/>
    <x v="1"/>
    <n v="17805"/>
    <n v="169000"/>
    <n v="199885"/>
    <n v="220019"/>
    <n v="106"/>
  </r>
  <r>
    <x v="23"/>
    <x v="6"/>
    <x v="2"/>
    <n v="24090"/>
    <n v="245000"/>
    <n v="267590"/>
    <n v="318962"/>
    <n v="106"/>
  </r>
  <r>
    <x v="23"/>
    <x v="6"/>
    <x v="3"/>
    <n v="27969"/>
    <n v="210500"/>
    <n v="235857"/>
    <n v="274047"/>
    <n v="106"/>
  </r>
  <r>
    <x v="23"/>
    <x v="7"/>
    <x v="0"/>
    <n v="14684"/>
    <n v="240000"/>
    <n v="266852"/>
    <n v="312453"/>
    <n v="106"/>
  </r>
  <r>
    <x v="23"/>
    <x v="7"/>
    <x v="1"/>
    <n v="3774"/>
    <n v="122500"/>
    <n v="137485"/>
    <n v="159481"/>
    <n v="106"/>
  </r>
  <r>
    <x v="23"/>
    <x v="7"/>
    <x v="2"/>
    <n v="13876"/>
    <n v="150000"/>
    <n v="164584"/>
    <n v="195283"/>
    <n v="106"/>
  </r>
  <r>
    <x v="23"/>
    <x v="7"/>
    <x v="3"/>
    <n v="15249"/>
    <n v="117500"/>
    <n v="131220"/>
    <n v="152972"/>
    <n v="106"/>
  </r>
  <r>
    <x v="23"/>
    <x v="8"/>
    <x v="0"/>
    <n v="23469"/>
    <n v="309995"/>
    <n v="351448"/>
    <n v="403578"/>
    <n v="106"/>
  </r>
  <r>
    <x v="23"/>
    <x v="8"/>
    <x v="1"/>
    <n v="10205"/>
    <n v="132000"/>
    <n v="151665"/>
    <n v="171849"/>
    <n v="106"/>
  </r>
  <r>
    <x v="23"/>
    <x v="8"/>
    <x v="2"/>
    <n v="28983"/>
    <n v="182000"/>
    <n v="200657"/>
    <n v="236943"/>
    <n v="106"/>
  </r>
  <r>
    <x v="23"/>
    <x v="8"/>
    <x v="3"/>
    <n v="22303"/>
    <n v="150000"/>
    <n v="166670"/>
    <n v="195283"/>
    <n v="106"/>
  </r>
  <r>
    <x v="23"/>
    <x v="9"/>
    <x v="0"/>
    <n v="20848"/>
    <n v="267000"/>
    <n v="303251"/>
    <n v="347604"/>
    <n v="106"/>
  </r>
  <r>
    <x v="23"/>
    <x v="9"/>
    <x v="1"/>
    <n v="7669"/>
    <n v="120000"/>
    <n v="138342"/>
    <n v="156226"/>
    <n v="106"/>
  </r>
  <r>
    <x v="23"/>
    <x v="9"/>
    <x v="2"/>
    <n v="29922"/>
    <n v="155000"/>
    <n v="172650"/>
    <n v="201792"/>
    <n v="106"/>
  </r>
  <r>
    <x v="23"/>
    <x v="9"/>
    <x v="3"/>
    <n v="25341"/>
    <n v="123000"/>
    <n v="139630"/>
    <n v="160132"/>
    <n v="106"/>
  </r>
  <r>
    <x v="24"/>
    <x v="0"/>
    <x v="0"/>
    <n v="28184"/>
    <n v="280000"/>
    <n v="312304"/>
    <n v="358442"/>
    <n v="107.8"/>
  </r>
  <r>
    <x v="24"/>
    <x v="0"/>
    <x v="1"/>
    <n v="4454"/>
    <n v="115000"/>
    <n v="130294"/>
    <n v="147217"/>
    <n v="107.8"/>
  </r>
  <r>
    <x v="24"/>
    <x v="0"/>
    <x v="2"/>
    <n v="25357"/>
    <n v="177500"/>
    <n v="188205"/>
    <n v="227226"/>
    <n v="107.8"/>
  </r>
  <r>
    <x v="24"/>
    <x v="0"/>
    <x v="3"/>
    <n v="17588"/>
    <n v="147500"/>
    <n v="156947"/>
    <n v="188822"/>
    <n v="107.8"/>
  </r>
  <r>
    <x v="24"/>
    <x v="1"/>
    <x v="0"/>
    <n v="29922"/>
    <n v="390000"/>
    <n v="458464"/>
    <n v="499258"/>
    <n v="107.8"/>
  </r>
  <r>
    <x v="24"/>
    <x v="1"/>
    <x v="1"/>
    <n v="14400"/>
    <n v="197500"/>
    <n v="218105"/>
    <n v="252829"/>
    <n v="107.8"/>
  </r>
  <r>
    <x v="24"/>
    <x v="1"/>
    <x v="2"/>
    <n v="26311"/>
    <n v="290000"/>
    <n v="319701"/>
    <n v="371243"/>
    <n v="107.8"/>
  </r>
  <r>
    <x v="24"/>
    <x v="1"/>
    <x v="3"/>
    <n v="23927"/>
    <n v="255000"/>
    <n v="275475"/>
    <n v="326438"/>
    <n v="107.8"/>
  </r>
  <r>
    <x v="24"/>
    <x v="2"/>
    <x v="0"/>
    <n v="4026"/>
    <n v="765000"/>
    <n v="1062147"/>
    <n v="979314"/>
    <n v="107.8"/>
  </r>
  <r>
    <x v="24"/>
    <x v="2"/>
    <x v="1"/>
    <n v="44708"/>
    <n v="428500"/>
    <n v="558629"/>
    <n v="548544"/>
    <n v="107.8"/>
  </r>
  <r>
    <x v="24"/>
    <x v="2"/>
    <x v="2"/>
    <n v="12540"/>
    <n v="525000"/>
    <n v="653385"/>
    <n v="672078"/>
    <n v="107.8"/>
  </r>
  <r>
    <x v="24"/>
    <x v="2"/>
    <x v="3"/>
    <n v="22532"/>
    <n v="490000"/>
    <n v="677321"/>
    <n v="627273"/>
    <n v="107.8"/>
  </r>
  <r>
    <x v="24"/>
    <x v="3"/>
    <x v="0"/>
    <n v="9559"/>
    <n v="245000"/>
    <n v="270042"/>
    <n v="313636"/>
    <n v="107.8"/>
  </r>
  <r>
    <x v="24"/>
    <x v="3"/>
    <x v="1"/>
    <n v="3373"/>
    <n v="93500"/>
    <n v="110226"/>
    <n v="119694"/>
    <n v="107.8"/>
  </r>
  <r>
    <x v="24"/>
    <x v="3"/>
    <x v="2"/>
    <n v="13166"/>
    <n v="138000"/>
    <n v="150972"/>
    <n v="176660"/>
    <n v="107.8"/>
  </r>
  <r>
    <x v="24"/>
    <x v="3"/>
    <x v="3"/>
    <n v="11616"/>
    <n v="100000"/>
    <n v="120010"/>
    <n v="128015"/>
    <n v="107.8"/>
  </r>
  <r>
    <x v="24"/>
    <x v="4"/>
    <x v="0"/>
    <n v="24473"/>
    <n v="280000"/>
    <n v="328639"/>
    <n v="358442"/>
    <n v="107.8"/>
  </r>
  <r>
    <x v="24"/>
    <x v="4"/>
    <x v="1"/>
    <n v="13267"/>
    <n v="127950"/>
    <n v="148405"/>
    <n v="163795"/>
    <n v="107.8"/>
  </r>
  <r>
    <x v="24"/>
    <x v="4"/>
    <x v="2"/>
    <n v="38462"/>
    <n v="171000"/>
    <n v="192749"/>
    <n v="218905"/>
    <n v="107.8"/>
  </r>
  <r>
    <x v="24"/>
    <x v="4"/>
    <x v="3"/>
    <n v="33555"/>
    <n v="118500"/>
    <n v="135060"/>
    <n v="151698"/>
    <n v="107.8"/>
  </r>
  <r>
    <x v="24"/>
    <x v="5"/>
    <x v="0"/>
    <n v="38959"/>
    <n v="495000"/>
    <n v="589183"/>
    <n v="633673"/>
    <n v="107.8"/>
  </r>
  <r>
    <x v="24"/>
    <x v="5"/>
    <x v="1"/>
    <n v="28664"/>
    <n v="210000"/>
    <n v="232797"/>
    <n v="268831"/>
    <n v="107.8"/>
  </r>
  <r>
    <x v="24"/>
    <x v="5"/>
    <x v="2"/>
    <n v="36180"/>
    <n v="335000"/>
    <n v="364636"/>
    <n v="428850"/>
    <n v="107.8"/>
  </r>
  <r>
    <x v="24"/>
    <x v="5"/>
    <x v="3"/>
    <n v="33894"/>
    <n v="278000"/>
    <n v="304577"/>
    <n v="355881"/>
    <n v="107.8"/>
  </r>
  <r>
    <x v="24"/>
    <x v="6"/>
    <x v="0"/>
    <n v="28814"/>
    <n v="365000"/>
    <n v="418916"/>
    <n v="467254"/>
    <n v="107.8"/>
  </r>
  <r>
    <x v="24"/>
    <x v="6"/>
    <x v="1"/>
    <n v="16035"/>
    <n v="166000"/>
    <n v="201862"/>
    <n v="212505"/>
    <n v="107.8"/>
  </r>
  <r>
    <x v="24"/>
    <x v="6"/>
    <x v="2"/>
    <n v="23366"/>
    <n v="247972"/>
    <n v="270562"/>
    <n v="317442"/>
    <n v="107.8"/>
  </r>
  <r>
    <x v="24"/>
    <x v="6"/>
    <x v="3"/>
    <n v="26114"/>
    <n v="212500"/>
    <n v="236509"/>
    <n v="272032"/>
    <n v="107.8"/>
  </r>
  <r>
    <x v="24"/>
    <x v="7"/>
    <x v="0"/>
    <n v="13988"/>
    <n v="249950"/>
    <n v="272735"/>
    <n v="319973"/>
    <n v="107.8"/>
  </r>
  <r>
    <x v="24"/>
    <x v="7"/>
    <x v="1"/>
    <n v="3480"/>
    <n v="125748"/>
    <n v="142168"/>
    <n v="160975"/>
    <n v="107.8"/>
  </r>
  <r>
    <x v="24"/>
    <x v="7"/>
    <x v="2"/>
    <n v="13610"/>
    <n v="155500"/>
    <n v="170637"/>
    <n v="199063"/>
    <n v="107.8"/>
  </r>
  <r>
    <x v="24"/>
    <x v="7"/>
    <x v="3"/>
    <n v="14810"/>
    <n v="121500"/>
    <n v="135891"/>
    <n v="155538"/>
    <n v="107.8"/>
  </r>
  <r>
    <x v="24"/>
    <x v="8"/>
    <x v="0"/>
    <n v="22593"/>
    <n v="315000"/>
    <n v="355513"/>
    <n v="403247"/>
    <n v="107.8"/>
  </r>
  <r>
    <x v="24"/>
    <x v="8"/>
    <x v="1"/>
    <n v="9100"/>
    <n v="130000"/>
    <n v="151686"/>
    <n v="166419"/>
    <n v="107.8"/>
  </r>
  <r>
    <x v="24"/>
    <x v="8"/>
    <x v="2"/>
    <n v="28044"/>
    <n v="187500"/>
    <n v="204531"/>
    <n v="240028"/>
    <n v="107.8"/>
  </r>
  <r>
    <x v="24"/>
    <x v="8"/>
    <x v="3"/>
    <n v="21528"/>
    <n v="155000"/>
    <n v="170362"/>
    <n v="198423"/>
    <n v="107.8"/>
  </r>
  <r>
    <x v="24"/>
    <x v="9"/>
    <x v="0"/>
    <n v="20540"/>
    <n v="275000"/>
    <n v="311707"/>
    <n v="352041"/>
    <n v="107.8"/>
  </r>
  <r>
    <x v="24"/>
    <x v="9"/>
    <x v="1"/>
    <n v="7155"/>
    <n v="122500"/>
    <n v="142991"/>
    <n v="156818"/>
    <n v="107.8"/>
  </r>
  <r>
    <x v="24"/>
    <x v="9"/>
    <x v="2"/>
    <n v="30067"/>
    <n v="160000"/>
    <n v="176999"/>
    <n v="204824"/>
    <n v="107.8"/>
  </r>
  <r>
    <x v="24"/>
    <x v="9"/>
    <x v="3"/>
    <n v="24424"/>
    <n v="125000"/>
    <n v="142934"/>
    <n v="160019"/>
    <n v="107.8"/>
  </r>
  <r>
    <x v="25"/>
    <x v="0"/>
    <x v="0"/>
    <n v="26608"/>
    <n v="295000"/>
    <n v="329417"/>
    <n v="373829"/>
    <n v="108.9"/>
  </r>
  <r>
    <x v="25"/>
    <x v="0"/>
    <x v="1"/>
    <n v="3480"/>
    <n v="120000"/>
    <n v="134774"/>
    <n v="152066"/>
    <n v="108.9"/>
  </r>
  <r>
    <x v="25"/>
    <x v="0"/>
    <x v="2"/>
    <n v="22029"/>
    <n v="185000"/>
    <n v="198573"/>
    <n v="234435"/>
    <n v="108.9"/>
  </r>
  <r>
    <x v="25"/>
    <x v="0"/>
    <x v="3"/>
    <n v="14376"/>
    <n v="155000"/>
    <n v="166269"/>
    <n v="196419"/>
    <n v="108.9"/>
  </r>
  <r>
    <x v="25"/>
    <x v="1"/>
    <x v="0"/>
    <n v="29716"/>
    <n v="412500"/>
    <n v="479573"/>
    <n v="522727"/>
    <n v="108.9"/>
  </r>
  <r>
    <x v="25"/>
    <x v="1"/>
    <x v="1"/>
    <n v="11299"/>
    <n v="200000"/>
    <n v="221634"/>
    <n v="253444"/>
    <n v="108.9"/>
  </r>
  <r>
    <x v="25"/>
    <x v="1"/>
    <x v="2"/>
    <n v="24554"/>
    <n v="300000"/>
    <n v="336063"/>
    <n v="380165"/>
    <n v="108.9"/>
  </r>
  <r>
    <x v="25"/>
    <x v="1"/>
    <x v="3"/>
    <n v="20721"/>
    <n v="265000"/>
    <n v="289624"/>
    <n v="335813"/>
    <n v="108.9"/>
  </r>
  <r>
    <x v="25"/>
    <x v="2"/>
    <x v="0"/>
    <n v="4068"/>
    <n v="800000"/>
    <n v="1137153"/>
    <n v="1013774"/>
    <n v="108.9"/>
  </r>
  <r>
    <x v="25"/>
    <x v="2"/>
    <x v="1"/>
    <n v="40948"/>
    <n v="446250"/>
    <n v="576738"/>
    <n v="565496"/>
    <n v="108.9"/>
  </r>
  <r>
    <x v="25"/>
    <x v="2"/>
    <x v="2"/>
    <n v="11875"/>
    <n v="550000"/>
    <n v="693060"/>
    <n v="696970"/>
    <n v="108.9"/>
  </r>
  <r>
    <x v="25"/>
    <x v="2"/>
    <x v="3"/>
    <n v="21044"/>
    <n v="525000"/>
    <n v="730899"/>
    <n v="665289"/>
    <n v="108.9"/>
  </r>
  <r>
    <x v="25"/>
    <x v="3"/>
    <x v="0"/>
    <n v="9309"/>
    <n v="250000"/>
    <n v="283522"/>
    <n v="316804"/>
    <n v="108.9"/>
  </r>
  <r>
    <x v="25"/>
    <x v="3"/>
    <x v="1"/>
    <n v="2946"/>
    <n v="90000"/>
    <n v="110032"/>
    <n v="114050"/>
    <n v="108.9"/>
  </r>
  <r>
    <x v="25"/>
    <x v="3"/>
    <x v="2"/>
    <n v="11487"/>
    <n v="144000"/>
    <n v="157326"/>
    <n v="182479"/>
    <n v="108.9"/>
  </r>
  <r>
    <x v="25"/>
    <x v="3"/>
    <x v="3"/>
    <n v="10563"/>
    <n v="105000"/>
    <n v="125352"/>
    <n v="133058"/>
    <n v="108.9"/>
  </r>
  <r>
    <x v="25"/>
    <x v="4"/>
    <x v="0"/>
    <n v="23500"/>
    <n v="295000"/>
    <n v="346803"/>
    <n v="373829"/>
    <n v="108.9"/>
  </r>
  <r>
    <x v="25"/>
    <x v="4"/>
    <x v="1"/>
    <n v="10873"/>
    <n v="140000"/>
    <n v="168822"/>
    <n v="177410"/>
    <n v="108.9"/>
  </r>
  <r>
    <x v="25"/>
    <x v="4"/>
    <x v="2"/>
    <n v="34174"/>
    <n v="180000"/>
    <n v="204237"/>
    <n v="228099"/>
    <n v="108.9"/>
  </r>
  <r>
    <x v="25"/>
    <x v="4"/>
    <x v="3"/>
    <n v="28754"/>
    <n v="125000"/>
    <n v="144342"/>
    <n v="158402"/>
    <n v="108.9"/>
  </r>
  <r>
    <x v="25"/>
    <x v="5"/>
    <x v="0"/>
    <n v="39454"/>
    <n v="520000"/>
    <n v="627416"/>
    <n v="658953"/>
    <n v="108.9"/>
  </r>
  <r>
    <x v="25"/>
    <x v="5"/>
    <x v="1"/>
    <n v="23217"/>
    <n v="211500"/>
    <n v="236438"/>
    <n v="268017"/>
    <n v="108.9"/>
  </r>
  <r>
    <x v="25"/>
    <x v="5"/>
    <x v="2"/>
    <n v="34181"/>
    <n v="350000"/>
    <n v="383287"/>
    <n v="443526"/>
    <n v="108.9"/>
  </r>
  <r>
    <x v="25"/>
    <x v="5"/>
    <x v="3"/>
    <n v="30309"/>
    <n v="287500"/>
    <n v="318242"/>
    <n v="364325"/>
    <n v="108.9"/>
  </r>
  <r>
    <x v="25"/>
    <x v="6"/>
    <x v="0"/>
    <n v="28584"/>
    <n v="383000"/>
    <n v="448077"/>
    <n v="485344"/>
    <n v="108.9"/>
  </r>
  <r>
    <x v="25"/>
    <x v="6"/>
    <x v="1"/>
    <n v="12938"/>
    <n v="175000"/>
    <n v="212276"/>
    <n v="221763"/>
    <n v="108.9"/>
  </r>
  <r>
    <x v="25"/>
    <x v="6"/>
    <x v="2"/>
    <n v="20809"/>
    <n v="260000"/>
    <n v="285875"/>
    <n v="329477"/>
    <n v="108.9"/>
  </r>
  <r>
    <x v="25"/>
    <x v="6"/>
    <x v="3"/>
    <n v="22624"/>
    <n v="222995"/>
    <n v="251609"/>
    <n v="282583"/>
    <n v="108.9"/>
  </r>
  <r>
    <x v="25"/>
    <x v="7"/>
    <x v="0"/>
    <n v="11921"/>
    <n v="260000"/>
    <n v="291001"/>
    <n v="329477"/>
    <n v="108.9"/>
  </r>
  <r>
    <x v="25"/>
    <x v="7"/>
    <x v="1"/>
    <n v="2437"/>
    <n v="126950"/>
    <n v="142822"/>
    <n v="160873"/>
    <n v="108.9"/>
  </r>
  <r>
    <x v="25"/>
    <x v="7"/>
    <x v="2"/>
    <n v="11025"/>
    <n v="165000"/>
    <n v="180544"/>
    <n v="209091"/>
    <n v="108.9"/>
  </r>
  <r>
    <x v="25"/>
    <x v="7"/>
    <x v="3"/>
    <n v="11662"/>
    <n v="126000"/>
    <n v="142057"/>
    <n v="159669"/>
    <n v="108.9"/>
  </r>
  <r>
    <x v="25"/>
    <x v="8"/>
    <x v="0"/>
    <n v="21013"/>
    <n v="329995"/>
    <n v="376134"/>
    <n v="418175"/>
    <n v="108.9"/>
  </r>
  <r>
    <x v="25"/>
    <x v="8"/>
    <x v="1"/>
    <n v="7248"/>
    <n v="132994"/>
    <n v="154425"/>
    <n v="168532"/>
    <n v="108.9"/>
  </r>
  <r>
    <x v="25"/>
    <x v="8"/>
    <x v="2"/>
    <n v="23898"/>
    <n v="200000"/>
    <n v="217660"/>
    <n v="253444"/>
    <n v="108.9"/>
  </r>
  <r>
    <x v="25"/>
    <x v="8"/>
    <x v="3"/>
    <n v="17284"/>
    <n v="164000"/>
    <n v="179893"/>
    <n v="207824"/>
    <n v="108.9"/>
  </r>
  <r>
    <x v="25"/>
    <x v="9"/>
    <x v="0"/>
    <n v="19096"/>
    <n v="290000"/>
    <n v="330802"/>
    <n v="367493"/>
    <n v="108.9"/>
  </r>
  <r>
    <x v="25"/>
    <x v="9"/>
    <x v="1"/>
    <n v="5886"/>
    <n v="125000"/>
    <n v="144834"/>
    <n v="158402"/>
    <n v="108.9"/>
  </r>
  <r>
    <x v="25"/>
    <x v="9"/>
    <x v="2"/>
    <n v="25805"/>
    <n v="168500"/>
    <n v="188165"/>
    <n v="213526"/>
    <n v="108.9"/>
  </r>
  <r>
    <x v="25"/>
    <x v="9"/>
    <x v="3"/>
    <n v="21049"/>
    <n v="130000"/>
    <n v="150869"/>
    <n v="164738"/>
    <n v="108.9"/>
  </r>
  <r>
    <x v="26"/>
    <x v="0"/>
    <x v="0"/>
    <n v="38183"/>
    <n v="315000"/>
    <n v="353260"/>
    <n v="389516"/>
    <n v="111.6"/>
  </r>
  <r>
    <x v="26"/>
    <x v="0"/>
    <x v="1"/>
    <n v="4892"/>
    <n v="126998"/>
    <n v="144138"/>
    <n v="157040"/>
    <n v="111.6"/>
  </r>
  <r>
    <x v="26"/>
    <x v="0"/>
    <x v="2"/>
    <n v="30451"/>
    <n v="202000"/>
    <n v="214828"/>
    <n v="249785"/>
    <n v="111.6"/>
  </r>
  <r>
    <x v="26"/>
    <x v="0"/>
    <x v="3"/>
    <n v="20028"/>
    <n v="170000"/>
    <n v="182634"/>
    <n v="210215"/>
    <n v="111.6"/>
  </r>
  <r>
    <x v="26"/>
    <x v="1"/>
    <x v="0"/>
    <n v="43460"/>
    <n v="435000"/>
    <n v="515324"/>
    <n v="537903"/>
    <n v="111.6"/>
  </r>
  <r>
    <x v="26"/>
    <x v="1"/>
    <x v="1"/>
    <n v="17274"/>
    <n v="207500"/>
    <n v="229298"/>
    <n v="256586"/>
    <n v="111.6"/>
  </r>
  <r>
    <x v="26"/>
    <x v="1"/>
    <x v="2"/>
    <n v="36244"/>
    <n v="320000"/>
    <n v="356307"/>
    <n v="395699"/>
    <n v="111.6"/>
  </r>
  <r>
    <x v="26"/>
    <x v="1"/>
    <x v="3"/>
    <n v="31634"/>
    <n v="284000"/>
    <n v="308745"/>
    <n v="351183"/>
    <n v="111.6"/>
  </r>
  <r>
    <x v="26"/>
    <x v="2"/>
    <x v="0"/>
    <n v="5977"/>
    <n v="850000"/>
    <n v="1210461"/>
    <n v="1051075"/>
    <n v="111.6"/>
  </r>
  <r>
    <x v="26"/>
    <x v="2"/>
    <x v="1"/>
    <n v="59243"/>
    <n v="440000"/>
    <n v="550678"/>
    <n v="544086"/>
    <n v="111.6"/>
  </r>
  <r>
    <x v="26"/>
    <x v="2"/>
    <x v="2"/>
    <n v="17789"/>
    <n v="580000"/>
    <n v="737724"/>
    <n v="717204"/>
    <n v="111.6"/>
  </r>
  <r>
    <x v="26"/>
    <x v="2"/>
    <x v="3"/>
    <n v="32741"/>
    <n v="550000"/>
    <n v="753127"/>
    <n v="680108"/>
    <n v="111.6"/>
  </r>
  <r>
    <x v="26"/>
    <x v="3"/>
    <x v="0"/>
    <n v="12296"/>
    <n v="267950"/>
    <n v="306636"/>
    <n v="331336"/>
    <n v="111.6"/>
  </r>
  <r>
    <x v="26"/>
    <x v="3"/>
    <x v="1"/>
    <n v="4331"/>
    <n v="99000"/>
    <n v="120143"/>
    <n v="122419"/>
    <n v="111.6"/>
  </r>
  <r>
    <x v="26"/>
    <x v="3"/>
    <x v="2"/>
    <n v="16009"/>
    <n v="151000"/>
    <n v="167596"/>
    <n v="186720"/>
    <n v="111.6"/>
  </r>
  <r>
    <x v="26"/>
    <x v="3"/>
    <x v="3"/>
    <n v="15004"/>
    <n v="112500"/>
    <n v="133912"/>
    <n v="139113"/>
    <n v="111.6"/>
  </r>
  <r>
    <x v="26"/>
    <x v="4"/>
    <x v="0"/>
    <n v="31926"/>
    <n v="323000"/>
    <n v="381495"/>
    <n v="399409"/>
    <n v="111.6"/>
  </r>
  <r>
    <x v="26"/>
    <x v="4"/>
    <x v="1"/>
    <n v="15339"/>
    <n v="150000"/>
    <n v="178155"/>
    <n v="185484"/>
    <n v="111.6"/>
  </r>
  <r>
    <x v="26"/>
    <x v="4"/>
    <x v="2"/>
    <n v="46707"/>
    <n v="195000"/>
    <n v="222870"/>
    <n v="241129"/>
    <n v="111.6"/>
  </r>
  <r>
    <x v="26"/>
    <x v="4"/>
    <x v="3"/>
    <n v="40385"/>
    <n v="140000"/>
    <n v="160787"/>
    <n v="173118"/>
    <n v="111.6"/>
  </r>
  <r>
    <x v="26"/>
    <x v="5"/>
    <x v="0"/>
    <n v="57350"/>
    <n v="557500"/>
    <n v="674399"/>
    <n v="689382"/>
    <n v="111.6"/>
  </r>
  <r>
    <x v="26"/>
    <x v="5"/>
    <x v="1"/>
    <n v="37141"/>
    <n v="224000"/>
    <n v="249926"/>
    <n v="276989"/>
    <n v="111.6"/>
  </r>
  <r>
    <x v="26"/>
    <x v="5"/>
    <x v="2"/>
    <n v="50057"/>
    <n v="370000"/>
    <n v="406710"/>
    <n v="457527"/>
    <n v="111.6"/>
  </r>
  <r>
    <x v="26"/>
    <x v="5"/>
    <x v="3"/>
    <n v="47596"/>
    <n v="306000"/>
    <n v="338464"/>
    <n v="378387"/>
    <n v="111.6"/>
  </r>
  <r>
    <x v="26"/>
    <x v="6"/>
    <x v="0"/>
    <n v="39988"/>
    <n v="415000"/>
    <n v="488494"/>
    <n v="513172"/>
    <n v="111.6"/>
  </r>
  <r>
    <x v="26"/>
    <x v="6"/>
    <x v="1"/>
    <n v="20695"/>
    <n v="185000"/>
    <n v="224865"/>
    <n v="228763"/>
    <n v="111.6"/>
  </r>
  <r>
    <x v="26"/>
    <x v="6"/>
    <x v="2"/>
    <n v="29168"/>
    <n v="275000"/>
    <n v="305092"/>
    <n v="340054"/>
    <n v="111.6"/>
  </r>
  <r>
    <x v="26"/>
    <x v="6"/>
    <x v="3"/>
    <n v="33450"/>
    <n v="240000"/>
    <n v="274513"/>
    <n v="296774"/>
    <n v="111.6"/>
  </r>
  <r>
    <x v="26"/>
    <x v="7"/>
    <x v="0"/>
    <n v="17607"/>
    <n v="291995"/>
    <n v="326432"/>
    <n v="361069"/>
    <n v="111.6"/>
  </r>
  <r>
    <x v="26"/>
    <x v="7"/>
    <x v="1"/>
    <n v="3726"/>
    <n v="133000"/>
    <n v="151967"/>
    <n v="164462"/>
    <n v="111.6"/>
  </r>
  <r>
    <x v="26"/>
    <x v="7"/>
    <x v="2"/>
    <n v="15738"/>
    <n v="179950"/>
    <n v="197789"/>
    <n v="222519"/>
    <n v="111.6"/>
  </r>
  <r>
    <x v="26"/>
    <x v="7"/>
    <x v="3"/>
    <n v="17240"/>
    <n v="139000"/>
    <n v="157635"/>
    <n v="171882"/>
    <n v="111.6"/>
  </r>
  <r>
    <x v="26"/>
    <x v="8"/>
    <x v="0"/>
    <n v="29667"/>
    <n v="353000"/>
    <n v="406843"/>
    <n v="436505"/>
    <n v="111.6"/>
  </r>
  <r>
    <x v="26"/>
    <x v="8"/>
    <x v="1"/>
    <n v="9714"/>
    <n v="135000"/>
    <n v="159612"/>
    <n v="166935"/>
    <n v="111.6"/>
  </r>
  <r>
    <x v="26"/>
    <x v="8"/>
    <x v="2"/>
    <n v="33628"/>
    <n v="218000"/>
    <n v="234558"/>
    <n v="269570"/>
    <n v="111.6"/>
  </r>
  <r>
    <x v="26"/>
    <x v="8"/>
    <x v="3"/>
    <n v="24736"/>
    <n v="179000"/>
    <n v="197272"/>
    <n v="221344"/>
    <n v="111.6"/>
  </r>
  <r>
    <x v="26"/>
    <x v="9"/>
    <x v="0"/>
    <n v="26229"/>
    <n v="315000"/>
    <n v="361814"/>
    <n v="389516"/>
    <n v="111.6"/>
  </r>
  <r>
    <x v="26"/>
    <x v="9"/>
    <x v="1"/>
    <n v="8297"/>
    <n v="127495"/>
    <n v="151747"/>
    <n v="157655"/>
    <n v="111.6"/>
  </r>
  <r>
    <x v="26"/>
    <x v="9"/>
    <x v="2"/>
    <n v="35199"/>
    <n v="181000"/>
    <n v="202871"/>
    <n v="223817"/>
    <n v="111.6"/>
  </r>
  <r>
    <x v="26"/>
    <x v="9"/>
    <x v="3"/>
    <n v="29194"/>
    <n v="141500"/>
    <n v="165034"/>
    <n v="174973"/>
    <n v="111.6"/>
  </r>
  <r>
    <x v="27"/>
    <x v="0"/>
    <x v="0"/>
    <n v="29735"/>
    <n v="343500"/>
    <n v="382696"/>
    <n v="393386"/>
    <n v="120.5"/>
  </r>
  <r>
    <x v="27"/>
    <x v="0"/>
    <x v="1"/>
    <n v="5614"/>
    <n v="135000"/>
    <n v="149726"/>
    <n v="154606"/>
    <n v="120.5"/>
  </r>
  <r>
    <x v="27"/>
    <x v="0"/>
    <x v="2"/>
    <n v="26915"/>
    <n v="225000"/>
    <n v="235163"/>
    <n v="257676"/>
    <n v="120.5"/>
  </r>
  <r>
    <x v="27"/>
    <x v="0"/>
    <x v="3"/>
    <n v="18154"/>
    <n v="185000"/>
    <n v="196507"/>
    <n v="211867"/>
    <n v="120.5"/>
  </r>
  <r>
    <x v="27"/>
    <x v="1"/>
    <x v="0"/>
    <n v="33091"/>
    <n v="475000"/>
    <n v="562895"/>
    <n v="543983"/>
    <n v="120.5"/>
  </r>
  <r>
    <x v="27"/>
    <x v="1"/>
    <x v="1"/>
    <n v="18176"/>
    <n v="224995"/>
    <n v="242248"/>
    <n v="257671"/>
    <n v="120.5"/>
  </r>
  <r>
    <x v="27"/>
    <x v="1"/>
    <x v="2"/>
    <n v="28686"/>
    <n v="349995"/>
    <n v="383392"/>
    <n v="400824"/>
    <n v="120.5"/>
  </r>
  <r>
    <x v="27"/>
    <x v="1"/>
    <x v="3"/>
    <n v="25218"/>
    <n v="305000"/>
    <n v="329485"/>
    <n v="349295"/>
    <n v="120.5"/>
  </r>
  <r>
    <x v="27"/>
    <x v="2"/>
    <x v="0"/>
    <n v="4601"/>
    <n v="945000"/>
    <n v="1382019"/>
    <n v="1082241"/>
    <n v="120.5"/>
  </r>
  <r>
    <x v="27"/>
    <x v="2"/>
    <x v="1"/>
    <n v="55462"/>
    <n v="450000"/>
    <n v="587666"/>
    <n v="515353"/>
    <n v="120.5"/>
  </r>
  <r>
    <x v="27"/>
    <x v="2"/>
    <x v="2"/>
    <n v="13773"/>
    <n v="632000"/>
    <n v="809563"/>
    <n v="723784"/>
    <n v="120.5"/>
  </r>
  <r>
    <x v="27"/>
    <x v="2"/>
    <x v="3"/>
    <n v="25645"/>
    <n v="600000"/>
    <n v="850677"/>
    <n v="687137"/>
    <n v="120.5"/>
  </r>
  <r>
    <x v="27"/>
    <x v="3"/>
    <x v="0"/>
    <n v="10223"/>
    <n v="288995"/>
    <n v="328554"/>
    <n v="330965"/>
    <n v="120.5"/>
  </r>
  <r>
    <x v="27"/>
    <x v="3"/>
    <x v="1"/>
    <n v="4409"/>
    <n v="100000"/>
    <n v="122226"/>
    <n v="114523"/>
    <n v="120.5"/>
  </r>
  <r>
    <x v="27"/>
    <x v="3"/>
    <x v="2"/>
    <n v="14230"/>
    <n v="161500"/>
    <n v="177831"/>
    <n v="184954"/>
    <n v="120.5"/>
  </r>
  <r>
    <x v="27"/>
    <x v="3"/>
    <x v="3"/>
    <n v="13699"/>
    <n v="117500"/>
    <n v="139697"/>
    <n v="134564"/>
    <n v="120.5"/>
  </r>
  <r>
    <x v="27"/>
    <x v="4"/>
    <x v="0"/>
    <n v="24667"/>
    <n v="349995"/>
    <n v="411841"/>
    <n v="400824"/>
    <n v="120.5"/>
  </r>
  <r>
    <x v="27"/>
    <x v="4"/>
    <x v="1"/>
    <n v="14747"/>
    <n v="148000"/>
    <n v="177980"/>
    <n v="169494"/>
    <n v="120.5"/>
  </r>
  <r>
    <x v="27"/>
    <x v="4"/>
    <x v="2"/>
    <n v="39423"/>
    <n v="217000"/>
    <n v="241117"/>
    <n v="248515"/>
    <n v="120.5"/>
  </r>
  <r>
    <x v="27"/>
    <x v="4"/>
    <x v="3"/>
    <n v="35418"/>
    <n v="149500"/>
    <n v="170086"/>
    <n v="171212"/>
    <n v="120.5"/>
  </r>
  <r>
    <x v="27"/>
    <x v="5"/>
    <x v="0"/>
    <n v="42490"/>
    <n v="605000"/>
    <n v="741385"/>
    <n v="692863"/>
    <n v="120.5"/>
  </r>
  <r>
    <x v="27"/>
    <x v="5"/>
    <x v="1"/>
    <n v="35890"/>
    <n v="230000"/>
    <n v="258057"/>
    <n v="263402"/>
    <n v="120.5"/>
  </r>
  <r>
    <x v="27"/>
    <x v="5"/>
    <x v="2"/>
    <n v="38912"/>
    <n v="405000"/>
    <n v="445064"/>
    <n v="463817"/>
    <n v="120.5"/>
  </r>
  <r>
    <x v="27"/>
    <x v="5"/>
    <x v="3"/>
    <n v="36679"/>
    <n v="335000"/>
    <n v="368200"/>
    <n v="383651"/>
    <n v="120.5"/>
  </r>
  <r>
    <x v="27"/>
    <x v="6"/>
    <x v="0"/>
    <n v="29174"/>
    <n v="455000"/>
    <n v="543593"/>
    <n v="521079"/>
    <n v="120.5"/>
  </r>
  <r>
    <x v="27"/>
    <x v="6"/>
    <x v="1"/>
    <n v="19540"/>
    <n v="190000"/>
    <n v="228264"/>
    <n v="217593"/>
    <n v="120.5"/>
  </r>
  <r>
    <x v="27"/>
    <x v="6"/>
    <x v="2"/>
    <n v="23679"/>
    <n v="310000"/>
    <n v="339404"/>
    <n v="355021"/>
    <n v="120.5"/>
  </r>
  <r>
    <x v="27"/>
    <x v="6"/>
    <x v="3"/>
    <n v="26653"/>
    <n v="265000"/>
    <n v="299073"/>
    <n v="303485"/>
    <n v="120.5"/>
  </r>
  <r>
    <x v="27"/>
    <x v="7"/>
    <x v="0"/>
    <n v="13663"/>
    <n v="325000"/>
    <n v="360542"/>
    <n v="372199"/>
    <n v="120.5"/>
  </r>
  <r>
    <x v="27"/>
    <x v="7"/>
    <x v="1"/>
    <n v="3989"/>
    <n v="142500"/>
    <n v="155748"/>
    <n v="163195"/>
    <n v="120.5"/>
  </r>
  <r>
    <x v="27"/>
    <x v="7"/>
    <x v="2"/>
    <n v="13639"/>
    <n v="200000"/>
    <n v="219592"/>
    <n v="229046"/>
    <n v="120.5"/>
  </r>
  <r>
    <x v="27"/>
    <x v="7"/>
    <x v="3"/>
    <n v="15827"/>
    <n v="151000"/>
    <n v="173052"/>
    <n v="172929"/>
    <n v="120.5"/>
  </r>
  <r>
    <x v="27"/>
    <x v="8"/>
    <x v="0"/>
    <n v="22174"/>
    <n v="380000"/>
    <n v="440208"/>
    <n v="435187"/>
    <n v="120.5"/>
  </r>
  <r>
    <x v="27"/>
    <x v="8"/>
    <x v="1"/>
    <n v="10618"/>
    <n v="140000"/>
    <n v="164491"/>
    <n v="160332"/>
    <n v="120.5"/>
  </r>
  <r>
    <x v="27"/>
    <x v="8"/>
    <x v="2"/>
    <n v="28168"/>
    <n v="238950"/>
    <n v="254814"/>
    <n v="273652"/>
    <n v="120.5"/>
  </r>
  <r>
    <x v="27"/>
    <x v="8"/>
    <x v="3"/>
    <n v="21505"/>
    <n v="193000"/>
    <n v="210353"/>
    <n v="221029"/>
    <n v="120.5"/>
  </r>
  <r>
    <x v="27"/>
    <x v="9"/>
    <x v="0"/>
    <n v="20478"/>
    <n v="333416"/>
    <n v="385860"/>
    <n v="381838"/>
    <n v="120.5"/>
  </r>
  <r>
    <x v="27"/>
    <x v="9"/>
    <x v="1"/>
    <n v="8099"/>
    <n v="135000"/>
    <n v="161262"/>
    <n v="154606"/>
    <n v="120.5"/>
  </r>
  <r>
    <x v="27"/>
    <x v="9"/>
    <x v="2"/>
    <n v="30341"/>
    <n v="195000"/>
    <n v="217192"/>
    <n v="223320"/>
    <n v="120.5"/>
  </r>
  <r>
    <x v="27"/>
    <x v="9"/>
    <x v="3"/>
    <n v="25945"/>
    <n v="150000"/>
    <n v="171867"/>
    <n v="171784"/>
    <n v="120.5"/>
  </r>
  <r>
    <x v="28"/>
    <x v="0"/>
    <x v="0"/>
    <n v="23042"/>
    <n v="345000"/>
    <n v="385236"/>
    <n v="370218"/>
    <n v="128.6"/>
  </r>
  <r>
    <x v="28"/>
    <x v="0"/>
    <x v="1"/>
    <n v="4229"/>
    <n v="135000"/>
    <n v="152180"/>
    <n v="144868"/>
    <n v="128.6"/>
  </r>
  <r>
    <x v="28"/>
    <x v="0"/>
    <x v="2"/>
    <n v="21079"/>
    <n v="225000"/>
    <n v="235004"/>
    <n v="241446"/>
    <n v="128.6"/>
  </r>
  <r>
    <x v="28"/>
    <x v="0"/>
    <x v="3"/>
    <n v="13747"/>
    <n v="185000"/>
    <n v="196244"/>
    <n v="198523"/>
    <n v="128.6"/>
  </r>
  <r>
    <x v="28"/>
    <x v="1"/>
    <x v="0"/>
    <n v="24507"/>
    <n v="470000"/>
    <n v="557396"/>
    <n v="504355"/>
    <n v="128.6"/>
  </r>
  <r>
    <x v="28"/>
    <x v="1"/>
    <x v="1"/>
    <n v="12797"/>
    <n v="220000"/>
    <n v="240715"/>
    <n v="236081"/>
    <n v="128.6"/>
  </r>
  <r>
    <x v="28"/>
    <x v="1"/>
    <x v="2"/>
    <n v="22140"/>
    <n v="345000"/>
    <n v="381015"/>
    <n v="370218"/>
    <n v="128.6"/>
  </r>
  <r>
    <x v="28"/>
    <x v="1"/>
    <x v="3"/>
    <n v="18633"/>
    <n v="300000"/>
    <n v="326196"/>
    <n v="321928"/>
    <n v="128.6"/>
  </r>
  <r>
    <x v="28"/>
    <x v="2"/>
    <x v="0"/>
    <n v="3610"/>
    <n v="935000"/>
    <n v="1346422"/>
    <n v="1003344"/>
    <n v="128.6"/>
  </r>
  <r>
    <x v="28"/>
    <x v="2"/>
    <x v="1"/>
    <n v="42379"/>
    <n v="450000"/>
    <n v="621455"/>
    <n v="482893"/>
    <n v="128.6"/>
  </r>
  <r>
    <x v="28"/>
    <x v="2"/>
    <x v="2"/>
    <n v="10701"/>
    <n v="625000"/>
    <n v="830059"/>
    <n v="670684"/>
    <n v="128.6"/>
  </r>
  <r>
    <x v="28"/>
    <x v="2"/>
    <x v="3"/>
    <n v="19609"/>
    <n v="585000"/>
    <n v="827392"/>
    <n v="627760"/>
    <n v="128.6"/>
  </r>
  <r>
    <x v="28"/>
    <x v="3"/>
    <x v="0"/>
    <n v="8341"/>
    <n v="293995"/>
    <n v="330109"/>
    <n v="315485"/>
    <n v="128.6"/>
  </r>
  <r>
    <x v="28"/>
    <x v="3"/>
    <x v="1"/>
    <n v="3646"/>
    <n v="104958"/>
    <n v="121352"/>
    <n v="112629"/>
    <n v="128.6"/>
  </r>
  <r>
    <x v="28"/>
    <x v="3"/>
    <x v="2"/>
    <n v="12111"/>
    <n v="165000"/>
    <n v="182376"/>
    <n v="177061"/>
    <n v="128.6"/>
  </r>
  <r>
    <x v="28"/>
    <x v="3"/>
    <x v="3"/>
    <n v="11186"/>
    <n v="120000"/>
    <n v="143070"/>
    <n v="128771"/>
    <n v="128.6"/>
  </r>
  <r>
    <x v="28"/>
    <x v="4"/>
    <x v="0"/>
    <n v="19663"/>
    <n v="359995"/>
    <n v="419677"/>
    <n v="386309"/>
    <n v="128.6"/>
  </r>
  <r>
    <x v="28"/>
    <x v="4"/>
    <x v="1"/>
    <n v="11973"/>
    <n v="145000"/>
    <n v="171942"/>
    <n v="155599"/>
    <n v="128.6"/>
  </r>
  <r>
    <x v="28"/>
    <x v="4"/>
    <x v="2"/>
    <n v="31334"/>
    <n v="220000"/>
    <n v="242635"/>
    <n v="236081"/>
    <n v="128.6"/>
  </r>
  <r>
    <x v="28"/>
    <x v="4"/>
    <x v="3"/>
    <n v="28311"/>
    <n v="150000"/>
    <n v="171103"/>
    <n v="160964"/>
    <n v="128.6"/>
  </r>
  <r>
    <x v="28"/>
    <x v="5"/>
    <x v="0"/>
    <n v="31642"/>
    <n v="600000"/>
    <n v="734397"/>
    <n v="643857"/>
    <n v="128.6"/>
  </r>
  <r>
    <x v="28"/>
    <x v="5"/>
    <x v="1"/>
    <n v="26533"/>
    <n v="230000"/>
    <n v="256350"/>
    <n v="246812"/>
    <n v="128.6"/>
  </r>
  <r>
    <x v="28"/>
    <x v="5"/>
    <x v="2"/>
    <n v="29985"/>
    <n v="400000"/>
    <n v="438879"/>
    <n v="429238"/>
    <n v="128.6"/>
  </r>
  <r>
    <x v="28"/>
    <x v="5"/>
    <x v="3"/>
    <n v="27695"/>
    <n v="327000"/>
    <n v="361463"/>
    <n v="350902"/>
    <n v="128.6"/>
  </r>
  <r>
    <x v="28"/>
    <x v="6"/>
    <x v="0"/>
    <n v="23418"/>
    <n v="460000"/>
    <n v="542365"/>
    <n v="493624"/>
    <n v="128.6"/>
  </r>
  <r>
    <x v="28"/>
    <x v="6"/>
    <x v="1"/>
    <n v="14311"/>
    <n v="190000"/>
    <n v="230047"/>
    <n v="203888"/>
    <n v="128.6"/>
  </r>
  <r>
    <x v="28"/>
    <x v="6"/>
    <x v="2"/>
    <n v="19504"/>
    <n v="306000"/>
    <n v="338080"/>
    <n v="328367"/>
    <n v="128.6"/>
  </r>
  <r>
    <x v="28"/>
    <x v="6"/>
    <x v="3"/>
    <n v="21470"/>
    <n v="265000"/>
    <n v="295185"/>
    <n v="284370"/>
    <n v="128.6"/>
  </r>
  <r>
    <x v="28"/>
    <x v="7"/>
    <x v="0"/>
    <n v="10199"/>
    <n v="325000"/>
    <n v="359727"/>
    <n v="348756"/>
    <n v="128.6"/>
  </r>
  <r>
    <x v="28"/>
    <x v="7"/>
    <x v="1"/>
    <n v="3075"/>
    <n v="140000"/>
    <n v="155247"/>
    <n v="150233"/>
    <n v="128.6"/>
  </r>
  <r>
    <x v="28"/>
    <x v="7"/>
    <x v="2"/>
    <n v="11055"/>
    <n v="200000"/>
    <n v="221153"/>
    <n v="214619"/>
    <n v="128.6"/>
  </r>
  <r>
    <x v="28"/>
    <x v="7"/>
    <x v="3"/>
    <n v="12289"/>
    <n v="152500"/>
    <n v="171315"/>
    <n v="163647"/>
    <n v="128.6"/>
  </r>
  <r>
    <x v="28"/>
    <x v="8"/>
    <x v="0"/>
    <n v="17387"/>
    <n v="390000"/>
    <n v="445583"/>
    <n v="418507"/>
    <n v="128.6"/>
  </r>
  <r>
    <x v="28"/>
    <x v="8"/>
    <x v="1"/>
    <n v="7733"/>
    <n v="140000"/>
    <n v="163407"/>
    <n v="150233"/>
    <n v="128.6"/>
  </r>
  <r>
    <x v="28"/>
    <x v="8"/>
    <x v="2"/>
    <n v="22901"/>
    <n v="240000"/>
    <n v="256000"/>
    <n v="257543"/>
    <n v="128.6"/>
  </r>
  <r>
    <x v="28"/>
    <x v="8"/>
    <x v="3"/>
    <n v="16988"/>
    <n v="193000"/>
    <n v="209356"/>
    <n v="207107"/>
    <n v="128.6"/>
  </r>
  <r>
    <x v="28"/>
    <x v="9"/>
    <x v="0"/>
    <n v="16195"/>
    <n v="344950"/>
    <n v="395158"/>
    <n v="370164"/>
    <n v="128.6"/>
  </r>
  <r>
    <x v="28"/>
    <x v="9"/>
    <x v="1"/>
    <n v="6294"/>
    <n v="137000"/>
    <n v="164238"/>
    <n v="147014"/>
    <n v="128.6"/>
  </r>
  <r>
    <x v="28"/>
    <x v="9"/>
    <x v="2"/>
    <n v="24991"/>
    <n v="200000"/>
    <n v="221809"/>
    <n v="214619"/>
    <n v="128.6"/>
  </r>
  <r>
    <x v="28"/>
    <x v="9"/>
    <x v="3"/>
    <n v="20885"/>
    <n v="150000"/>
    <n v="172960"/>
    <n v="160964"/>
    <n v="128.6"/>
  </r>
  <r>
    <x v="29"/>
    <x v="0"/>
    <x v="0"/>
    <n v="26041"/>
    <n v="345000"/>
    <n v="382352"/>
    <n v="358239"/>
    <n v="132.9"/>
  </r>
  <r>
    <x v="29"/>
    <x v="0"/>
    <x v="1"/>
    <n v="3753"/>
    <n v="136500"/>
    <n v="151737"/>
    <n v="141738"/>
    <n v="132.9"/>
  </r>
  <r>
    <x v="29"/>
    <x v="0"/>
    <x v="2"/>
    <n v="23120"/>
    <n v="227023"/>
    <n v="237363"/>
    <n v="235735"/>
    <n v="132.9"/>
  </r>
  <r>
    <x v="29"/>
    <x v="0"/>
    <x v="3"/>
    <n v="14107"/>
    <n v="185000"/>
    <n v="198478"/>
    <n v="192099"/>
    <n v="132.9"/>
  </r>
  <r>
    <x v="29"/>
    <x v="1"/>
    <x v="0"/>
    <n v="28004"/>
    <n v="462500"/>
    <n v="548061"/>
    <n v="480248"/>
    <n v="132.9"/>
  </r>
  <r>
    <x v="29"/>
    <x v="1"/>
    <x v="1"/>
    <n v="12370"/>
    <n v="215000"/>
    <n v="238127"/>
    <n v="223251"/>
    <n v="132.9"/>
  </r>
  <r>
    <x v="29"/>
    <x v="1"/>
    <x v="2"/>
    <n v="24705"/>
    <n v="340000"/>
    <n v="377058"/>
    <n v="353047"/>
    <n v="132.9"/>
  </r>
  <r>
    <x v="29"/>
    <x v="1"/>
    <x v="3"/>
    <n v="20679"/>
    <n v="300000"/>
    <n v="327022"/>
    <n v="311512"/>
    <n v="132.9"/>
  </r>
  <r>
    <x v="29"/>
    <x v="2"/>
    <x v="0"/>
    <n v="3942"/>
    <n v="900000"/>
    <n v="1274943"/>
    <n v="934537"/>
    <n v="132.9"/>
  </r>
  <r>
    <x v="29"/>
    <x v="2"/>
    <x v="1"/>
    <n v="44613"/>
    <n v="450000"/>
    <n v="598237"/>
    <n v="467269"/>
    <n v="132.9"/>
  </r>
  <r>
    <x v="29"/>
    <x v="2"/>
    <x v="2"/>
    <n v="12452"/>
    <n v="615000"/>
    <n v="795213"/>
    <n v="638600"/>
    <n v="132.9"/>
  </r>
  <r>
    <x v="29"/>
    <x v="2"/>
    <x v="3"/>
    <n v="22583"/>
    <n v="592500"/>
    <n v="817940"/>
    <n v="615237"/>
    <n v="132.9"/>
  </r>
  <r>
    <x v="29"/>
    <x v="3"/>
    <x v="0"/>
    <n v="8997"/>
    <n v="292995"/>
    <n v="330312"/>
    <n v="304239"/>
    <n v="132.9"/>
  </r>
  <r>
    <x v="29"/>
    <x v="3"/>
    <x v="1"/>
    <n v="3431"/>
    <n v="105000"/>
    <n v="122891"/>
    <n v="109029"/>
    <n v="132.9"/>
  </r>
  <r>
    <x v="29"/>
    <x v="3"/>
    <x v="2"/>
    <n v="12499"/>
    <n v="167000"/>
    <n v="184628"/>
    <n v="173409"/>
    <n v="132.9"/>
  </r>
  <r>
    <x v="29"/>
    <x v="3"/>
    <x v="3"/>
    <n v="11701"/>
    <n v="125000"/>
    <n v="146557"/>
    <n v="129797"/>
    <n v="132.9"/>
  </r>
  <r>
    <x v="29"/>
    <x v="4"/>
    <x v="0"/>
    <n v="21568"/>
    <n v="360000"/>
    <n v="419484"/>
    <n v="373815"/>
    <n v="132.9"/>
  </r>
  <r>
    <x v="29"/>
    <x v="4"/>
    <x v="1"/>
    <n v="11485"/>
    <n v="150000"/>
    <n v="180673"/>
    <n v="155756"/>
    <n v="132.9"/>
  </r>
  <r>
    <x v="29"/>
    <x v="4"/>
    <x v="2"/>
    <n v="34640"/>
    <n v="225688"/>
    <n v="249691"/>
    <n v="234348"/>
    <n v="132.9"/>
  </r>
  <r>
    <x v="29"/>
    <x v="4"/>
    <x v="3"/>
    <n v="29300"/>
    <n v="157000"/>
    <n v="178084"/>
    <n v="163025"/>
    <n v="132.9"/>
  </r>
  <r>
    <x v="29"/>
    <x v="5"/>
    <x v="0"/>
    <n v="35491"/>
    <n v="590000"/>
    <n v="708738"/>
    <n v="612641"/>
    <n v="132.9"/>
  </r>
  <r>
    <x v="29"/>
    <x v="5"/>
    <x v="1"/>
    <n v="25771"/>
    <n v="230000"/>
    <n v="256929"/>
    <n v="238826"/>
    <n v="132.9"/>
  </r>
  <r>
    <x v="29"/>
    <x v="5"/>
    <x v="2"/>
    <n v="33788"/>
    <n v="395000"/>
    <n v="433859"/>
    <n v="410158"/>
    <n v="132.9"/>
  </r>
  <r>
    <x v="29"/>
    <x v="5"/>
    <x v="3"/>
    <n v="30582"/>
    <n v="325000"/>
    <n v="359494"/>
    <n v="337472"/>
    <n v="132.9"/>
  </r>
  <r>
    <x v="29"/>
    <x v="6"/>
    <x v="0"/>
    <n v="25506"/>
    <n v="449997"/>
    <n v="525282"/>
    <n v="467266"/>
    <n v="132.9"/>
  </r>
  <r>
    <x v="29"/>
    <x v="6"/>
    <x v="1"/>
    <n v="14185"/>
    <n v="191000"/>
    <n v="228884"/>
    <n v="198330"/>
    <n v="132.9"/>
  </r>
  <r>
    <x v="29"/>
    <x v="6"/>
    <x v="2"/>
    <n v="21238"/>
    <n v="300000"/>
    <n v="332929"/>
    <n v="311512"/>
    <n v="132.9"/>
  </r>
  <r>
    <x v="29"/>
    <x v="6"/>
    <x v="3"/>
    <n v="22933"/>
    <n v="260000"/>
    <n v="294030"/>
    <n v="269977"/>
    <n v="132.9"/>
  </r>
  <r>
    <x v="29"/>
    <x v="7"/>
    <x v="0"/>
    <n v="11342"/>
    <n v="325000"/>
    <n v="354225"/>
    <n v="337472"/>
    <n v="132.9"/>
  </r>
  <r>
    <x v="29"/>
    <x v="7"/>
    <x v="1"/>
    <n v="2861"/>
    <n v="144500"/>
    <n v="158270"/>
    <n v="150045"/>
    <n v="132.9"/>
  </r>
  <r>
    <x v="29"/>
    <x v="7"/>
    <x v="2"/>
    <n v="11885"/>
    <n v="209995"/>
    <n v="225145"/>
    <n v="218053"/>
    <n v="132.9"/>
  </r>
  <r>
    <x v="29"/>
    <x v="7"/>
    <x v="3"/>
    <n v="12571"/>
    <n v="158500"/>
    <n v="177057"/>
    <n v="164582"/>
    <n v="132.9"/>
  </r>
  <r>
    <x v="29"/>
    <x v="8"/>
    <x v="0"/>
    <n v="19559"/>
    <n v="385000"/>
    <n v="441223"/>
    <n v="399774"/>
    <n v="132.9"/>
  </r>
  <r>
    <x v="29"/>
    <x v="8"/>
    <x v="1"/>
    <n v="7683"/>
    <n v="140000"/>
    <n v="162499"/>
    <n v="145372"/>
    <n v="132.9"/>
  </r>
  <r>
    <x v="29"/>
    <x v="8"/>
    <x v="2"/>
    <n v="24907"/>
    <n v="245000"/>
    <n v="260348"/>
    <n v="254402"/>
    <n v="132.9"/>
  </r>
  <r>
    <x v="29"/>
    <x v="8"/>
    <x v="3"/>
    <n v="18066"/>
    <n v="200000"/>
    <n v="214590"/>
    <n v="207675"/>
    <n v="132.9"/>
  </r>
  <r>
    <x v="29"/>
    <x v="9"/>
    <x v="0"/>
    <n v="18123"/>
    <n v="340000"/>
    <n v="390419"/>
    <n v="353047"/>
    <n v="132.9"/>
  </r>
  <r>
    <x v="29"/>
    <x v="9"/>
    <x v="1"/>
    <n v="6431"/>
    <n v="140000"/>
    <n v="166875"/>
    <n v="145372"/>
    <n v="132.9"/>
  </r>
  <r>
    <x v="29"/>
    <x v="9"/>
    <x v="2"/>
    <n v="27118"/>
    <n v="205000"/>
    <n v="227301"/>
    <n v="212867"/>
    <n v="132.9"/>
  </r>
  <r>
    <x v="29"/>
    <x v="9"/>
    <x v="3"/>
    <n v="21316"/>
    <n v="155000"/>
    <n v="178881"/>
    <n v="160948"/>
    <n v="132.9"/>
  </r>
  <r>
    <x v="30"/>
    <x v="0"/>
    <x v="0"/>
    <n v="24896"/>
    <n v="345000"/>
    <n v="385844"/>
    <n v="345000"/>
    <n v="138"/>
  </r>
  <r>
    <x v="30"/>
    <x v="0"/>
    <x v="1"/>
    <n v="3543"/>
    <n v="130000"/>
    <n v="143539"/>
    <n v="130000"/>
    <n v="138"/>
  </r>
  <r>
    <x v="30"/>
    <x v="0"/>
    <x v="2"/>
    <n v="22844"/>
    <n v="230000"/>
    <n v="243136"/>
    <n v="230000"/>
    <n v="138"/>
  </r>
  <r>
    <x v="30"/>
    <x v="0"/>
    <x v="3"/>
    <n v="14453"/>
    <n v="190000"/>
    <n v="201461"/>
    <n v="190000"/>
    <n v="138"/>
  </r>
  <r>
    <x v="30"/>
    <x v="1"/>
    <x v="0"/>
    <n v="26994"/>
    <n v="470000"/>
    <n v="556039"/>
    <n v="470000"/>
    <n v="138"/>
  </r>
  <r>
    <x v="30"/>
    <x v="1"/>
    <x v="1"/>
    <n v="11539"/>
    <n v="212000"/>
    <n v="231535"/>
    <n v="212000"/>
    <n v="138"/>
  </r>
  <r>
    <x v="30"/>
    <x v="1"/>
    <x v="2"/>
    <n v="24747"/>
    <n v="350000"/>
    <n v="385517"/>
    <n v="350000"/>
    <n v="138"/>
  </r>
  <r>
    <x v="30"/>
    <x v="1"/>
    <x v="3"/>
    <n v="21693"/>
    <n v="310000"/>
    <n v="331090"/>
    <n v="310000"/>
    <n v="138"/>
  </r>
  <r>
    <x v="30"/>
    <x v="2"/>
    <x v="0"/>
    <n v="3783"/>
    <n v="900000"/>
    <n v="1292412"/>
    <n v="900000"/>
    <n v="138"/>
  </r>
  <r>
    <x v="30"/>
    <x v="2"/>
    <x v="1"/>
    <n v="40214"/>
    <n v="440000"/>
    <n v="546257"/>
    <n v="440000"/>
    <n v="138"/>
  </r>
  <r>
    <x v="30"/>
    <x v="2"/>
    <x v="2"/>
    <n v="12364"/>
    <n v="625000"/>
    <n v="788462"/>
    <n v="625000"/>
    <n v="138"/>
  </r>
  <r>
    <x v="30"/>
    <x v="2"/>
    <x v="3"/>
    <n v="22518"/>
    <n v="590000"/>
    <n v="795382"/>
    <n v="590000"/>
    <n v="138"/>
  </r>
  <r>
    <x v="30"/>
    <x v="3"/>
    <x v="0"/>
    <n v="7983"/>
    <n v="299999"/>
    <n v="336512"/>
    <n v="299999"/>
    <n v="138"/>
  </r>
  <r>
    <x v="30"/>
    <x v="3"/>
    <x v="1"/>
    <n v="3113"/>
    <n v="105000"/>
    <n v="125232"/>
    <n v="105000"/>
    <n v="138"/>
  </r>
  <r>
    <x v="30"/>
    <x v="3"/>
    <x v="2"/>
    <n v="12248"/>
    <n v="173500"/>
    <n v="193052"/>
    <n v="173500"/>
    <n v="138"/>
  </r>
  <r>
    <x v="30"/>
    <x v="3"/>
    <x v="3"/>
    <n v="11172"/>
    <n v="128065"/>
    <n v="153260"/>
    <n v="128065"/>
    <n v="138"/>
  </r>
  <r>
    <x v="30"/>
    <x v="4"/>
    <x v="0"/>
    <n v="20478"/>
    <n v="370000"/>
    <n v="431843"/>
    <n v="370000"/>
    <n v="138"/>
  </r>
  <r>
    <x v="30"/>
    <x v="4"/>
    <x v="1"/>
    <n v="10501"/>
    <n v="150000"/>
    <n v="176042"/>
    <n v="150000"/>
    <n v="138"/>
  </r>
  <r>
    <x v="30"/>
    <x v="4"/>
    <x v="2"/>
    <n v="34247"/>
    <n v="235000"/>
    <n v="259377"/>
    <n v="235000"/>
    <n v="138"/>
  </r>
  <r>
    <x v="30"/>
    <x v="4"/>
    <x v="3"/>
    <n v="29417"/>
    <n v="165000"/>
    <n v="187215"/>
    <n v="165000"/>
    <n v="138"/>
  </r>
  <r>
    <x v="30"/>
    <x v="5"/>
    <x v="0"/>
    <n v="34441"/>
    <n v="600000"/>
    <n v="714806"/>
    <n v="600000"/>
    <n v="138"/>
  </r>
  <r>
    <x v="30"/>
    <x v="5"/>
    <x v="1"/>
    <n v="23627"/>
    <n v="225000"/>
    <n v="249307"/>
    <n v="225000"/>
    <n v="138"/>
  </r>
  <r>
    <x v="30"/>
    <x v="5"/>
    <x v="2"/>
    <n v="33756"/>
    <n v="400000"/>
    <n v="440039"/>
    <n v="400000"/>
    <n v="138"/>
  </r>
  <r>
    <x v="30"/>
    <x v="5"/>
    <x v="3"/>
    <n v="31658"/>
    <n v="330000"/>
    <n v="362107"/>
    <n v="330000"/>
    <n v="138"/>
  </r>
  <r>
    <x v="30"/>
    <x v="6"/>
    <x v="0"/>
    <n v="24888"/>
    <n v="450000"/>
    <n v="520424"/>
    <n v="450000"/>
    <n v="138"/>
  </r>
  <r>
    <x v="30"/>
    <x v="6"/>
    <x v="1"/>
    <n v="12862"/>
    <n v="186000"/>
    <n v="219052"/>
    <n v="186000"/>
    <n v="138"/>
  </r>
  <r>
    <x v="30"/>
    <x v="6"/>
    <x v="2"/>
    <n v="20644"/>
    <n v="305000"/>
    <n v="334637"/>
    <n v="305000"/>
    <n v="138"/>
  </r>
  <r>
    <x v="30"/>
    <x v="6"/>
    <x v="3"/>
    <n v="23505"/>
    <n v="265000"/>
    <n v="295112"/>
    <n v="265000"/>
    <n v="138"/>
  </r>
  <r>
    <x v="30"/>
    <x v="7"/>
    <x v="0"/>
    <n v="11221"/>
    <n v="328000"/>
    <n v="362496"/>
    <n v="328000"/>
    <n v="138"/>
  </r>
  <r>
    <x v="30"/>
    <x v="7"/>
    <x v="1"/>
    <n v="2662"/>
    <n v="145000"/>
    <n v="161064"/>
    <n v="145000"/>
    <n v="138"/>
  </r>
  <r>
    <x v="30"/>
    <x v="7"/>
    <x v="2"/>
    <n v="11421"/>
    <n v="212500"/>
    <n v="231724"/>
    <n v="212500"/>
    <n v="138"/>
  </r>
  <r>
    <x v="30"/>
    <x v="7"/>
    <x v="3"/>
    <n v="12615"/>
    <n v="165000"/>
    <n v="182456"/>
    <n v="165000"/>
    <n v="138"/>
  </r>
  <r>
    <x v="30"/>
    <x v="8"/>
    <x v="0"/>
    <n v="18474"/>
    <n v="392500"/>
    <n v="447490"/>
    <n v="392500"/>
    <n v="138"/>
  </r>
  <r>
    <x v="30"/>
    <x v="8"/>
    <x v="1"/>
    <n v="6596"/>
    <n v="140000"/>
    <n v="161009"/>
    <n v="140000"/>
    <n v="138"/>
  </r>
  <r>
    <x v="30"/>
    <x v="8"/>
    <x v="2"/>
    <n v="24636"/>
    <n v="250000"/>
    <n v="267230"/>
    <n v="250000"/>
    <n v="138"/>
  </r>
  <r>
    <x v="30"/>
    <x v="8"/>
    <x v="3"/>
    <n v="17717"/>
    <n v="205000"/>
    <n v="232722"/>
    <n v="205000"/>
    <n v="138"/>
  </r>
  <r>
    <x v="30"/>
    <x v="9"/>
    <x v="0"/>
    <n v="17125"/>
    <n v="350000"/>
    <n v="395755"/>
    <n v="350000"/>
    <n v="138"/>
  </r>
  <r>
    <x v="30"/>
    <x v="9"/>
    <x v="1"/>
    <n v="5547"/>
    <n v="137000"/>
    <n v="161207"/>
    <n v="137000"/>
    <n v="138"/>
  </r>
  <r>
    <x v="30"/>
    <x v="9"/>
    <x v="2"/>
    <n v="25925"/>
    <n v="212500"/>
    <n v="233813"/>
    <n v="212500"/>
    <n v="138"/>
  </r>
  <r>
    <x v="30"/>
    <x v="9"/>
    <x v="3"/>
    <n v="21236"/>
    <n v="165000"/>
    <n v="184476"/>
    <n v="165000"/>
    <n v="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7110F-9889-F346-93C1-066D3D944F9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L35" firstHeaderRow="1" firstDataRow="2" firstDataCol="1"/>
  <pivotFields count="8">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Col" showAll="0">
      <items count="11">
        <item x="0"/>
        <item x="1"/>
        <item x="2"/>
        <item x="3"/>
        <item x="4"/>
        <item x="5"/>
        <item x="6"/>
        <item x="7"/>
        <item x="8"/>
        <item x="9"/>
        <item t="default"/>
      </items>
    </pivotField>
    <pivotField multipleItemSelectionAllowed="1" showAll="0">
      <items count="5">
        <item x="0"/>
        <item h="1" x="1"/>
        <item h="1" x="2"/>
        <item h="1" x="3"/>
        <item t="default"/>
      </items>
    </pivotField>
    <pivotField showAll="0"/>
    <pivotField dataField="1" showAll="0"/>
    <pivotField showAll="0"/>
    <pivotField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11">
    <i>
      <x/>
    </i>
    <i>
      <x v="1"/>
    </i>
    <i>
      <x v="2"/>
    </i>
    <i>
      <x v="3"/>
    </i>
    <i>
      <x v="4"/>
    </i>
    <i>
      <x v="5"/>
    </i>
    <i>
      <x v="6"/>
    </i>
    <i>
      <x v="7"/>
    </i>
    <i>
      <x v="8"/>
    </i>
    <i>
      <x v="9"/>
    </i>
    <i t="grand">
      <x/>
    </i>
  </colItems>
  <dataFields count="1">
    <dataField name="Nominal median price (avg)" fld="4" subtotal="average" baseField="0" baseItem="0" numFmtId="168"/>
  </dataFields>
  <formats count="14">
    <format dxfId="13">
      <pivotArea type="origin" dataOnly="0" labelOnly="1" outline="0" fieldPosition="0"/>
    </format>
    <format dxfId="12">
      <pivotArea outline="0" collapsedLevelsAreSubtotals="1" fieldPosition="0"/>
    </format>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outline="0" collapsedLevelsAreSubtotals="1" fieldPosition="0"/>
    </format>
    <format dxfId="7">
      <pivotArea dataOnly="0" labelOnly="1" fieldPosition="0">
        <references count="1">
          <reference field="0" count="0"/>
        </references>
      </pivotArea>
    </format>
    <format dxfId="6">
      <pivotArea dataOnly="0" labelOnly="1" grandRow="1" outline="0" fieldPosition="0"/>
    </format>
    <format dxfId="5">
      <pivotArea type="origin" dataOnly="0" labelOnly="1" outline="0" fieldPosition="0"/>
    </format>
    <format dxfId="4">
      <pivotArea field="0" type="button" dataOnly="0" labelOnly="1" outline="0" axis="axisRow" fieldPosition="0"/>
    </format>
    <format dxfId="3">
      <pivotArea dataOnly="0" labelOnly="1" fieldPosition="0">
        <references count="1">
          <reference field="1" count="0"/>
        </references>
      </pivotArea>
    </format>
    <format dxfId="2">
      <pivotArea dataOnly="0" labelOnly="1" grandCol="1" outline="0" fieldPosition="0"/>
    </format>
    <format dxfId="1">
      <pivotArea dataOnly="0" labelOnly="1" fieldPosition="0">
        <references count="1">
          <reference field="1" count="0"/>
        </references>
      </pivotArea>
    </format>
    <format dxfId="0">
      <pivotArea dataOnly="0" labelOnly="1" grandCol="1" outline="0" fieldPosition="0"/>
    </format>
  </formats>
  <chartFormats count="10">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 chart="5" format="25" series="1">
      <pivotArea type="data" outline="0" fieldPosition="0">
        <references count="2">
          <reference field="4294967294" count="1" selected="0">
            <x v="0"/>
          </reference>
          <reference field="1" count="1" selected="0">
            <x v="5"/>
          </reference>
        </references>
      </pivotArea>
    </chartFormat>
    <chartFormat chart="5" format="26" series="1">
      <pivotArea type="data" outline="0" fieldPosition="0">
        <references count="2">
          <reference field="4294967294" count="1" selected="0">
            <x v="0"/>
          </reference>
          <reference field="1" count="1" selected="0">
            <x v="6"/>
          </reference>
        </references>
      </pivotArea>
    </chartFormat>
    <chartFormat chart="5" format="27" series="1">
      <pivotArea type="data" outline="0" fieldPosition="0">
        <references count="2">
          <reference field="4294967294" count="1" selected="0">
            <x v="0"/>
          </reference>
          <reference field="1" count="1" selected="0">
            <x v="7"/>
          </reference>
        </references>
      </pivotArea>
    </chartFormat>
    <chartFormat chart="5" format="28" series="1">
      <pivotArea type="data" outline="0" fieldPosition="0">
        <references count="2">
          <reference field="4294967294" count="1" selected="0">
            <x v="0"/>
          </reference>
          <reference field="1" count="1" selected="0">
            <x v="8"/>
          </reference>
        </references>
      </pivotArea>
    </chartFormat>
    <chartFormat chart="5" format="2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21C567FE-1FCA-1F49-8607-AF841AFE0CA9}" autoFormatId="16" applyNumberFormats="0" applyBorderFormats="0" applyFontFormats="0" applyPatternFormats="0" applyAlignmentFormats="0" applyWidthHeightFormats="0">
  <queryTableRefresh nextId="9">
    <queryTableFields count="8">
      <queryTableField id="1" name="year" tableColumnId="1"/>
      <queryTableField id="2" name="region_name" tableColumnId="2"/>
      <queryTableField id="3" name="type_name" tableColumnId="3"/>
      <queryTableField id="4" name="transaction_count" tableColumnId="4"/>
      <queryTableField id="5" name="nominal_median_price" tableColumnId="5"/>
      <queryTableField id="6" name="nominal_mean_price" tableColumnId="6"/>
      <queryTableField id="7" name="real_median_price" tableColumnId="7"/>
      <queryTableField id="8" name="cpih_index"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DEFDDDFA-4724-8B49-9907-0CA7E209B1C0}" autoFormatId="16" applyNumberFormats="0" applyBorderFormats="0" applyFontFormats="0" applyPatternFormats="0" applyAlignmentFormats="0" applyWidthHeightFormats="0">
  <queryTableRefresh nextId="12">
    <queryTableFields count="11">
      <queryTableField id="1" name="ashe_la_name" tableColumnId="1"/>
      <queryTableField id="2" name="lad_code" tableColumnId="2"/>
      <queryTableField id="3" name="median_annual_pay" tableColumnId="3"/>
      <queryTableField id="4" name="mean_annual_pay" tableColumnId="4"/>
      <queryTableField id="5" name="lad_name" tableColumnId="5"/>
      <queryTableField id="6" name="region_name" tableColumnId="6"/>
      <queryTableField id="7" name="latest_median_price" tableColumnId="7"/>
      <queryTableField id="8" name="cagr_pct" tableColumnId="8"/>
      <queryTableField id="9" name="appreciation_rank" tableColumnId="9"/>
      <queryTableField id="10" name="transaction_count" tableColumnId="10"/>
      <queryTableField id="11" name="price_to_income_ratio"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731CD57F-9A41-3542-8395-B8810FFCD018}" autoFormatId="16" applyNumberFormats="0" applyBorderFormats="0" applyFontFormats="0" applyPatternFormats="0" applyAlignmentFormats="0" applyWidthHeightFormats="0">
  <queryTableRefresh nextId="13">
    <queryTableFields count="12">
      <queryTableField id="1" name="lad_code" tableColumnId="1"/>
      <queryTableField id="2" name="lad_name" tableColumnId="2"/>
      <queryTableField id="3" name="region_name" tableColumnId="3"/>
      <queryTableField id="4" name="centroid_lat" tableColumnId="4"/>
      <queryTableField id="5" name="centroid_long" tableColumnId="5"/>
      <queryTableField id="6" name="median_2015" tableColumnId="6"/>
      <queryTableField id="7" name="latest_median_price" tableColumnId="7"/>
      <queryTableField id="8" name="start_sales" tableColumnId="8"/>
      <queryTableField id="9" name="end_sales" tableColumnId="9"/>
      <queryTableField id="10" name="cagr_pct" tableColumnId="10"/>
      <queryTableField id="11" name="appreciation_rank" tableColumnId="11"/>
      <queryTableField id="12" name="transaction_count"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F8C6CBE-4569-EC4B-868A-8B60A6CFC2FC}" autoFormatId="16" applyNumberFormats="0" applyBorderFormats="0" applyFontFormats="0" applyPatternFormats="0" applyAlignmentFormats="0" applyWidthHeightFormats="0">
  <queryTableRefresh nextId="5">
    <queryTableFields count="4">
      <queryTableField id="1" name="ashe_la_name" tableColumnId="1"/>
      <queryTableField id="2" name="lad_code" tableColumnId="2"/>
      <queryTableField id="3" name="median_annual_pay" tableColumnId="3"/>
      <queryTableField id="4" name="mean_annual_pa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3604EC6-3D49-AD43-84B2-120D909D1119}" autoFormatId="16" applyNumberFormats="0" applyBorderFormats="0" applyFontFormats="0" applyPatternFormats="0" applyAlignmentFormats="0" applyWidthHeightFormats="0">
  <queryTableRefresh nextId="11">
    <queryTableFields count="10">
      <queryTableField id="1" name="year" tableColumnId="1"/>
      <queryTableField id="2" name="region_name" tableColumnId="2"/>
      <queryTableField id="3" name="type_name" tableColumnId="3"/>
      <queryTableField id="4" name="region_rolled_up" tableColumnId="4"/>
      <queryTableField id="5" name="type_rolled_up" tableColumnId="5"/>
      <queryTableField id="6" name="transaction_count" tableColumnId="6"/>
      <queryTableField id="7" name="nominal_median_price" tableColumnId="7"/>
      <queryTableField id="8" name="nominal_mean_price" tableColumnId="8"/>
      <queryTableField id="9" name="real_median_price" tableColumnId="9"/>
      <queryTableField id="10" name="cpih_index"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name" xr10:uid="{C481321B-4FA8-BF45-A688-6D5B0B4AE02F}" sourceName="type_name">
  <pivotTables>
    <pivotTable tabId="7" name="PivotTable1"/>
  </pivotTables>
  <data>
    <tabular pivotCacheId="879532468">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name" xr10:uid="{9846C125-09EC-DD48-BB4D-8F364CBAE1F9}" cache="Slicer_type_name" caption="type_name" rowHeight="251883"/>
  <slicer name="type_name 1" xr10:uid="{7A17009B-399D-804D-8585-D913ED0884B9}" cache="Slicer_type_name" caption="type_name" rowHeight="251883"/>
  <slicer name="type_name 2" xr10:uid="{78559AC9-0DBC-2B4F-987E-E3EA6900E199}" cache="Slicer_type_name" caption="type_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82F67A-9806-E941-AD4A-644BE60AADF0}" name="PivotSource" displayName="PivotSource" ref="A1:H1241" tableType="queryTable" totalsRowShown="0">
  <autoFilter ref="A1:H1241" xr:uid="{2D82F67A-9806-E941-AD4A-644BE60AADF0}"/>
  <tableColumns count="8">
    <tableColumn id="1" xr3:uid="{902311FB-0EE3-684D-8727-03531D96D8B0}" uniqueName="1" name="year" queryTableFieldId="1"/>
    <tableColumn id="2" xr3:uid="{70748A4B-A928-1542-9205-7D0060E20BCF}" uniqueName="2" name="region_name" queryTableFieldId="2" dataDxfId="15"/>
    <tableColumn id="3" xr3:uid="{973F1C17-2081-5042-B49C-CC30E03B5D5B}" uniqueName="3" name="type_name" queryTableFieldId="3" dataDxfId="14"/>
    <tableColumn id="4" xr3:uid="{62301C4E-3171-234F-ABBD-4D6FE05E10B9}" uniqueName="4" name="transaction_count" queryTableFieldId="4"/>
    <tableColumn id="5" xr3:uid="{5C7DE911-85C0-6F4C-ADE3-00CF50EC632A}" uniqueName="5" name="nominal_median_price" queryTableFieldId="5"/>
    <tableColumn id="6" xr3:uid="{91093ABD-CFAF-C848-9AE7-87F9DB4B4EF9}" uniqueName="6" name="nominal_mean_price" queryTableFieldId="6"/>
    <tableColumn id="7" xr3:uid="{D762C010-1AFE-1E48-8644-39C20FC18251}" uniqueName="7" name="real_median_price" queryTableFieldId="7"/>
    <tableColumn id="8" xr3:uid="{A71C3FC4-5C6E-2C40-936C-44A7FF735980}" uniqueName="8" name="cpih_index"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9A9BC3-C25D-684A-9BB9-B10B807DDC80}" name="Merged" displayName="Merged" ref="A1:K318" tableType="queryTable" totalsRowShown="0">
  <autoFilter ref="A1:K318" xr:uid="{199A9BC3-C25D-684A-9BB9-B10B807DDC80}"/>
  <tableColumns count="11">
    <tableColumn id="1" xr3:uid="{D2D432D5-52A8-A849-8201-A7F70CF2BA3E}" uniqueName="1" name="ashe_la_name" queryTableFieldId="1" dataDxfId="19"/>
    <tableColumn id="2" xr3:uid="{A4A44B33-008B-574B-AE2A-F3D14F031A7A}" uniqueName="2" name="lad_code" queryTableFieldId="2" dataDxfId="18"/>
    <tableColumn id="3" xr3:uid="{52F70E05-5B6C-B04D-8E03-FE1DF278BAE7}" uniqueName="3" name="median_annual_pay" queryTableFieldId="3"/>
    <tableColumn id="4" xr3:uid="{D2C5603A-2BC8-4D4A-8A42-4A1148F5E0B0}" uniqueName="4" name="mean_annual_pay" queryTableFieldId="4"/>
    <tableColumn id="5" xr3:uid="{1C9A84AA-328A-EE4E-96C6-25F08EFAF183}" uniqueName="5" name="lad_name" queryTableFieldId="5" dataDxfId="17"/>
    <tableColumn id="6" xr3:uid="{EA0B4495-DFFD-9B43-8D13-7CE36C2B13C4}" uniqueName="6" name="region_name" queryTableFieldId="6" dataDxfId="16"/>
    <tableColumn id="7" xr3:uid="{0E6DF854-7ED6-A844-A3AE-F692009020EE}" uniqueName="7" name="latest_median_price" queryTableFieldId="7"/>
    <tableColumn id="8" xr3:uid="{D294A86D-FAD2-3C4A-9385-BC3CAF168277}" uniqueName="8" name="cagr_pct" queryTableFieldId="8"/>
    <tableColumn id="9" xr3:uid="{412FC6A3-76CA-CF43-80B7-EB9D42BED178}" uniqueName="9" name="appreciation_rank" queryTableFieldId="9"/>
    <tableColumn id="10" xr3:uid="{091006AB-CFFF-C040-BAF8-7E18E8ED86F9}" uniqueName="10" name="transaction_count" queryTableFieldId="10"/>
    <tableColumn id="11" xr3:uid="{F65EBE16-B6A8-5D40-B107-87763D783320}" uniqueName="11" name="price_to_income_ratio"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625458-B8A8-9945-8446-999C6A26E675}" name="DistrictExport" displayName="DistrictExport" ref="A1:L318" tableType="queryTable" totalsRowShown="0">
  <autoFilter ref="A1:L318" xr:uid="{B8625458-B8A8-9945-8446-999C6A26E675}"/>
  <tableColumns count="12">
    <tableColumn id="1" xr3:uid="{711F0AFD-60ED-D24F-A175-895353C67FD0}" uniqueName="1" name="lad_code" queryTableFieldId="1" dataDxfId="22"/>
    <tableColumn id="2" xr3:uid="{B75A248F-14F1-CD46-82ED-B9E171BD3F8B}" uniqueName="2" name="lad_name" queryTableFieldId="2" dataDxfId="21"/>
    <tableColumn id="3" xr3:uid="{2F897370-11C3-D346-B432-788E6F7381B3}" uniqueName="3" name="region_name" queryTableFieldId="3" dataDxfId="20"/>
    <tableColumn id="4" xr3:uid="{CF8A07FE-2FE3-B340-9F74-4E43CC10CF76}" uniqueName="4" name="centroid_lat" queryTableFieldId="4"/>
    <tableColumn id="5" xr3:uid="{F2DB54EC-D3CE-8D43-BCF9-445BB997F935}" uniqueName="5" name="centroid_long" queryTableFieldId="5"/>
    <tableColumn id="6" xr3:uid="{F255576D-68C5-ED41-A9FA-7312B1C98CDF}" uniqueName="6" name="median_2015" queryTableFieldId="6"/>
    <tableColumn id="7" xr3:uid="{6C04B1DB-B12D-4B48-9148-9577324379EB}" uniqueName="7" name="latest_median_price" queryTableFieldId="7"/>
    <tableColumn id="8" xr3:uid="{4CF63B1D-A32B-8842-98CD-DDA5D34D0559}" uniqueName="8" name="start_sales" queryTableFieldId="8"/>
    <tableColumn id="9" xr3:uid="{2A743C0B-0259-0B49-86D4-048EB685336D}" uniqueName="9" name="end_sales" queryTableFieldId="9"/>
    <tableColumn id="10" xr3:uid="{B90B0BBF-C3A7-3C46-9B01-15CD757802B9}" uniqueName="10" name="cagr_pct" queryTableFieldId="10"/>
    <tableColumn id="11" xr3:uid="{F1BC392F-7F72-A64E-BF32-3A4EAB60CEEC}" uniqueName="11" name="appreciation_rank" queryTableFieldId="11"/>
    <tableColumn id="12" xr3:uid="{631DFA8D-AE5D-F349-9A70-68F04FB84D6F}" uniqueName="12" name="transaction_count"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15C82F-9535-A045-A751-617EEF07B69F}" name="EarningsExport" displayName="EarningsExport" ref="A1:D319" tableType="queryTable" totalsRowShown="0">
  <autoFilter ref="A1:D319" xr:uid="{0215C82F-9535-A045-A751-617EEF07B69F}"/>
  <tableColumns count="4">
    <tableColumn id="1" xr3:uid="{D8A50241-E9BD-5C45-A8BE-D07C137DE599}" uniqueName="1" name="ashe_la_name" queryTableFieldId="1" dataDxfId="24"/>
    <tableColumn id="2" xr3:uid="{50DE5D61-5769-6947-BC7D-7A4EFDB0EE95}" uniqueName="2" name="lad_code" queryTableFieldId="2" dataDxfId="23"/>
    <tableColumn id="3" xr3:uid="{F2711603-BC0D-AF49-8A7C-C72731549AAF}" uniqueName="3" name="median_annual_pay" queryTableFieldId="3"/>
    <tableColumn id="4" xr3:uid="{3F647340-130D-B24C-A21C-FB5EB6059960}" uniqueName="4" name="mean_annual_pay"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7120F8-855E-7B42-94EC-C11041929579}" name="PriceExport" displayName="PriceExport" ref="A1:J1706" tableType="queryTable" totalsRowShown="0">
  <autoFilter ref="A1:J1706" xr:uid="{C07120F8-855E-7B42-94EC-C11041929579}"/>
  <tableColumns count="10">
    <tableColumn id="1" xr3:uid="{D355B7EA-9A2E-784E-AFEC-0D1D39C178F6}" uniqueName="1" name="year" queryTableFieldId="1"/>
    <tableColumn id="2" xr3:uid="{A0189BA3-D14D-E448-BC3A-2980D1F3011C}" uniqueName="2" name="region_name" queryTableFieldId="2" dataDxfId="26"/>
    <tableColumn id="3" xr3:uid="{65483F1F-93AC-624C-B8A2-760A844A9779}" uniqueName="3" name="type_name" queryTableFieldId="3" dataDxfId="25"/>
    <tableColumn id="4" xr3:uid="{8673EB83-ECB6-324D-8871-B4E43D06269B}" uniqueName="4" name="region_rolled_up" queryTableFieldId="4"/>
    <tableColumn id="5" xr3:uid="{8586BE36-D34E-A94B-A553-7FBF696DF03C}" uniqueName="5" name="type_rolled_up" queryTableFieldId="5"/>
    <tableColumn id="6" xr3:uid="{0C5338E1-FA0F-6A4D-9353-BE94C365ADEB}" uniqueName="6" name="transaction_count" queryTableFieldId="6"/>
    <tableColumn id="7" xr3:uid="{F14FDD0E-92F3-F940-B9E5-4459651C0ECF}" uniqueName="7" name="nominal_median_price" queryTableFieldId="7"/>
    <tableColumn id="8" xr3:uid="{C157CAFC-BC49-6C4E-82D7-C8EA7B633681}" uniqueName="8" name="nominal_mean_price" queryTableFieldId="8"/>
    <tableColumn id="9" xr3:uid="{2E5A4467-7F3B-E648-A8E4-753EDFDF791E}" uniqueName="9" name="real_median_price" queryTableFieldId="9"/>
    <tableColumn id="10" xr3:uid="{C6479758-3E4D-1546-AB98-47928A7ABD9E}" uniqueName="10" name="cpih_index"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4B61-9CC9-7842-9270-E3001E72790C}">
  <dimension ref="A1:H44"/>
  <sheetViews>
    <sheetView tabSelected="1" zoomScale="93" workbookViewId="0">
      <selection activeCell="B17" sqref="B17"/>
    </sheetView>
  </sheetViews>
  <sheetFormatPr baseColWidth="10" defaultRowHeight="16" x14ac:dyDescent="0.2"/>
  <cols>
    <col min="1" max="1" width="59.33203125" style="18" bestFit="1" customWidth="1"/>
    <col min="2" max="2" width="17.6640625" style="18" customWidth="1"/>
  </cols>
  <sheetData>
    <row r="1" spans="1:2" ht="20" x14ac:dyDescent="0.2">
      <c r="A1" s="26" t="s">
        <v>999</v>
      </c>
    </row>
    <row r="3" spans="1:2" x14ac:dyDescent="0.2">
      <c r="A3" s="14" t="s">
        <v>1000</v>
      </c>
      <c r="B3" s="19" t="s">
        <v>731</v>
      </c>
    </row>
    <row r="4" spans="1:2" x14ac:dyDescent="0.2">
      <c r="A4" s="14" t="s">
        <v>1001</v>
      </c>
      <c r="B4" s="14" t="str">
        <f>_xlfn.XLOOKUP($B$3, Merged[lad_name], Merged[region_name])</f>
        <v>Wales</v>
      </c>
    </row>
    <row r="6" spans="1:2" x14ac:dyDescent="0.2">
      <c r="A6" s="13" t="s">
        <v>1003</v>
      </c>
    </row>
    <row r="7" spans="1:2" x14ac:dyDescent="0.2">
      <c r="A7" s="14" t="s">
        <v>1002</v>
      </c>
      <c r="B7" s="20">
        <f>_xlfn.XLOOKUP($B$3, Merged[lad_name], Merged[latest_median_price])</f>
        <v>236000</v>
      </c>
    </row>
    <row r="8" spans="1:2" x14ac:dyDescent="0.2">
      <c r="A8" s="14" t="s">
        <v>1004</v>
      </c>
      <c r="B8" s="20">
        <f>_xlfn.XLOOKUP($B$3, Merged[lad_name], Merged[median_annual_pay])</f>
        <v>31495</v>
      </c>
    </row>
    <row r="9" spans="1:2" x14ac:dyDescent="0.2">
      <c r="A9" s="14" t="s">
        <v>1005</v>
      </c>
      <c r="B9" s="21">
        <f>B7/B8</f>
        <v>7.4932528972852834</v>
      </c>
    </row>
    <row r="11" spans="1:2" x14ac:dyDescent="0.2">
      <c r="A11" s="13" t="s">
        <v>1006</v>
      </c>
    </row>
    <row r="12" spans="1:2" x14ac:dyDescent="0.2">
      <c r="A12" s="15" t="s">
        <v>1007</v>
      </c>
      <c r="B12" s="22">
        <v>0.1</v>
      </c>
    </row>
    <row r="13" spans="1:2" x14ac:dyDescent="0.2">
      <c r="A13" s="15" t="s">
        <v>1008</v>
      </c>
      <c r="B13" s="23">
        <v>0.05</v>
      </c>
    </row>
    <row r="14" spans="1:2" x14ac:dyDescent="0.2">
      <c r="A14" s="15" t="s">
        <v>1009</v>
      </c>
      <c r="B14" s="15">
        <v>25</v>
      </c>
    </row>
    <row r="15" spans="1:2" x14ac:dyDescent="0.2">
      <c r="A15" s="15" t="s">
        <v>1010</v>
      </c>
      <c r="B15" s="15">
        <v>4.5</v>
      </c>
    </row>
    <row r="16" spans="1:2" x14ac:dyDescent="0.2">
      <c r="A16" s="15" t="s">
        <v>1025</v>
      </c>
      <c r="B16" s="15">
        <v>1</v>
      </c>
    </row>
    <row r="17" spans="1:7" x14ac:dyDescent="0.2">
      <c r="A17" s="16" t="s">
        <v>1011</v>
      </c>
    </row>
    <row r="18" spans="1:7" x14ac:dyDescent="0.2">
      <c r="A18" s="17" t="s">
        <v>1012</v>
      </c>
      <c r="B18" s="20">
        <f>B7*B12</f>
        <v>23600</v>
      </c>
    </row>
    <row r="19" spans="1:7" x14ac:dyDescent="0.2">
      <c r="A19" s="17" t="s">
        <v>1013</v>
      </c>
      <c r="B19" s="20">
        <f>B7-B18</f>
        <v>212400</v>
      </c>
    </row>
    <row r="20" spans="1:7" x14ac:dyDescent="0.2">
      <c r="A20" s="17" t="s">
        <v>1014</v>
      </c>
      <c r="B20" s="24">
        <f>B19/(B8*B16)</f>
        <v>6.7439276075567554</v>
      </c>
    </row>
    <row r="21" spans="1:7" x14ac:dyDescent="0.2">
      <c r="A21" s="17" t="s">
        <v>1015</v>
      </c>
      <c r="B21" s="20">
        <f>PMT(B13/12, B14*12, -B19)</f>
        <v>1241.6692481629475</v>
      </c>
    </row>
    <row r="22" spans="1:7" x14ac:dyDescent="0.2">
      <c r="A22" s="17" t="s">
        <v>1027</v>
      </c>
      <c r="B22" s="25">
        <f>B21/(B8*B16/12)</f>
        <v>0.47309195040340907</v>
      </c>
    </row>
    <row r="23" spans="1:7" x14ac:dyDescent="0.2">
      <c r="A23" s="17" t="s">
        <v>1016</v>
      </c>
      <c r="B23" s="20">
        <f>B19/B15</f>
        <v>47200</v>
      </c>
      <c r="E23" s="31"/>
    </row>
    <row r="24" spans="1:7" x14ac:dyDescent="0.2">
      <c r="A24" s="17" t="s">
        <v>1026</v>
      </c>
      <c r="B24" s="20">
        <f>B23-B8*B16</f>
        <v>15705</v>
      </c>
    </row>
    <row r="26" spans="1:7" x14ac:dyDescent="0.2">
      <c r="A26" s="33" t="s">
        <v>1020</v>
      </c>
    </row>
    <row r="27" spans="1:7" x14ac:dyDescent="0.2">
      <c r="A27" s="32" t="s">
        <v>1018</v>
      </c>
      <c r="B27" s="32" t="s">
        <v>1019</v>
      </c>
      <c r="C27" s="27"/>
      <c r="D27" s="27"/>
      <c r="E27" s="27"/>
      <c r="F27" s="27"/>
      <c r="G27" s="27"/>
    </row>
    <row r="28" spans="1:7" x14ac:dyDescent="0.2">
      <c r="A28" s="28">
        <f>B21</f>
        <v>1241.6692481629475</v>
      </c>
      <c r="B28" s="29">
        <v>0.05</v>
      </c>
      <c r="C28" s="29">
        <v>0.1</v>
      </c>
      <c r="D28" s="29">
        <v>0.15</v>
      </c>
      <c r="E28" s="29">
        <v>0.2</v>
      </c>
      <c r="F28" s="29">
        <v>0.25</v>
      </c>
      <c r="G28" s="29">
        <v>0.3</v>
      </c>
    </row>
    <row r="29" spans="1:7" x14ac:dyDescent="0.2">
      <c r="A29" s="30">
        <v>0.03</v>
      </c>
      <c r="B29" s="20">
        <f t="dataTable" ref="B29:G37" dt2D="1" dtr="1" r1="B12" r2="B13"/>
        <v>1063.1817656689029</v>
      </c>
      <c r="C29" s="12">
        <v>1007.2248306336976</v>
      </c>
      <c r="D29" s="12">
        <v>951.26789559849215</v>
      </c>
      <c r="E29" s="12">
        <v>895.3109605632867</v>
      </c>
      <c r="F29" s="12">
        <v>839.35402552808125</v>
      </c>
      <c r="G29" s="12">
        <v>783.39709049287592</v>
      </c>
    </row>
    <row r="30" spans="1:7" x14ac:dyDescent="0.2">
      <c r="A30" s="30">
        <v>3.5000000000000003E-2</v>
      </c>
      <c r="B30" s="20">
        <v>1122.398044521783</v>
      </c>
      <c r="C30" s="12">
        <v>1063.324463231163</v>
      </c>
      <c r="D30" s="12">
        <v>1004.2508819405427</v>
      </c>
      <c r="E30" s="12">
        <v>945.17730064992247</v>
      </c>
      <c r="F30" s="12">
        <v>886.10371935930243</v>
      </c>
      <c r="G30" s="12">
        <v>827.03013806868228</v>
      </c>
    </row>
    <row r="31" spans="1:7" x14ac:dyDescent="0.2">
      <c r="A31" s="30">
        <v>0.04</v>
      </c>
      <c r="B31" s="20">
        <v>1183.4101959476166</v>
      </c>
      <c r="C31" s="12">
        <v>1121.1254487924791</v>
      </c>
      <c r="D31" s="12">
        <v>1058.8407016373412</v>
      </c>
      <c r="E31" s="12">
        <v>996.55595448220345</v>
      </c>
      <c r="F31" s="12">
        <v>934.27120732706589</v>
      </c>
      <c r="G31" s="12">
        <v>871.98646017192812</v>
      </c>
    </row>
    <row r="32" spans="1:7" x14ac:dyDescent="0.2">
      <c r="A32" s="30">
        <v>4.4999999999999998E-2</v>
      </c>
      <c r="B32" s="20">
        <v>1246.1764155907792</v>
      </c>
      <c r="C32" s="12">
        <v>1180.5881831912645</v>
      </c>
      <c r="D32" s="12">
        <v>1114.9999507917501</v>
      </c>
      <c r="E32" s="12">
        <v>1049.4117183922353</v>
      </c>
      <c r="F32" s="12">
        <v>983.82348599272052</v>
      </c>
      <c r="G32" s="12">
        <v>918.2352535932057</v>
      </c>
    </row>
    <row r="33" spans="1:8" x14ac:dyDescent="0.2">
      <c r="A33" s="30">
        <v>0.05</v>
      </c>
      <c r="B33" s="20">
        <v>1310.6508730608891</v>
      </c>
      <c r="C33" s="12">
        <v>1241.6692481629475</v>
      </c>
      <c r="D33" s="12">
        <v>1172.6876232650061</v>
      </c>
      <c r="E33" s="12">
        <v>1103.7059983670647</v>
      </c>
      <c r="F33" s="12">
        <v>1034.7243734691231</v>
      </c>
      <c r="G33" s="12">
        <v>965.74274857118144</v>
      </c>
    </row>
    <row r="34" spans="1:8" x14ac:dyDescent="0.2">
      <c r="A34" s="30">
        <v>5.5E-2</v>
      </c>
      <c r="B34" s="20">
        <v>1376.7841576950561</v>
      </c>
      <c r="C34" s="12">
        <v>1304.3218336058428</v>
      </c>
      <c r="D34" s="12">
        <v>1231.8595095166295</v>
      </c>
      <c r="E34" s="12">
        <v>1159.3971854274157</v>
      </c>
      <c r="F34" s="12">
        <v>1086.9348613382024</v>
      </c>
      <c r="G34" s="12">
        <v>1014.4725372489888</v>
      </c>
    </row>
    <row r="35" spans="1:8" x14ac:dyDescent="0.2">
      <c r="A35" s="30">
        <v>0.06</v>
      </c>
      <c r="B35" s="20">
        <v>1444.5237421305103</v>
      </c>
      <c r="C35" s="12">
        <v>1368.4961767552202</v>
      </c>
      <c r="D35" s="12">
        <v>1292.4686113799303</v>
      </c>
      <c r="E35" s="12">
        <v>1216.4410460046402</v>
      </c>
      <c r="F35" s="12">
        <v>1140.41348062935</v>
      </c>
      <c r="G35" s="12">
        <v>1064.3859152540601</v>
      </c>
    </row>
    <row r="36" spans="1:8" x14ac:dyDescent="0.2">
      <c r="A36" s="30">
        <v>6.5000000000000002E-2</v>
      </c>
      <c r="B36" s="20">
        <v>1513.814455741408</v>
      </c>
      <c r="C36" s="12">
        <v>1434.1400107023867</v>
      </c>
      <c r="D36" s="12">
        <v>1354.4655656633652</v>
      </c>
      <c r="E36" s="12">
        <v>1274.7911206243436</v>
      </c>
      <c r="F36" s="12">
        <v>1195.1166755853221</v>
      </c>
      <c r="G36" s="12">
        <v>1115.4422305463006</v>
      </c>
    </row>
    <row r="37" spans="1:8" x14ac:dyDescent="0.2">
      <c r="A37" s="30">
        <v>7.0000000000000007E-2</v>
      </c>
      <c r="B37" s="20">
        <v>1584.5989602907557</v>
      </c>
      <c r="C37" s="12">
        <v>1501.1990150122949</v>
      </c>
      <c r="D37" s="12">
        <v>1417.7990697338341</v>
      </c>
      <c r="E37" s="12">
        <v>1334.3991244553733</v>
      </c>
      <c r="F37" s="12">
        <v>1250.9991791769123</v>
      </c>
      <c r="G37" s="12">
        <v>1167.5992338984515</v>
      </c>
    </row>
    <row r="39" spans="1:8" x14ac:dyDescent="0.2">
      <c r="A39" s="13" t="s">
        <v>1021</v>
      </c>
    </row>
    <row r="40" spans="1:8" x14ac:dyDescent="0.2">
      <c r="A40" s="14" t="s">
        <v>1022</v>
      </c>
      <c r="B40" s="14">
        <f>COUNTIF(Merged[price_to_income_ratio], "&gt;" &amp; (B15/(1-B12)*B16))</f>
        <v>310</v>
      </c>
    </row>
    <row r="41" spans="1:8" x14ac:dyDescent="0.2">
      <c r="A41" s="14" t="s">
        <v>1023</v>
      </c>
      <c r="B41" s="14">
        <f>COUNT(Merged[price_to_income_ratio])</f>
        <v>316</v>
      </c>
    </row>
    <row r="42" spans="1:8" x14ac:dyDescent="0.2">
      <c r="A42" s="14" t="s">
        <v>1024</v>
      </c>
      <c r="B42" s="21">
        <f>MEDIAN(Merged[price_to_income_ratio])</f>
        <v>9.2100000000000009</v>
      </c>
    </row>
    <row r="44" spans="1:8" x14ac:dyDescent="0.2">
      <c r="A44" s="34" t="str">
        <f>"With a "&amp;TEXT(B12,"0%")&amp;" deposit and "&amp;TEXT(B16,"0.0")&amp;" median income(s), a median earner household cannot afford the median home in "&amp;B40&amp;" of "&amp;B41&amp;" districts."</f>
        <v>With a 10% deposit and 1.0 median income(s), a median earner household cannot afford the median home in 310 of 316 districts.</v>
      </c>
      <c r="B44" s="34"/>
      <c r="C44" s="34"/>
      <c r="D44" s="34"/>
      <c r="E44" s="34"/>
      <c r="F44" s="34"/>
      <c r="G44" s="34"/>
      <c r="H44" s="34"/>
    </row>
  </sheetData>
  <mergeCells count="1">
    <mergeCell ref="A44:H44"/>
  </mergeCells>
  <conditionalFormatting sqref="B29:G37">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B3" xr:uid="{D7DD74CE-EAB1-AB4A-A06D-979CBC11C584}">
      <formula1>DistrictList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F320AE3-5453-B14A-8C7B-DE5EF4197D90}">
          <x14:formula1>
            <xm:f>Lists!$A$2</xm:f>
          </x14:formula1>
          <xm:sqref>H2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65A9-00EF-FE49-B88F-95A0D13065BC}">
  <dimension ref="A1:A318"/>
  <sheetViews>
    <sheetView topLeftCell="A2" workbookViewId="0">
      <selection activeCell="B9" sqref="B9"/>
    </sheetView>
  </sheetViews>
  <sheetFormatPr baseColWidth="10" defaultRowHeight="16" x14ac:dyDescent="0.2"/>
  <cols>
    <col min="1" max="2" width="32.5" bestFit="1" customWidth="1"/>
  </cols>
  <sheetData>
    <row r="1" spans="1:1" x14ac:dyDescent="0.2">
      <c r="A1" t="s">
        <v>1017</v>
      </c>
    </row>
    <row r="2" spans="1:1" x14ac:dyDescent="0.2">
      <c r="A2" t="str" cm="1">
        <f t="array" ref="A2:A318">_xlfn._xlws.SORT(Merged[lad_name])</f>
        <v>Adur</v>
      </c>
    </row>
    <row r="3" spans="1:1" x14ac:dyDescent="0.2">
      <c r="A3" t="str">
        <v>Amber Valley</v>
      </c>
    </row>
    <row r="4" spans="1:1" x14ac:dyDescent="0.2">
      <c r="A4" t="str">
        <v>Arun</v>
      </c>
    </row>
    <row r="5" spans="1:1" x14ac:dyDescent="0.2">
      <c r="A5" t="str">
        <v>Ashfield</v>
      </c>
    </row>
    <row r="6" spans="1:1" x14ac:dyDescent="0.2">
      <c r="A6" t="str">
        <v>Ashford</v>
      </c>
    </row>
    <row r="7" spans="1:1" x14ac:dyDescent="0.2">
      <c r="A7" t="str">
        <v>Babergh</v>
      </c>
    </row>
    <row r="8" spans="1:1" x14ac:dyDescent="0.2">
      <c r="A8" t="str">
        <v>Barking and Dagenham</v>
      </c>
    </row>
    <row r="9" spans="1:1" x14ac:dyDescent="0.2">
      <c r="A9" t="str">
        <v>Barnet</v>
      </c>
    </row>
    <row r="10" spans="1:1" x14ac:dyDescent="0.2">
      <c r="A10" t="str">
        <v>Barnsley</v>
      </c>
    </row>
    <row r="11" spans="1:1" x14ac:dyDescent="0.2">
      <c r="A11" t="str">
        <v>Basildon</v>
      </c>
    </row>
    <row r="12" spans="1:1" x14ac:dyDescent="0.2">
      <c r="A12" t="str">
        <v>Basingstoke and Deane</v>
      </c>
    </row>
    <row r="13" spans="1:1" x14ac:dyDescent="0.2">
      <c r="A13" t="str">
        <v>Bassetlaw</v>
      </c>
    </row>
    <row r="14" spans="1:1" x14ac:dyDescent="0.2">
      <c r="A14" t="str">
        <v>Bath and North East Somerset</v>
      </c>
    </row>
    <row r="15" spans="1:1" x14ac:dyDescent="0.2">
      <c r="A15" t="str">
        <v>Bedford</v>
      </c>
    </row>
    <row r="16" spans="1:1" x14ac:dyDescent="0.2">
      <c r="A16" t="str">
        <v>Bexley</v>
      </c>
    </row>
    <row r="17" spans="1:1" x14ac:dyDescent="0.2">
      <c r="A17" t="str">
        <v>Birmingham</v>
      </c>
    </row>
    <row r="18" spans="1:1" x14ac:dyDescent="0.2">
      <c r="A18" t="str">
        <v>Blaby</v>
      </c>
    </row>
    <row r="19" spans="1:1" x14ac:dyDescent="0.2">
      <c r="A19" t="str">
        <v>Blackburn with Darwen</v>
      </c>
    </row>
    <row r="20" spans="1:1" x14ac:dyDescent="0.2">
      <c r="A20" t="str">
        <v>Blackpool</v>
      </c>
    </row>
    <row r="21" spans="1:1" x14ac:dyDescent="0.2">
      <c r="A21" t="str">
        <v>Blaenau Gwent</v>
      </c>
    </row>
    <row r="22" spans="1:1" x14ac:dyDescent="0.2">
      <c r="A22" t="str">
        <v>Bolsover</v>
      </c>
    </row>
    <row r="23" spans="1:1" x14ac:dyDescent="0.2">
      <c r="A23" t="str">
        <v>Bolton</v>
      </c>
    </row>
    <row r="24" spans="1:1" x14ac:dyDescent="0.2">
      <c r="A24" t="str">
        <v>Boston</v>
      </c>
    </row>
    <row r="25" spans="1:1" x14ac:dyDescent="0.2">
      <c r="A25" t="str">
        <v>Bournemouth, Christchurch and Poole</v>
      </c>
    </row>
    <row r="26" spans="1:1" x14ac:dyDescent="0.2">
      <c r="A26" t="str">
        <v>Bracknell Forest</v>
      </c>
    </row>
    <row r="27" spans="1:1" x14ac:dyDescent="0.2">
      <c r="A27" t="str">
        <v>Bradford</v>
      </c>
    </row>
    <row r="28" spans="1:1" x14ac:dyDescent="0.2">
      <c r="A28" t="str">
        <v>Braintree</v>
      </c>
    </row>
    <row r="29" spans="1:1" x14ac:dyDescent="0.2">
      <c r="A29" t="str">
        <v>Breckland</v>
      </c>
    </row>
    <row r="30" spans="1:1" x14ac:dyDescent="0.2">
      <c r="A30" t="str">
        <v>Brent</v>
      </c>
    </row>
    <row r="31" spans="1:1" x14ac:dyDescent="0.2">
      <c r="A31" t="str">
        <v>Brentwood</v>
      </c>
    </row>
    <row r="32" spans="1:1" x14ac:dyDescent="0.2">
      <c r="A32" t="str">
        <v>Bridgend</v>
      </c>
    </row>
    <row r="33" spans="1:1" x14ac:dyDescent="0.2">
      <c r="A33" t="str">
        <v>Brighton and Hove</v>
      </c>
    </row>
    <row r="34" spans="1:1" x14ac:dyDescent="0.2">
      <c r="A34" t="str">
        <v>Bristol, City of</v>
      </c>
    </row>
    <row r="35" spans="1:1" x14ac:dyDescent="0.2">
      <c r="A35" t="str">
        <v>Broadland</v>
      </c>
    </row>
    <row r="36" spans="1:1" x14ac:dyDescent="0.2">
      <c r="A36" t="str">
        <v>Bromley</v>
      </c>
    </row>
    <row r="37" spans="1:1" x14ac:dyDescent="0.2">
      <c r="A37" t="str">
        <v>Bromsgrove</v>
      </c>
    </row>
    <row r="38" spans="1:1" x14ac:dyDescent="0.2">
      <c r="A38" t="str">
        <v>Broxbourne</v>
      </c>
    </row>
    <row r="39" spans="1:1" x14ac:dyDescent="0.2">
      <c r="A39" t="str">
        <v>Broxtowe</v>
      </c>
    </row>
    <row r="40" spans="1:1" x14ac:dyDescent="0.2">
      <c r="A40" t="str">
        <v>Buckinghamshire</v>
      </c>
    </row>
    <row r="41" spans="1:1" x14ac:dyDescent="0.2">
      <c r="A41" t="str">
        <v>Burnley</v>
      </c>
    </row>
    <row r="42" spans="1:1" x14ac:dyDescent="0.2">
      <c r="A42" t="str">
        <v>Bury</v>
      </c>
    </row>
    <row r="43" spans="1:1" x14ac:dyDescent="0.2">
      <c r="A43" t="str">
        <v>Caerphilly</v>
      </c>
    </row>
    <row r="44" spans="1:1" x14ac:dyDescent="0.2">
      <c r="A44" t="str">
        <v>Calderdale</v>
      </c>
    </row>
    <row r="45" spans="1:1" x14ac:dyDescent="0.2">
      <c r="A45" t="str">
        <v>Cambridge</v>
      </c>
    </row>
    <row r="46" spans="1:1" x14ac:dyDescent="0.2">
      <c r="A46" t="str">
        <v>Camden</v>
      </c>
    </row>
    <row r="47" spans="1:1" x14ac:dyDescent="0.2">
      <c r="A47" t="str">
        <v>Cannock Chase</v>
      </c>
    </row>
    <row r="48" spans="1:1" x14ac:dyDescent="0.2">
      <c r="A48" t="str">
        <v>Canterbury</v>
      </c>
    </row>
    <row r="49" spans="1:1" x14ac:dyDescent="0.2">
      <c r="A49" t="str">
        <v>Cardiff</v>
      </c>
    </row>
    <row r="50" spans="1:1" x14ac:dyDescent="0.2">
      <c r="A50" t="str">
        <v>Carmarthenshire</v>
      </c>
    </row>
    <row r="51" spans="1:1" x14ac:dyDescent="0.2">
      <c r="A51" t="str">
        <v>Castle Point</v>
      </c>
    </row>
    <row r="52" spans="1:1" x14ac:dyDescent="0.2">
      <c r="A52" t="str">
        <v>Central Bedfordshire</v>
      </c>
    </row>
    <row r="53" spans="1:1" x14ac:dyDescent="0.2">
      <c r="A53" t="str">
        <v>Ceredigion</v>
      </c>
    </row>
    <row r="54" spans="1:1" x14ac:dyDescent="0.2">
      <c r="A54" t="str">
        <v>Charnwood</v>
      </c>
    </row>
    <row r="55" spans="1:1" x14ac:dyDescent="0.2">
      <c r="A55" t="str">
        <v>Chelmsford</v>
      </c>
    </row>
    <row r="56" spans="1:1" x14ac:dyDescent="0.2">
      <c r="A56" t="str">
        <v>Cheltenham</v>
      </c>
    </row>
    <row r="57" spans="1:1" x14ac:dyDescent="0.2">
      <c r="A57" t="str">
        <v>Cherwell</v>
      </c>
    </row>
    <row r="58" spans="1:1" x14ac:dyDescent="0.2">
      <c r="A58" t="str">
        <v>Cheshire East</v>
      </c>
    </row>
    <row r="59" spans="1:1" x14ac:dyDescent="0.2">
      <c r="A59" t="str">
        <v>Cheshire West and Chester</v>
      </c>
    </row>
    <row r="60" spans="1:1" x14ac:dyDescent="0.2">
      <c r="A60" t="str">
        <v>Chesterfield</v>
      </c>
    </row>
    <row r="61" spans="1:1" x14ac:dyDescent="0.2">
      <c r="A61" t="str">
        <v>Chichester</v>
      </c>
    </row>
    <row r="62" spans="1:1" x14ac:dyDescent="0.2">
      <c r="A62" t="str">
        <v>Chorley</v>
      </c>
    </row>
    <row r="63" spans="1:1" x14ac:dyDescent="0.2">
      <c r="A63" t="str">
        <v>City of London</v>
      </c>
    </row>
    <row r="64" spans="1:1" x14ac:dyDescent="0.2">
      <c r="A64" t="str">
        <v>Colchester</v>
      </c>
    </row>
    <row r="65" spans="1:1" x14ac:dyDescent="0.2">
      <c r="A65" t="str">
        <v>Conwy</v>
      </c>
    </row>
    <row r="66" spans="1:1" x14ac:dyDescent="0.2">
      <c r="A66" t="str">
        <v>Cornwall</v>
      </c>
    </row>
    <row r="67" spans="1:1" x14ac:dyDescent="0.2">
      <c r="A67" t="str">
        <v>Cotswold</v>
      </c>
    </row>
    <row r="68" spans="1:1" x14ac:dyDescent="0.2">
      <c r="A68" t="str">
        <v>County Durham</v>
      </c>
    </row>
    <row r="69" spans="1:1" x14ac:dyDescent="0.2">
      <c r="A69" t="str">
        <v>Coventry</v>
      </c>
    </row>
    <row r="70" spans="1:1" x14ac:dyDescent="0.2">
      <c r="A70" t="str">
        <v>Crawley</v>
      </c>
    </row>
    <row r="71" spans="1:1" x14ac:dyDescent="0.2">
      <c r="A71" t="str">
        <v>Croydon</v>
      </c>
    </row>
    <row r="72" spans="1:1" x14ac:dyDescent="0.2">
      <c r="A72" t="str">
        <v>Cumberland</v>
      </c>
    </row>
    <row r="73" spans="1:1" x14ac:dyDescent="0.2">
      <c r="A73" t="str">
        <v>Dacorum</v>
      </c>
    </row>
    <row r="74" spans="1:1" x14ac:dyDescent="0.2">
      <c r="A74" t="str">
        <v>Darlington</v>
      </c>
    </row>
    <row r="75" spans="1:1" x14ac:dyDescent="0.2">
      <c r="A75" t="str">
        <v>Dartford</v>
      </c>
    </row>
    <row r="76" spans="1:1" x14ac:dyDescent="0.2">
      <c r="A76" t="str">
        <v>Denbighshire</v>
      </c>
    </row>
    <row r="77" spans="1:1" x14ac:dyDescent="0.2">
      <c r="A77" t="str">
        <v>Derby</v>
      </c>
    </row>
    <row r="78" spans="1:1" x14ac:dyDescent="0.2">
      <c r="A78" t="str">
        <v>Derbyshire Dales</v>
      </c>
    </row>
    <row r="79" spans="1:1" x14ac:dyDescent="0.2">
      <c r="A79" t="str">
        <v>Doncaster</v>
      </c>
    </row>
    <row r="80" spans="1:1" x14ac:dyDescent="0.2">
      <c r="A80" t="str">
        <v>Dorset</v>
      </c>
    </row>
    <row r="81" spans="1:1" x14ac:dyDescent="0.2">
      <c r="A81" t="str">
        <v>Dover</v>
      </c>
    </row>
    <row r="82" spans="1:1" x14ac:dyDescent="0.2">
      <c r="A82" t="str">
        <v>Dudley</v>
      </c>
    </row>
    <row r="83" spans="1:1" x14ac:dyDescent="0.2">
      <c r="A83" t="str">
        <v>Ealing</v>
      </c>
    </row>
    <row r="84" spans="1:1" x14ac:dyDescent="0.2">
      <c r="A84" t="str">
        <v>East Cambridgeshire</v>
      </c>
    </row>
    <row r="85" spans="1:1" x14ac:dyDescent="0.2">
      <c r="A85" t="str">
        <v>East Devon</v>
      </c>
    </row>
    <row r="86" spans="1:1" x14ac:dyDescent="0.2">
      <c r="A86" t="str">
        <v>East Hampshire</v>
      </c>
    </row>
    <row r="87" spans="1:1" x14ac:dyDescent="0.2">
      <c r="A87" t="str">
        <v>East Hertfordshire</v>
      </c>
    </row>
    <row r="88" spans="1:1" x14ac:dyDescent="0.2">
      <c r="A88" t="str">
        <v>East Lindsey</v>
      </c>
    </row>
    <row r="89" spans="1:1" x14ac:dyDescent="0.2">
      <c r="A89" t="str">
        <v>East Riding of Yorkshire</v>
      </c>
    </row>
    <row r="90" spans="1:1" x14ac:dyDescent="0.2">
      <c r="A90" t="str">
        <v>East Staffordshire</v>
      </c>
    </row>
    <row r="91" spans="1:1" x14ac:dyDescent="0.2">
      <c r="A91" t="str">
        <v>East Suffolk</v>
      </c>
    </row>
    <row r="92" spans="1:1" x14ac:dyDescent="0.2">
      <c r="A92" t="str">
        <v>Eastbourne</v>
      </c>
    </row>
    <row r="93" spans="1:1" x14ac:dyDescent="0.2">
      <c r="A93" t="str">
        <v>Eastleigh</v>
      </c>
    </row>
    <row r="94" spans="1:1" x14ac:dyDescent="0.2">
      <c r="A94" t="str">
        <v>Elmbridge</v>
      </c>
    </row>
    <row r="95" spans="1:1" x14ac:dyDescent="0.2">
      <c r="A95" t="str">
        <v>Enfield</v>
      </c>
    </row>
    <row r="96" spans="1:1" x14ac:dyDescent="0.2">
      <c r="A96" t="str">
        <v>Epping Forest</v>
      </c>
    </row>
    <row r="97" spans="1:1" x14ac:dyDescent="0.2">
      <c r="A97" t="str">
        <v>Epsom and Ewell</v>
      </c>
    </row>
    <row r="98" spans="1:1" x14ac:dyDescent="0.2">
      <c r="A98" t="str">
        <v>Erewash</v>
      </c>
    </row>
    <row r="99" spans="1:1" x14ac:dyDescent="0.2">
      <c r="A99" t="str">
        <v>Exeter</v>
      </c>
    </row>
    <row r="100" spans="1:1" x14ac:dyDescent="0.2">
      <c r="A100" t="str">
        <v>Fareham</v>
      </c>
    </row>
    <row r="101" spans="1:1" x14ac:dyDescent="0.2">
      <c r="A101" t="str">
        <v>Fenland</v>
      </c>
    </row>
    <row r="102" spans="1:1" x14ac:dyDescent="0.2">
      <c r="A102" t="str">
        <v>Flintshire</v>
      </c>
    </row>
    <row r="103" spans="1:1" x14ac:dyDescent="0.2">
      <c r="A103" t="str">
        <v>Folkestone and Hythe</v>
      </c>
    </row>
    <row r="104" spans="1:1" x14ac:dyDescent="0.2">
      <c r="A104" t="str">
        <v>Forest of Dean</v>
      </c>
    </row>
    <row r="105" spans="1:1" x14ac:dyDescent="0.2">
      <c r="A105" t="str">
        <v>Fylde</v>
      </c>
    </row>
    <row r="106" spans="1:1" x14ac:dyDescent="0.2">
      <c r="A106" t="str">
        <v>Gateshead</v>
      </c>
    </row>
    <row r="107" spans="1:1" x14ac:dyDescent="0.2">
      <c r="A107" t="str">
        <v>Gedling</v>
      </c>
    </row>
    <row r="108" spans="1:1" x14ac:dyDescent="0.2">
      <c r="A108" t="str">
        <v>Gloucester</v>
      </c>
    </row>
    <row r="109" spans="1:1" x14ac:dyDescent="0.2">
      <c r="A109" t="str">
        <v>Gosport</v>
      </c>
    </row>
    <row r="110" spans="1:1" x14ac:dyDescent="0.2">
      <c r="A110" t="str">
        <v>Gravesham</v>
      </c>
    </row>
    <row r="111" spans="1:1" x14ac:dyDescent="0.2">
      <c r="A111" t="str">
        <v>Great Yarmouth</v>
      </c>
    </row>
    <row r="112" spans="1:1" x14ac:dyDescent="0.2">
      <c r="A112" t="str">
        <v>Greenwich</v>
      </c>
    </row>
    <row r="113" spans="1:1" x14ac:dyDescent="0.2">
      <c r="A113" t="str">
        <v>Guildford</v>
      </c>
    </row>
    <row r="114" spans="1:1" x14ac:dyDescent="0.2">
      <c r="A114" t="str">
        <v>Gwynedd</v>
      </c>
    </row>
    <row r="115" spans="1:1" x14ac:dyDescent="0.2">
      <c r="A115" t="str">
        <v>Hackney</v>
      </c>
    </row>
    <row r="116" spans="1:1" x14ac:dyDescent="0.2">
      <c r="A116" t="str">
        <v>Halton</v>
      </c>
    </row>
    <row r="117" spans="1:1" x14ac:dyDescent="0.2">
      <c r="A117" t="str">
        <v>Hammersmith and Fulham</v>
      </c>
    </row>
    <row r="118" spans="1:1" x14ac:dyDescent="0.2">
      <c r="A118" t="str">
        <v>Harborough</v>
      </c>
    </row>
    <row r="119" spans="1:1" x14ac:dyDescent="0.2">
      <c r="A119" t="str">
        <v>Haringey</v>
      </c>
    </row>
    <row r="120" spans="1:1" x14ac:dyDescent="0.2">
      <c r="A120" t="str">
        <v>Harlow</v>
      </c>
    </row>
    <row r="121" spans="1:1" x14ac:dyDescent="0.2">
      <c r="A121" t="str">
        <v>Harrow</v>
      </c>
    </row>
    <row r="122" spans="1:1" x14ac:dyDescent="0.2">
      <c r="A122" t="str">
        <v>Hart</v>
      </c>
    </row>
    <row r="123" spans="1:1" x14ac:dyDescent="0.2">
      <c r="A123" t="str">
        <v>Hartlepool</v>
      </c>
    </row>
    <row r="124" spans="1:1" x14ac:dyDescent="0.2">
      <c r="A124" t="str">
        <v>Hastings</v>
      </c>
    </row>
    <row r="125" spans="1:1" x14ac:dyDescent="0.2">
      <c r="A125" t="str">
        <v>Havant</v>
      </c>
    </row>
    <row r="126" spans="1:1" x14ac:dyDescent="0.2">
      <c r="A126" t="str">
        <v>Havering</v>
      </c>
    </row>
    <row r="127" spans="1:1" x14ac:dyDescent="0.2">
      <c r="A127" t="str">
        <v>Herefordshire, County of</v>
      </c>
    </row>
    <row r="128" spans="1:1" x14ac:dyDescent="0.2">
      <c r="A128" t="str">
        <v>Hertsmere</v>
      </c>
    </row>
    <row r="129" spans="1:1" x14ac:dyDescent="0.2">
      <c r="A129" t="str">
        <v>High Peak</v>
      </c>
    </row>
    <row r="130" spans="1:1" x14ac:dyDescent="0.2">
      <c r="A130" t="str">
        <v>Hillingdon</v>
      </c>
    </row>
    <row r="131" spans="1:1" x14ac:dyDescent="0.2">
      <c r="A131" t="str">
        <v>Hinckley and Bosworth</v>
      </c>
    </row>
    <row r="132" spans="1:1" x14ac:dyDescent="0.2">
      <c r="A132" t="str">
        <v>Horsham</v>
      </c>
    </row>
    <row r="133" spans="1:1" x14ac:dyDescent="0.2">
      <c r="A133" t="str">
        <v>Hounslow</v>
      </c>
    </row>
    <row r="134" spans="1:1" x14ac:dyDescent="0.2">
      <c r="A134" t="str">
        <v>Huntingdonshire</v>
      </c>
    </row>
    <row r="135" spans="1:1" x14ac:dyDescent="0.2">
      <c r="A135" t="str">
        <v>Hyndburn</v>
      </c>
    </row>
    <row r="136" spans="1:1" x14ac:dyDescent="0.2">
      <c r="A136" t="str">
        <v>Ipswich</v>
      </c>
    </row>
    <row r="137" spans="1:1" x14ac:dyDescent="0.2">
      <c r="A137" t="str">
        <v>Isle of Anglesey</v>
      </c>
    </row>
    <row r="138" spans="1:1" x14ac:dyDescent="0.2">
      <c r="A138" t="str">
        <v>Isle of Wight</v>
      </c>
    </row>
    <row r="139" spans="1:1" x14ac:dyDescent="0.2">
      <c r="A139" t="str">
        <v>Islington</v>
      </c>
    </row>
    <row r="140" spans="1:1" x14ac:dyDescent="0.2">
      <c r="A140" t="str">
        <v>Kensington and Chelsea</v>
      </c>
    </row>
    <row r="141" spans="1:1" x14ac:dyDescent="0.2">
      <c r="A141" t="str">
        <v>King's Lynn and West Norfolk</v>
      </c>
    </row>
    <row r="142" spans="1:1" x14ac:dyDescent="0.2">
      <c r="A142" t="str">
        <v>Kingston upon Hull, City of</v>
      </c>
    </row>
    <row r="143" spans="1:1" x14ac:dyDescent="0.2">
      <c r="A143" t="str">
        <v>Kingston upon Thames</v>
      </c>
    </row>
    <row r="144" spans="1:1" x14ac:dyDescent="0.2">
      <c r="A144" t="str">
        <v>Kirklees</v>
      </c>
    </row>
    <row r="145" spans="1:1" x14ac:dyDescent="0.2">
      <c r="A145" t="str">
        <v>Knowsley</v>
      </c>
    </row>
    <row r="146" spans="1:1" x14ac:dyDescent="0.2">
      <c r="A146" t="str">
        <v>Lambeth</v>
      </c>
    </row>
    <row r="147" spans="1:1" x14ac:dyDescent="0.2">
      <c r="A147" t="str">
        <v>Lancaster</v>
      </c>
    </row>
    <row r="148" spans="1:1" x14ac:dyDescent="0.2">
      <c r="A148" t="str">
        <v>Leeds</v>
      </c>
    </row>
    <row r="149" spans="1:1" x14ac:dyDescent="0.2">
      <c r="A149" t="str">
        <v>Leicester</v>
      </c>
    </row>
    <row r="150" spans="1:1" x14ac:dyDescent="0.2">
      <c r="A150" t="str">
        <v>Lewes</v>
      </c>
    </row>
    <row r="151" spans="1:1" x14ac:dyDescent="0.2">
      <c r="A151" t="str">
        <v>Lewisham</v>
      </c>
    </row>
    <row r="152" spans="1:1" x14ac:dyDescent="0.2">
      <c r="A152" t="str">
        <v>Lichfield</v>
      </c>
    </row>
    <row r="153" spans="1:1" x14ac:dyDescent="0.2">
      <c r="A153" t="str">
        <v>Lincoln</v>
      </c>
    </row>
    <row r="154" spans="1:1" x14ac:dyDescent="0.2">
      <c r="A154" t="str">
        <v>Liverpool</v>
      </c>
    </row>
    <row r="155" spans="1:1" x14ac:dyDescent="0.2">
      <c r="A155" t="str">
        <v>Luton</v>
      </c>
    </row>
    <row r="156" spans="1:1" x14ac:dyDescent="0.2">
      <c r="A156" t="str">
        <v>Maidstone</v>
      </c>
    </row>
    <row r="157" spans="1:1" x14ac:dyDescent="0.2">
      <c r="A157" t="str">
        <v>Maldon</v>
      </c>
    </row>
    <row r="158" spans="1:1" x14ac:dyDescent="0.2">
      <c r="A158" t="str">
        <v>Malvern Hills</v>
      </c>
    </row>
    <row r="159" spans="1:1" x14ac:dyDescent="0.2">
      <c r="A159" t="str">
        <v>Manchester</v>
      </c>
    </row>
    <row r="160" spans="1:1" x14ac:dyDescent="0.2">
      <c r="A160" t="str">
        <v>Mansfield</v>
      </c>
    </row>
    <row r="161" spans="1:1" x14ac:dyDescent="0.2">
      <c r="A161" t="str">
        <v>Medway</v>
      </c>
    </row>
    <row r="162" spans="1:1" x14ac:dyDescent="0.2">
      <c r="A162" t="str">
        <v>Melton</v>
      </c>
    </row>
    <row r="163" spans="1:1" x14ac:dyDescent="0.2">
      <c r="A163" t="str">
        <v>Merthyr Tydfil</v>
      </c>
    </row>
    <row r="164" spans="1:1" x14ac:dyDescent="0.2">
      <c r="A164" t="str">
        <v>Merton</v>
      </c>
    </row>
    <row r="165" spans="1:1" x14ac:dyDescent="0.2">
      <c r="A165" t="str">
        <v>Mid Devon</v>
      </c>
    </row>
    <row r="166" spans="1:1" x14ac:dyDescent="0.2">
      <c r="A166" t="str">
        <v>Mid Suffolk</v>
      </c>
    </row>
    <row r="167" spans="1:1" x14ac:dyDescent="0.2">
      <c r="A167" t="str">
        <v>Mid Sussex</v>
      </c>
    </row>
    <row r="168" spans="1:1" x14ac:dyDescent="0.2">
      <c r="A168" t="str">
        <v>Middlesbrough</v>
      </c>
    </row>
    <row r="169" spans="1:1" x14ac:dyDescent="0.2">
      <c r="A169" t="str">
        <v>Milton Keynes</v>
      </c>
    </row>
    <row r="170" spans="1:1" x14ac:dyDescent="0.2">
      <c r="A170" t="str">
        <v>Mole Valley</v>
      </c>
    </row>
    <row r="171" spans="1:1" x14ac:dyDescent="0.2">
      <c r="A171" t="str">
        <v>Monmouthshire</v>
      </c>
    </row>
    <row r="172" spans="1:1" x14ac:dyDescent="0.2">
      <c r="A172" t="str">
        <v>Neath Port Talbot</v>
      </c>
    </row>
    <row r="173" spans="1:1" x14ac:dyDescent="0.2">
      <c r="A173" t="str">
        <v>New Forest</v>
      </c>
    </row>
    <row r="174" spans="1:1" x14ac:dyDescent="0.2">
      <c r="A174" t="str">
        <v>Newark and Sherwood</v>
      </c>
    </row>
    <row r="175" spans="1:1" x14ac:dyDescent="0.2">
      <c r="A175" t="str">
        <v>Newcastle upon Tyne</v>
      </c>
    </row>
    <row r="176" spans="1:1" x14ac:dyDescent="0.2">
      <c r="A176" t="str">
        <v>Newcastle-under-Lyme</v>
      </c>
    </row>
    <row r="177" spans="1:1" x14ac:dyDescent="0.2">
      <c r="A177" t="str">
        <v>Newham</v>
      </c>
    </row>
    <row r="178" spans="1:1" x14ac:dyDescent="0.2">
      <c r="A178" t="str">
        <v>Newport</v>
      </c>
    </row>
    <row r="179" spans="1:1" x14ac:dyDescent="0.2">
      <c r="A179" t="str">
        <v>North Devon</v>
      </c>
    </row>
    <row r="180" spans="1:1" x14ac:dyDescent="0.2">
      <c r="A180" t="str">
        <v>North East Derbyshire</v>
      </c>
    </row>
    <row r="181" spans="1:1" x14ac:dyDescent="0.2">
      <c r="A181" t="str">
        <v>North East Lincolnshire</v>
      </c>
    </row>
    <row r="182" spans="1:1" x14ac:dyDescent="0.2">
      <c r="A182" t="str">
        <v>North Hertfordshire</v>
      </c>
    </row>
    <row r="183" spans="1:1" x14ac:dyDescent="0.2">
      <c r="A183" t="str">
        <v>North Kesteven</v>
      </c>
    </row>
    <row r="184" spans="1:1" x14ac:dyDescent="0.2">
      <c r="A184" t="str">
        <v>North Lincolnshire</v>
      </c>
    </row>
    <row r="185" spans="1:1" x14ac:dyDescent="0.2">
      <c r="A185" t="str">
        <v>North Norfolk</v>
      </c>
    </row>
    <row r="186" spans="1:1" x14ac:dyDescent="0.2">
      <c r="A186" t="str">
        <v>North Northamptonshire</v>
      </c>
    </row>
    <row r="187" spans="1:1" x14ac:dyDescent="0.2">
      <c r="A187" t="str">
        <v>North Somerset</v>
      </c>
    </row>
    <row r="188" spans="1:1" x14ac:dyDescent="0.2">
      <c r="A188" t="str">
        <v>North Tyneside</v>
      </c>
    </row>
    <row r="189" spans="1:1" x14ac:dyDescent="0.2">
      <c r="A189" t="str">
        <v>North Warwickshire</v>
      </c>
    </row>
    <row r="190" spans="1:1" x14ac:dyDescent="0.2">
      <c r="A190" t="str">
        <v>North West Leicestershire</v>
      </c>
    </row>
    <row r="191" spans="1:1" x14ac:dyDescent="0.2">
      <c r="A191" t="str">
        <v>North Yorkshire</v>
      </c>
    </row>
    <row r="192" spans="1:1" x14ac:dyDescent="0.2">
      <c r="A192" t="str">
        <v>Northumberland</v>
      </c>
    </row>
    <row r="193" spans="1:1" x14ac:dyDescent="0.2">
      <c r="A193" t="str">
        <v>Norwich</v>
      </c>
    </row>
    <row r="194" spans="1:1" x14ac:dyDescent="0.2">
      <c r="A194" t="str">
        <v>Nottingham</v>
      </c>
    </row>
    <row r="195" spans="1:1" x14ac:dyDescent="0.2">
      <c r="A195" t="str">
        <v>Nuneaton and Bedworth</v>
      </c>
    </row>
    <row r="196" spans="1:1" x14ac:dyDescent="0.2">
      <c r="A196" t="str">
        <v>Oadby and Wigston</v>
      </c>
    </row>
    <row r="197" spans="1:1" x14ac:dyDescent="0.2">
      <c r="A197" t="str">
        <v>Oldham</v>
      </c>
    </row>
    <row r="198" spans="1:1" x14ac:dyDescent="0.2">
      <c r="A198" t="str">
        <v>Oxford</v>
      </c>
    </row>
    <row r="199" spans="1:1" x14ac:dyDescent="0.2">
      <c r="A199" t="str">
        <v>Pembrokeshire</v>
      </c>
    </row>
    <row r="200" spans="1:1" x14ac:dyDescent="0.2">
      <c r="A200" t="str">
        <v>Pendle</v>
      </c>
    </row>
    <row r="201" spans="1:1" x14ac:dyDescent="0.2">
      <c r="A201" t="str">
        <v>Peterborough</v>
      </c>
    </row>
    <row r="202" spans="1:1" x14ac:dyDescent="0.2">
      <c r="A202" t="str">
        <v>Plymouth</v>
      </c>
    </row>
    <row r="203" spans="1:1" x14ac:dyDescent="0.2">
      <c r="A203" t="str">
        <v>Portsmouth</v>
      </c>
    </row>
    <row r="204" spans="1:1" x14ac:dyDescent="0.2">
      <c r="A204" t="str">
        <v>Powys</v>
      </c>
    </row>
    <row r="205" spans="1:1" x14ac:dyDescent="0.2">
      <c r="A205" t="str">
        <v>Preston</v>
      </c>
    </row>
    <row r="206" spans="1:1" x14ac:dyDescent="0.2">
      <c r="A206" t="str">
        <v>Reading</v>
      </c>
    </row>
    <row r="207" spans="1:1" x14ac:dyDescent="0.2">
      <c r="A207" t="str">
        <v>Redbridge</v>
      </c>
    </row>
    <row r="208" spans="1:1" x14ac:dyDescent="0.2">
      <c r="A208" t="str">
        <v>Redcar and Cleveland</v>
      </c>
    </row>
    <row r="209" spans="1:1" x14ac:dyDescent="0.2">
      <c r="A209" t="str">
        <v>Redditch</v>
      </c>
    </row>
    <row r="210" spans="1:1" x14ac:dyDescent="0.2">
      <c r="A210" t="str">
        <v>Reigate and Banstead</v>
      </c>
    </row>
    <row r="211" spans="1:1" x14ac:dyDescent="0.2">
      <c r="A211" t="str">
        <v>Rhondda Cynon Taf</v>
      </c>
    </row>
    <row r="212" spans="1:1" x14ac:dyDescent="0.2">
      <c r="A212" t="str">
        <v>Ribble Valley</v>
      </c>
    </row>
    <row r="213" spans="1:1" x14ac:dyDescent="0.2">
      <c r="A213" t="str">
        <v>Richmond upon Thames</v>
      </c>
    </row>
    <row r="214" spans="1:1" x14ac:dyDescent="0.2">
      <c r="A214" t="str">
        <v>Rochdale</v>
      </c>
    </row>
    <row r="215" spans="1:1" x14ac:dyDescent="0.2">
      <c r="A215" t="str">
        <v>Rochford</v>
      </c>
    </row>
    <row r="216" spans="1:1" x14ac:dyDescent="0.2">
      <c r="A216" t="str">
        <v>Rossendale</v>
      </c>
    </row>
    <row r="217" spans="1:1" x14ac:dyDescent="0.2">
      <c r="A217" t="str">
        <v>Rother</v>
      </c>
    </row>
    <row r="218" spans="1:1" x14ac:dyDescent="0.2">
      <c r="A218" t="str">
        <v>Rotherham</v>
      </c>
    </row>
    <row r="219" spans="1:1" x14ac:dyDescent="0.2">
      <c r="A219" t="str">
        <v>Rugby</v>
      </c>
    </row>
    <row r="220" spans="1:1" x14ac:dyDescent="0.2">
      <c r="A220" t="str">
        <v>Runnymede</v>
      </c>
    </row>
    <row r="221" spans="1:1" x14ac:dyDescent="0.2">
      <c r="A221" t="str">
        <v>Rushcliffe</v>
      </c>
    </row>
    <row r="222" spans="1:1" x14ac:dyDescent="0.2">
      <c r="A222" t="str">
        <v>Rushmoor</v>
      </c>
    </row>
    <row r="223" spans="1:1" x14ac:dyDescent="0.2">
      <c r="A223" t="str">
        <v>Rutland</v>
      </c>
    </row>
    <row r="224" spans="1:1" x14ac:dyDescent="0.2">
      <c r="A224" t="str">
        <v>Salford</v>
      </c>
    </row>
    <row r="225" spans="1:1" x14ac:dyDescent="0.2">
      <c r="A225" t="str">
        <v>Sandwell</v>
      </c>
    </row>
    <row r="226" spans="1:1" x14ac:dyDescent="0.2">
      <c r="A226" t="str">
        <v>Sefton</v>
      </c>
    </row>
    <row r="227" spans="1:1" x14ac:dyDescent="0.2">
      <c r="A227" t="str">
        <v>Sevenoaks</v>
      </c>
    </row>
    <row r="228" spans="1:1" x14ac:dyDescent="0.2">
      <c r="A228" t="str">
        <v>Sheffield</v>
      </c>
    </row>
    <row r="229" spans="1:1" x14ac:dyDescent="0.2">
      <c r="A229" t="str">
        <v>Shropshire</v>
      </c>
    </row>
    <row r="230" spans="1:1" x14ac:dyDescent="0.2">
      <c r="A230" t="str">
        <v>Slough</v>
      </c>
    </row>
    <row r="231" spans="1:1" x14ac:dyDescent="0.2">
      <c r="A231" t="str">
        <v>Solihull</v>
      </c>
    </row>
    <row r="232" spans="1:1" x14ac:dyDescent="0.2">
      <c r="A232" t="str">
        <v>Somerset</v>
      </c>
    </row>
    <row r="233" spans="1:1" x14ac:dyDescent="0.2">
      <c r="A233" t="str">
        <v>South Cambridgeshire</v>
      </c>
    </row>
    <row r="234" spans="1:1" x14ac:dyDescent="0.2">
      <c r="A234" t="str">
        <v>South Derbyshire</v>
      </c>
    </row>
    <row r="235" spans="1:1" x14ac:dyDescent="0.2">
      <c r="A235" t="str">
        <v>South Gloucestershire</v>
      </c>
    </row>
    <row r="236" spans="1:1" x14ac:dyDescent="0.2">
      <c r="A236" t="str">
        <v>South Hams</v>
      </c>
    </row>
    <row r="237" spans="1:1" x14ac:dyDescent="0.2">
      <c r="A237" t="str">
        <v>South Holland</v>
      </c>
    </row>
    <row r="238" spans="1:1" x14ac:dyDescent="0.2">
      <c r="A238" t="str">
        <v>South Kesteven</v>
      </c>
    </row>
    <row r="239" spans="1:1" x14ac:dyDescent="0.2">
      <c r="A239" t="str">
        <v>South Norfolk</v>
      </c>
    </row>
    <row r="240" spans="1:1" x14ac:dyDescent="0.2">
      <c r="A240" t="str">
        <v>South Oxfordshire</v>
      </c>
    </row>
    <row r="241" spans="1:1" x14ac:dyDescent="0.2">
      <c r="A241" t="str">
        <v>South Ribble</v>
      </c>
    </row>
    <row r="242" spans="1:1" x14ac:dyDescent="0.2">
      <c r="A242" t="str">
        <v>South Staffordshire</v>
      </c>
    </row>
    <row r="243" spans="1:1" x14ac:dyDescent="0.2">
      <c r="A243" t="str">
        <v>South Tyneside</v>
      </c>
    </row>
    <row r="244" spans="1:1" x14ac:dyDescent="0.2">
      <c r="A244" t="str">
        <v>Southampton</v>
      </c>
    </row>
    <row r="245" spans="1:1" x14ac:dyDescent="0.2">
      <c r="A245" t="str">
        <v>Southend-on-Sea</v>
      </c>
    </row>
    <row r="246" spans="1:1" x14ac:dyDescent="0.2">
      <c r="A246" t="str">
        <v>Southwark</v>
      </c>
    </row>
    <row r="247" spans="1:1" x14ac:dyDescent="0.2">
      <c r="A247" t="str">
        <v>Spelthorne</v>
      </c>
    </row>
    <row r="248" spans="1:1" x14ac:dyDescent="0.2">
      <c r="A248" t="str">
        <v>St Albans</v>
      </c>
    </row>
    <row r="249" spans="1:1" x14ac:dyDescent="0.2">
      <c r="A249" t="str">
        <v>St. Helens</v>
      </c>
    </row>
    <row r="250" spans="1:1" x14ac:dyDescent="0.2">
      <c r="A250" t="str">
        <v>Stafford</v>
      </c>
    </row>
    <row r="251" spans="1:1" x14ac:dyDescent="0.2">
      <c r="A251" t="str">
        <v>Staffordshire Moorlands</v>
      </c>
    </row>
    <row r="252" spans="1:1" x14ac:dyDescent="0.2">
      <c r="A252" t="str">
        <v>Stevenage</v>
      </c>
    </row>
    <row r="253" spans="1:1" x14ac:dyDescent="0.2">
      <c r="A253" t="str">
        <v>Stockport</v>
      </c>
    </row>
    <row r="254" spans="1:1" x14ac:dyDescent="0.2">
      <c r="A254" t="str">
        <v>Stockton-on-Tees</v>
      </c>
    </row>
    <row r="255" spans="1:1" x14ac:dyDescent="0.2">
      <c r="A255" t="str">
        <v>Stoke-on-Trent</v>
      </c>
    </row>
    <row r="256" spans="1:1" x14ac:dyDescent="0.2">
      <c r="A256" t="str">
        <v>Stratford-on-Avon</v>
      </c>
    </row>
    <row r="257" spans="1:1" x14ac:dyDescent="0.2">
      <c r="A257" t="str">
        <v>Stroud</v>
      </c>
    </row>
    <row r="258" spans="1:1" x14ac:dyDescent="0.2">
      <c r="A258" t="str">
        <v>Sunderland</v>
      </c>
    </row>
    <row r="259" spans="1:1" x14ac:dyDescent="0.2">
      <c r="A259" t="str">
        <v>Surrey Heath</v>
      </c>
    </row>
    <row r="260" spans="1:1" x14ac:dyDescent="0.2">
      <c r="A260" t="str">
        <v>Sutton</v>
      </c>
    </row>
    <row r="261" spans="1:1" x14ac:dyDescent="0.2">
      <c r="A261" t="str">
        <v>Swale</v>
      </c>
    </row>
    <row r="262" spans="1:1" x14ac:dyDescent="0.2">
      <c r="A262" t="str">
        <v>Swansea</v>
      </c>
    </row>
    <row r="263" spans="1:1" x14ac:dyDescent="0.2">
      <c r="A263" t="str">
        <v>Swindon</v>
      </c>
    </row>
    <row r="264" spans="1:1" x14ac:dyDescent="0.2">
      <c r="A264" t="str">
        <v>Tameside</v>
      </c>
    </row>
    <row r="265" spans="1:1" x14ac:dyDescent="0.2">
      <c r="A265" t="str">
        <v>Tamworth</v>
      </c>
    </row>
    <row r="266" spans="1:1" x14ac:dyDescent="0.2">
      <c r="A266" t="str">
        <v>Tandridge</v>
      </c>
    </row>
    <row r="267" spans="1:1" x14ac:dyDescent="0.2">
      <c r="A267" t="str">
        <v>Teignbridge</v>
      </c>
    </row>
    <row r="268" spans="1:1" x14ac:dyDescent="0.2">
      <c r="A268" t="str">
        <v>Telford and Wrekin</v>
      </c>
    </row>
    <row r="269" spans="1:1" x14ac:dyDescent="0.2">
      <c r="A269" t="str">
        <v>Tendring</v>
      </c>
    </row>
    <row r="270" spans="1:1" x14ac:dyDescent="0.2">
      <c r="A270" t="str">
        <v>Test Valley</v>
      </c>
    </row>
    <row r="271" spans="1:1" x14ac:dyDescent="0.2">
      <c r="A271" t="str">
        <v>Tewkesbury</v>
      </c>
    </row>
    <row r="272" spans="1:1" x14ac:dyDescent="0.2">
      <c r="A272" t="str">
        <v>Thanet</v>
      </c>
    </row>
    <row r="273" spans="1:1" x14ac:dyDescent="0.2">
      <c r="A273" t="str">
        <v>Three Rivers</v>
      </c>
    </row>
    <row r="274" spans="1:1" x14ac:dyDescent="0.2">
      <c r="A274" t="str">
        <v>Thurrock</v>
      </c>
    </row>
    <row r="275" spans="1:1" x14ac:dyDescent="0.2">
      <c r="A275" t="str">
        <v>Tonbridge and Malling</v>
      </c>
    </row>
    <row r="276" spans="1:1" x14ac:dyDescent="0.2">
      <c r="A276" t="str">
        <v>Torbay</v>
      </c>
    </row>
    <row r="277" spans="1:1" x14ac:dyDescent="0.2">
      <c r="A277" t="str">
        <v>Torfaen</v>
      </c>
    </row>
    <row r="278" spans="1:1" x14ac:dyDescent="0.2">
      <c r="A278" t="str">
        <v>Torridge</v>
      </c>
    </row>
    <row r="279" spans="1:1" x14ac:dyDescent="0.2">
      <c r="A279" t="str">
        <v>Tower Hamlets</v>
      </c>
    </row>
    <row r="280" spans="1:1" x14ac:dyDescent="0.2">
      <c r="A280" t="str">
        <v>Trafford</v>
      </c>
    </row>
    <row r="281" spans="1:1" x14ac:dyDescent="0.2">
      <c r="A281" t="str">
        <v>Tunbridge Wells</v>
      </c>
    </row>
    <row r="282" spans="1:1" x14ac:dyDescent="0.2">
      <c r="A282" t="str">
        <v>Uttlesford</v>
      </c>
    </row>
    <row r="283" spans="1:1" x14ac:dyDescent="0.2">
      <c r="A283" t="str">
        <v>Vale of Glamorgan</v>
      </c>
    </row>
    <row r="284" spans="1:1" x14ac:dyDescent="0.2">
      <c r="A284" t="str">
        <v>Vale of White Horse</v>
      </c>
    </row>
    <row r="285" spans="1:1" x14ac:dyDescent="0.2">
      <c r="A285" t="str">
        <v>Wakefield</v>
      </c>
    </row>
    <row r="286" spans="1:1" x14ac:dyDescent="0.2">
      <c r="A286" t="str">
        <v>Walsall</v>
      </c>
    </row>
    <row r="287" spans="1:1" x14ac:dyDescent="0.2">
      <c r="A287" t="str">
        <v>Waltham Forest</v>
      </c>
    </row>
    <row r="288" spans="1:1" x14ac:dyDescent="0.2">
      <c r="A288" t="str">
        <v>Wandsworth</v>
      </c>
    </row>
    <row r="289" spans="1:1" x14ac:dyDescent="0.2">
      <c r="A289" t="str">
        <v>Warrington</v>
      </c>
    </row>
    <row r="290" spans="1:1" x14ac:dyDescent="0.2">
      <c r="A290" t="str">
        <v>Warwick</v>
      </c>
    </row>
    <row r="291" spans="1:1" x14ac:dyDescent="0.2">
      <c r="A291" t="str">
        <v>Watford</v>
      </c>
    </row>
    <row r="292" spans="1:1" x14ac:dyDescent="0.2">
      <c r="A292" t="str">
        <v>Waverley</v>
      </c>
    </row>
    <row r="293" spans="1:1" x14ac:dyDescent="0.2">
      <c r="A293" t="str">
        <v>Wealden</v>
      </c>
    </row>
    <row r="294" spans="1:1" x14ac:dyDescent="0.2">
      <c r="A294" t="str">
        <v>Welwyn Hatfield</v>
      </c>
    </row>
    <row r="295" spans="1:1" x14ac:dyDescent="0.2">
      <c r="A295" t="str">
        <v>West Berkshire</v>
      </c>
    </row>
    <row r="296" spans="1:1" x14ac:dyDescent="0.2">
      <c r="A296" t="str">
        <v>West Devon</v>
      </c>
    </row>
    <row r="297" spans="1:1" x14ac:dyDescent="0.2">
      <c r="A297" t="str">
        <v>West Lancashire</v>
      </c>
    </row>
    <row r="298" spans="1:1" x14ac:dyDescent="0.2">
      <c r="A298" t="str">
        <v>West Lindsey</v>
      </c>
    </row>
    <row r="299" spans="1:1" x14ac:dyDescent="0.2">
      <c r="A299" t="str">
        <v>West Northamptonshire</v>
      </c>
    </row>
    <row r="300" spans="1:1" x14ac:dyDescent="0.2">
      <c r="A300" t="str">
        <v>West Oxfordshire</v>
      </c>
    </row>
    <row r="301" spans="1:1" x14ac:dyDescent="0.2">
      <c r="A301" t="str">
        <v>West Suffolk</v>
      </c>
    </row>
    <row r="302" spans="1:1" x14ac:dyDescent="0.2">
      <c r="A302" t="str">
        <v>Westminster</v>
      </c>
    </row>
    <row r="303" spans="1:1" x14ac:dyDescent="0.2">
      <c r="A303" t="str">
        <v>Westmorland and Furness</v>
      </c>
    </row>
    <row r="304" spans="1:1" x14ac:dyDescent="0.2">
      <c r="A304" t="str">
        <v>Wigan</v>
      </c>
    </row>
    <row r="305" spans="1:1" x14ac:dyDescent="0.2">
      <c r="A305" t="str">
        <v>Wiltshire</v>
      </c>
    </row>
    <row r="306" spans="1:1" x14ac:dyDescent="0.2">
      <c r="A306" t="str">
        <v>Winchester</v>
      </c>
    </row>
    <row r="307" spans="1:1" x14ac:dyDescent="0.2">
      <c r="A307" t="str">
        <v>Windsor and Maidenhead</v>
      </c>
    </row>
    <row r="308" spans="1:1" x14ac:dyDescent="0.2">
      <c r="A308" t="str">
        <v>Wirral</v>
      </c>
    </row>
    <row r="309" spans="1:1" x14ac:dyDescent="0.2">
      <c r="A309" t="str">
        <v>Woking</v>
      </c>
    </row>
    <row r="310" spans="1:1" x14ac:dyDescent="0.2">
      <c r="A310" t="str">
        <v>Wokingham</v>
      </c>
    </row>
    <row r="311" spans="1:1" x14ac:dyDescent="0.2">
      <c r="A311" t="str">
        <v>Wolverhampton</v>
      </c>
    </row>
    <row r="312" spans="1:1" x14ac:dyDescent="0.2">
      <c r="A312" t="str">
        <v>Worcester</v>
      </c>
    </row>
    <row r="313" spans="1:1" x14ac:dyDescent="0.2">
      <c r="A313" t="str">
        <v>Worthing</v>
      </c>
    </row>
    <row r="314" spans="1:1" x14ac:dyDescent="0.2">
      <c r="A314" t="str">
        <v>Wrexham</v>
      </c>
    </row>
    <row r="315" spans="1:1" x14ac:dyDescent="0.2">
      <c r="A315" t="str">
        <v>Wychavon</v>
      </c>
    </row>
    <row r="316" spans="1:1" x14ac:dyDescent="0.2">
      <c r="A316" t="str">
        <v>Wyre</v>
      </c>
    </row>
    <row r="317" spans="1:1" x14ac:dyDescent="0.2">
      <c r="A317" t="str">
        <v>Wyre Forest</v>
      </c>
    </row>
    <row r="318" spans="1:1" x14ac:dyDescent="0.2">
      <c r="A318" t="str">
        <v>York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DF83-27E9-2744-9CAC-1210BD16ACA5}">
  <dimension ref="A2:L37"/>
  <sheetViews>
    <sheetView showGridLines="0" zoomScale="90" zoomScaleNormal="90" workbookViewId="0">
      <selection activeCell="U39" sqref="U39"/>
    </sheetView>
  </sheetViews>
  <sheetFormatPr baseColWidth="10" defaultRowHeight="16" x14ac:dyDescent="0.2"/>
  <cols>
    <col min="1" max="1" width="16.33203125" customWidth="1"/>
    <col min="2" max="2" width="16.83203125" bestFit="1" customWidth="1"/>
    <col min="3" max="3" width="14.1640625" bestFit="1" customWidth="1"/>
    <col min="4" max="4" width="9.6640625" bestFit="1" customWidth="1"/>
    <col min="5" max="5" width="10.33203125" bestFit="1" customWidth="1"/>
    <col min="6" max="6" width="11.1640625" bestFit="1" customWidth="1"/>
    <col min="7" max="7" width="10.5" bestFit="1" customWidth="1"/>
    <col min="8" max="8" width="11.33203125" bestFit="1" customWidth="1"/>
    <col min="9" max="9" width="9.6640625" bestFit="1" customWidth="1"/>
    <col min="10" max="10" width="13.83203125" bestFit="1" customWidth="1"/>
    <col min="11" max="11" width="24.5" bestFit="1" customWidth="1"/>
    <col min="12" max="12" width="11.1640625" bestFit="1" customWidth="1"/>
  </cols>
  <sheetData>
    <row r="2" spans="1:12" ht="34" x14ac:dyDescent="0.2">
      <c r="A2" s="8" t="s">
        <v>997</v>
      </c>
      <c r="B2" s="4" t="s">
        <v>996</v>
      </c>
      <c r="C2" s="5"/>
      <c r="D2" s="5"/>
      <c r="E2" s="5"/>
      <c r="F2" s="5"/>
      <c r="G2" s="5"/>
      <c r="H2" s="5"/>
      <c r="I2" s="5"/>
      <c r="J2" s="5"/>
      <c r="K2" s="5"/>
      <c r="L2" s="5"/>
    </row>
    <row r="3" spans="1:12" ht="26" customHeight="1" x14ac:dyDescent="0.2">
      <c r="A3" s="9" t="s">
        <v>994</v>
      </c>
      <c r="B3" s="10" t="s">
        <v>10</v>
      </c>
      <c r="C3" s="10" t="s">
        <v>15</v>
      </c>
      <c r="D3" s="10" t="s">
        <v>16</v>
      </c>
      <c r="E3" s="10" t="s">
        <v>17</v>
      </c>
      <c r="F3" s="10" t="s">
        <v>18</v>
      </c>
      <c r="G3" s="10" t="s">
        <v>19</v>
      </c>
      <c r="H3" s="10" t="s">
        <v>20</v>
      </c>
      <c r="I3" s="10" t="s">
        <v>21</v>
      </c>
      <c r="J3" s="10" t="s">
        <v>22</v>
      </c>
      <c r="K3" s="10" t="s">
        <v>23</v>
      </c>
      <c r="L3" s="10" t="s">
        <v>995</v>
      </c>
    </row>
    <row r="4" spans="1:12" ht="26" customHeight="1" x14ac:dyDescent="0.2">
      <c r="A4" s="6">
        <v>1995</v>
      </c>
      <c r="B4" s="7">
        <v>70000</v>
      </c>
      <c r="C4" s="7">
        <v>87000</v>
      </c>
      <c r="D4" s="7">
        <v>156000</v>
      </c>
      <c r="E4" s="7">
        <v>76950</v>
      </c>
      <c r="F4" s="7">
        <v>82500</v>
      </c>
      <c r="G4" s="7">
        <v>115000</v>
      </c>
      <c r="H4" s="7">
        <v>84995</v>
      </c>
      <c r="I4" s="7">
        <v>69000</v>
      </c>
      <c r="J4" s="7">
        <v>84500</v>
      </c>
      <c r="K4" s="7">
        <v>78500</v>
      </c>
      <c r="L4" s="7">
        <v>90444.5</v>
      </c>
    </row>
    <row r="5" spans="1:12" ht="26" customHeight="1" x14ac:dyDescent="0.2">
      <c r="A5" s="6">
        <v>1996</v>
      </c>
      <c r="B5" s="7">
        <v>72500</v>
      </c>
      <c r="C5" s="7">
        <v>89000</v>
      </c>
      <c r="D5" s="7">
        <v>165000</v>
      </c>
      <c r="E5" s="7">
        <v>78500</v>
      </c>
      <c r="F5" s="7">
        <v>84500</v>
      </c>
      <c r="G5" s="7">
        <v>118700</v>
      </c>
      <c r="H5" s="7">
        <v>87000</v>
      </c>
      <c r="I5" s="7">
        <v>70500</v>
      </c>
      <c r="J5" s="7">
        <v>86000</v>
      </c>
      <c r="K5" s="7">
        <v>80000</v>
      </c>
      <c r="L5" s="7">
        <v>93170</v>
      </c>
    </row>
    <row r="6" spans="1:12" ht="26" customHeight="1" x14ac:dyDescent="0.2">
      <c r="A6" s="6">
        <v>1997</v>
      </c>
      <c r="B6" s="7">
        <v>77000</v>
      </c>
      <c r="C6" s="7">
        <v>97000</v>
      </c>
      <c r="D6" s="7">
        <v>187500</v>
      </c>
      <c r="E6" s="7">
        <v>82000</v>
      </c>
      <c r="F6" s="7">
        <v>89000</v>
      </c>
      <c r="G6" s="7">
        <v>131000</v>
      </c>
      <c r="H6" s="7">
        <v>95000</v>
      </c>
      <c r="I6" s="7">
        <v>75000</v>
      </c>
      <c r="J6" s="7">
        <v>92000</v>
      </c>
      <c r="K6" s="7">
        <v>83000</v>
      </c>
      <c r="L6" s="7">
        <v>100850</v>
      </c>
    </row>
    <row r="7" spans="1:12" ht="26" customHeight="1" x14ac:dyDescent="0.2">
      <c r="A7" s="6">
        <v>1998</v>
      </c>
      <c r="B7" s="7">
        <v>81950</v>
      </c>
      <c r="C7" s="7">
        <v>110000</v>
      </c>
      <c r="D7" s="7">
        <v>218000</v>
      </c>
      <c r="E7" s="7">
        <v>83995</v>
      </c>
      <c r="F7" s="7">
        <v>92000</v>
      </c>
      <c r="G7" s="7">
        <v>149000</v>
      </c>
      <c r="H7" s="7">
        <v>105000</v>
      </c>
      <c r="I7" s="7">
        <v>79000</v>
      </c>
      <c r="J7" s="7">
        <v>98950</v>
      </c>
      <c r="K7" s="7">
        <v>85000</v>
      </c>
      <c r="L7" s="7">
        <v>110289.5</v>
      </c>
    </row>
    <row r="8" spans="1:12" ht="26" customHeight="1" x14ac:dyDescent="0.2">
      <c r="A8" s="6">
        <v>1999</v>
      </c>
      <c r="B8" s="7">
        <v>87000</v>
      </c>
      <c r="C8" s="7">
        <v>120000</v>
      </c>
      <c r="D8" s="7">
        <v>245000</v>
      </c>
      <c r="E8" s="7">
        <v>88000</v>
      </c>
      <c r="F8" s="7">
        <v>98100</v>
      </c>
      <c r="G8" s="7">
        <v>164000</v>
      </c>
      <c r="H8" s="7">
        <v>117950</v>
      </c>
      <c r="I8" s="7">
        <v>83000</v>
      </c>
      <c r="J8" s="7">
        <v>110000</v>
      </c>
      <c r="K8" s="7">
        <v>89500</v>
      </c>
      <c r="L8" s="7">
        <v>120255</v>
      </c>
    </row>
    <row r="9" spans="1:12" ht="26" customHeight="1" x14ac:dyDescent="0.2">
      <c r="A9" s="6">
        <v>2000</v>
      </c>
      <c r="B9" s="7">
        <v>97000</v>
      </c>
      <c r="C9" s="7">
        <v>140000</v>
      </c>
      <c r="D9" s="7">
        <v>295000</v>
      </c>
      <c r="E9" s="7">
        <v>92500</v>
      </c>
      <c r="F9" s="7">
        <v>109000</v>
      </c>
      <c r="G9" s="7">
        <v>193000</v>
      </c>
      <c r="H9" s="7">
        <v>137000</v>
      </c>
      <c r="I9" s="7">
        <v>89500</v>
      </c>
      <c r="J9" s="7">
        <v>124000</v>
      </c>
      <c r="K9" s="7">
        <v>95000</v>
      </c>
      <c r="L9" s="7">
        <v>137200</v>
      </c>
    </row>
    <row r="10" spans="1:12" ht="26" customHeight="1" x14ac:dyDescent="0.2">
      <c r="A10" s="6">
        <v>2001</v>
      </c>
      <c r="B10" s="7">
        <v>112500</v>
      </c>
      <c r="C10" s="7">
        <v>155000</v>
      </c>
      <c r="D10" s="7">
        <v>310000</v>
      </c>
      <c r="E10" s="7">
        <v>99950</v>
      </c>
      <c r="F10" s="7">
        <v>119995</v>
      </c>
      <c r="G10" s="7">
        <v>216500</v>
      </c>
      <c r="H10" s="7">
        <v>153000</v>
      </c>
      <c r="I10" s="7">
        <v>97995</v>
      </c>
      <c r="J10" s="7">
        <v>138000</v>
      </c>
      <c r="K10" s="7">
        <v>105000</v>
      </c>
      <c r="L10" s="7">
        <v>150794</v>
      </c>
    </row>
    <row r="11" spans="1:12" ht="26" customHeight="1" x14ac:dyDescent="0.2">
      <c r="A11" s="6">
        <v>2002</v>
      </c>
      <c r="B11" s="7">
        <v>135000</v>
      </c>
      <c r="C11" s="7">
        <v>185000</v>
      </c>
      <c r="D11" s="7">
        <v>351500</v>
      </c>
      <c r="E11" s="7">
        <v>121950</v>
      </c>
      <c r="F11" s="7">
        <v>140000</v>
      </c>
      <c r="G11" s="7">
        <v>248000</v>
      </c>
      <c r="H11" s="7">
        <v>185000</v>
      </c>
      <c r="I11" s="7">
        <v>119950</v>
      </c>
      <c r="J11" s="7">
        <v>162500</v>
      </c>
      <c r="K11" s="7">
        <v>129000</v>
      </c>
      <c r="L11" s="7">
        <v>177790</v>
      </c>
    </row>
    <row r="12" spans="1:12" ht="26" customHeight="1" x14ac:dyDescent="0.2">
      <c r="A12" s="6">
        <v>2003</v>
      </c>
      <c r="B12" s="7">
        <v>167000</v>
      </c>
      <c r="C12" s="7">
        <v>215000</v>
      </c>
      <c r="D12" s="7">
        <v>390000</v>
      </c>
      <c r="E12" s="7">
        <v>155000</v>
      </c>
      <c r="F12" s="7">
        <v>171000</v>
      </c>
      <c r="G12" s="7">
        <v>279950</v>
      </c>
      <c r="H12" s="7">
        <v>225000</v>
      </c>
      <c r="I12" s="7">
        <v>146858</v>
      </c>
      <c r="J12" s="7">
        <v>192495</v>
      </c>
      <c r="K12" s="7">
        <v>161950</v>
      </c>
      <c r="L12" s="7">
        <v>210425.3</v>
      </c>
    </row>
    <row r="13" spans="1:12" ht="26" customHeight="1" x14ac:dyDescent="0.2">
      <c r="A13" s="6">
        <v>2004</v>
      </c>
      <c r="B13" s="7">
        <v>187000</v>
      </c>
      <c r="C13" s="7">
        <v>235000</v>
      </c>
      <c r="D13" s="7">
        <v>430000</v>
      </c>
      <c r="E13" s="7">
        <v>183500</v>
      </c>
      <c r="F13" s="7">
        <v>200500</v>
      </c>
      <c r="G13" s="7">
        <v>300000</v>
      </c>
      <c r="H13" s="7">
        <v>247000</v>
      </c>
      <c r="I13" s="7">
        <v>177000</v>
      </c>
      <c r="J13" s="7">
        <v>220000</v>
      </c>
      <c r="K13" s="7">
        <v>189950</v>
      </c>
      <c r="L13" s="7">
        <v>236995</v>
      </c>
    </row>
    <row r="14" spans="1:12" ht="26" customHeight="1" x14ac:dyDescent="0.2">
      <c r="A14" s="6">
        <v>2005</v>
      </c>
      <c r="B14" s="7">
        <v>199950</v>
      </c>
      <c r="C14" s="7">
        <v>247000</v>
      </c>
      <c r="D14" s="7">
        <v>450000</v>
      </c>
      <c r="E14" s="7">
        <v>199950</v>
      </c>
      <c r="F14" s="7">
        <v>224000</v>
      </c>
      <c r="G14" s="7">
        <v>315000</v>
      </c>
      <c r="H14" s="7">
        <v>250000</v>
      </c>
      <c r="I14" s="7">
        <v>195000</v>
      </c>
      <c r="J14" s="7">
        <v>235000</v>
      </c>
      <c r="K14" s="7">
        <v>208500</v>
      </c>
      <c r="L14" s="7">
        <v>252440</v>
      </c>
    </row>
    <row r="15" spans="1:12" ht="26" customHeight="1" x14ac:dyDescent="0.2">
      <c r="A15" s="6">
        <v>2006</v>
      </c>
      <c r="B15" s="7">
        <v>205000</v>
      </c>
      <c r="C15" s="7">
        <v>250000</v>
      </c>
      <c r="D15" s="7">
        <v>480000</v>
      </c>
      <c r="E15" s="7">
        <v>205000</v>
      </c>
      <c r="F15" s="7">
        <v>232500</v>
      </c>
      <c r="G15" s="7">
        <v>334000</v>
      </c>
      <c r="H15" s="7">
        <v>267000</v>
      </c>
      <c r="I15" s="7">
        <v>202500</v>
      </c>
      <c r="J15" s="7">
        <v>245000</v>
      </c>
      <c r="K15" s="7">
        <v>220000</v>
      </c>
      <c r="L15" s="7">
        <v>264100</v>
      </c>
    </row>
    <row r="16" spans="1:12" ht="26" customHeight="1" x14ac:dyDescent="0.2">
      <c r="A16" s="6">
        <v>2007</v>
      </c>
      <c r="B16" s="7">
        <v>218000</v>
      </c>
      <c r="C16" s="7">
        <v>280000</v>
      </c>
      <c r="D16" s="7">
        <v>522000</v>
      </c>
      <c r="E16" s="7">
        <v>215000</v>
      </c>
      <c r="F16" s="7">
        <v>245000</v>
      </c>
      <c r="G16" s="7">
        <v>365000</v>
      </c>
      <c r="H16" s="7">
        <v>290500</v>
      </c>
      <c r="I16" s="7">
        <v>218000</v>
      </c>
      <c r="J16" s="7">
        <v>250000</v>
      </c>
      <c r="K16" s="7">
        <v>230000</v>
      </c>
      <c r="L16" s="7">
        <v>283350</v>
      </c>
    </row>
    <row r="17" spans="1:12" ht="26" customHeight="1" x14ac:dyDescent="0.2">
      <c r="A17" s="6">
        <v>2008</v>
      </c>
      <c r="B17" s="7">
        <v>210000</v>
      </c>
      <c r="C17" s="7">
        <v>275000</v>
      </c>
      <c r="D17" s="7">
        <v>539475</v>
      </c>
      <c r="E17" s="7">
        <v>213000</v>
      </c>
      <c r="F17" s="7">
        <v>240472</v>
      </c>
      <c r="G17" s="7">
        <v>360000</v>
      </c>
      <c r="H17" s="7">
        <v>280000</v>
      </c>
      <c r="I17" s="7">
        <v>210000</v>
      </c>
      <c r="J17" s="7">
        <v>248950</v>
      </c>
      <c r="K17" s="7">
        <v>230000</v>
      </c>
      <c r="L17" s="7">
        <v>280689.7</v>
      </c>
    </row>
    <row r="18" spans="1:12" ht="26" customHeight="1" x14ac:dyDescent="0.2">
      <c r="A18" s="6">
        <v>2009</v>
      </c>
      <c r="B18" s="7">
        <v>191500</v>
      </c>
      <c r="C18" s="7">
        <v>249995</v>
      </c>
      <c r="D18" s="7">
        <v>491000</v>
      </c>
      <c r="E18" s="7">
        <v>195000</v>
      </c>
      <c r="F18" s="7">
        <v>226000</v>
      </c>
      <c r="G18" s="7">
        <v>330000</v>
      </c>
      <c r="H18" s="7">
        <v>250000</v>
      </c>
      <c r="I18" s="7">
        <v>195000</v>
      </c>
      <c r="J18" s="7">
        <v>233000</v>
      </c>
      <c r="K18" s="7">
        <v>215000</v>
      </c>
      <c r="L18" s="7">
        <v>257649.5</v>
      </c>
    </row>
    <row r="19" spans="1:12" ht="26" customHeight="1" x14ac:dyDescent="0.2">
      <c r="A19" s="6">
        <v>2010</v>
      </c>
      <c r="B19" s="7">
        <v>205000</v>
      </c>
      <c r="C19" s="7">
        <v>280000</v>
      </c>
      <c r="D19" s="7">
        <v>530000</v>
      </c>
      <c r="E19" s="7">
        <v>210000</v>
      </c>
      <c r="F19" s="7">
        <v>237000</v>
      </c>
      <c r="G19" s="7">
        <v>370000</v>
      </c>
      <c r="H19" s="7">
        <v>277500</v>
      </c>
      <c r="I19" s="7">
        <v>205000</v>
      </c>
      <c r="J19" s="7">
        <v>245000</v>
      </c>
      <c r="K19" s="7">
        <v>228500</v>
      </c>
      <c r="L19" s="7">
        <v>278800</v>
      </c>
    </row>
    <row r="20" spans="1:12" ht="26" customHeight="1" x14ac:dyDescent="0.2">
      <c r="A20" s="6">
        <v>2011</v>
      </c>
      <c r="B20" s="7">
        <v>199950</v>
      </c>
      <c r="C20" s="7">
        <v>265500</v>
      </c>
      <c r="D20" s="7">
        <v>547500</v>
      </c>
      <c r="E20" s="7">
        <v>200000</v>
      </c>
      <c r="F20" s="7">
        <v>230000</v>
      </c>
      <c r="G20" s="7">
        <v>362000</v>
      </c>
      <c r="H20" s="7">
        <v>272000</v>
      </c>
      <c r="I20" s="7">
        <v>198000</v>
      </c>
      <c r="J20" s="7">
        <v>240000</v>
      </c>
      <c r="K20" s="7">
        <v>218000</v>
      </c>
      <c r="L20" s="7">
        <v>273295</v>
      </c>
    </row>
    <row r="21" spans="1:12" ht="26" customHeight="1" x14ac:dyDescent="0.2">
      <c r="A21" s="6">
        <v>2012</v>
      </c>
      <c r="B21" s="7">
        <v>199999</v>
      </c>
      <c r="C21" s="7">
        <v>270000</v>
      </c>
      <c r="D21" s="7">
        <v>546250</v>
      </c>
      <c r="E21" s="7">
        <v>199995</v>
      </c>
      <c r="F21" s="7">
        <v>225000</v>
      </c>
      <c r="G21" s="7">
        <v>362000</v>
      </c>
      <c r="H21" s="7">
        <v>270000</v>
      </c>
      <c r="I21" s="7">
        <v>196748</v>
      </c>
      <c r="J21" s="7">
        <v>235500</v>
      </c>
      <c r="K21" s="7">
        <v>218000</v>
      </c>
      <c r="L21" s="7">
        <v>272349.2</v>
      </c>
    </row>
    <row r="22" spans="1:12" ht="26" customHeight="1" x14ac:dyDescent="0.2">
      <c r="A22" s="6">
        <v>2013</v>
      </c>
      <c r="B22" s="7">
        <v>204000</v>
      </c>
      <c r="C22" s="7">
        <v>276000</v>
      </c>
      <c r="D22" s="7">
        <v>569995</v>
      </c>
      <c r="E22" s="7">
        <v>200000</v>
      </c>
      <c r="F22" s="7">
        <v>230000</v>
      </c>
      <c r="G22" s="7">
        <v>375000</v>
      </c>
      <c r="H22" s="7">
        <v>275000</v>
      </c>
      <c r="I22" s="7">
        <v>200000</v>
      </c>
      <c r="J22" s="7">
        <v>240000</v>
      </c>
      <c r="K22" s="7">
        <v>220000</v>
      </c>
      <c r="L22" s="7">
        <v>278999.5</v>
      </c>
    </row>
    <row r="23" spans="1:12" ht="26" customHeight="1" x14ac:dyDescent="0.2">
      <c r="A23" s="6">
        <v>2014</v>
      </c>
      <c r="B23" s="7">
        <v>219950</v>
      </c>
      <c r="C23" s="7">
        <v>300000</v>
      </c>
      <c r="D23" s="7">
        <v>635000</v>
      </c>
      <c r="E23" s="7">
        <v>209495</v>
      </c>
      <c r="F23" s="7">
        <v>236995</v>
      </c>
      <c r="G23" s="7">
        <v>407000</v>
      </c>
      <c r="H23" s="7">
        <v>295000</v>
      </c>
      <c r="I23" s="7">
        <v>210000</v>
      </c>
      <c r="J23" s="7">
        <v>249995</v>
      </c>
      <c r="K23" s="7">
        <v>230000</v>
      </c>
      <c r="L23" s="7">
        <v>299343.5</v>
      </c>
    </row>
    <row r="24" spans="1:12" ht="26" customHeight="1" x14ac:dyDescent="0.2">
      <c r="A24" s="6">
        <v>2015</v>
      </c>
      <c r="B24" s="7">
        <v>235000</v>
      </c>
      <c r="C24" s="7">
        <v>330000</v>
      </c>
      <c r="D24" s="7">
        <v>690000</v>
      </c>
      <c r="E24" s="7">
        <v>215995</v>
      </c>
      <c r="F24" s="7">
        <v>247750</v>
      </c>
      <c r="G24" s="7">
        <v>430000</v>
      </c>
      <c r="H24" s="7">
        <v>313000</v>
      </c>
      <c r="I24" s="7">
        <v>215000</v>
      </c>
      <c r="J24" s="7">
        <v>266000</v>
      </c>
      <c r="K24" s="7">
        <v>239950</v>
      </c>
      <c r="L24" s="7">
        <v>318269.5</v>
      </c>
    </row>
    <row r="25" spans="1:12" ht="26" customHeight="1" x14ac:dyDescent="0.2">
      <c r="A25" s="6">
        <v>2016</v>
      </c>
      <c r="B25" s="7">
        <v>247000</v>
      </c>
      <c r="C25" s="7">
        <v>355000</v>
      </c>
      <c r="D25" s="7">
        <v>750000</v>
      </c>
      <c r="E25" s="7">
        <v>220000</v>
      </c>
      <c r="F25" s="7">
        <v>257000</v>
      </c>
      <c r="G25" s="7">
        <v>469000</v>
      </c>
      <c r="H25" s="7">
        <v>330000</v>
      </c>
      <c r="I25" s="7">
        <v>223000</v>
      </c>
      <c r="J25" s="7">
        <v>280000</v>
      </c>
      <c r="K25" s="7">
        <v>249950</v>
      </c>
      <c r="L25" s="7">
        <v>338095</v>
      </c>
    </row>
    <row r="26" spans="1:12" ht="26" customHeight="1" x14ac:dyDescent="0.2">
      <c r="A26" s="6">
        <v>2017</v>
      </c>
      <c r="B26" s="7">
        <v>264000</v>
      </c>
      <c r="C26" s="7">
        <v>379995</v>
      </c>
      <c r="D26" s="7">
        <v>780000</v>
      </c>
      <c r="E26" s="7">
        <v>229950</v>
      </c>
      <c r="F26" s="7">
        <v>267500</v>
      </c>
      <c r="G26" s="7">
        <v>487000</v>
      </c>
      <c r="H26" s="7">
        <v>350000</v>
      </c>
      <c r="I26" s="7">
        <v>230000</v>
      </c>
      <c r="J26" s="7">
        <v>294850</v>
      </c>
      <c r="K26" s="7">
        <v>255000</v>
      </c>
      <c r="L26" s="7">
        <v>353829.5</v>
      </c>
    </row>
    <row r="27" spans="1:12" ht="26" customHeight="1" x14ac:dyDescent="0.2">
      <c r="A27" s="6">
        <v>2018</v>
      </c>
      <c r="B27" s="7">
        <v>275000</v>
      </c>
      <c r="C27" s="7">
        <v>390000</v>
      </c>
      <c r="D27" s="7">
        <v>773000</v>
      </c>
      <c r="E27" s="7">
        <v>235000</v>
      </c>
      <c r="F27" s="7">
        <v>275000</v>
      </c>
      <c r="G27" s="7">
        <v>495000</v>
      </c>
      <c r="H27" s="7">
        <v>360000</v>
      </c>
      <c r="I27" s="7">
        <v>240000</v>
      </c>
      <c r="J27" s="7">
        <v>309995</v>
      </c>
      <c r="K27" s="7">
        <v>267000</v>
      </c>
      <c r="L27" s="7">
        <v>361999.5</v>
      </c>
    </row>
    <row r="28" spans="1:12" ht="26" customHeight="1" x14ac:dyDescent="0.2">
      <c r="A28" s="6">
        <v>2019</v>
      </c>
      <c r="B28" s="7">
        <v>280000</v>
      </c>
      <c r="C28" s="7">
        <v>390000</v>
      </c>
      <c r="D28" s="7">
        <v>765000</v>
      </c>
      <c r="E28" s="7">
        <v>245000</v>
      </c>
      <c r="F28" s="7">
        <v>280000</v>
      </c>
      <c r="G28" s="7">
        <v>495000</v>
      </c>
      <c r="H28" s="7">
        <v>365000</v>
      </c>
      <c r="I28" s="7">
        <v>249950</v>
      </c>
      <c r="J28" s="7">
        <v>315000</v>
      </c>
      <c r="K28" s="7">
        <v>275000</v>
      </c>
      <c r="L28" s="7">
        <v>365995</v>
      </c>
    </row>
    <row r="29" spans="1:12" ht="26" customHeight="1" x14ac:dyDescent="0.2">
      <c r="A29" s="6">
        <v>2020</v>
      </c>
      <c r="B29" s="7">
        <v>295000</v>
      </c>
      <c r="C29" s="7">
        <v>412500</v>
      </c>
      <c r="D29" s="7">
        <v>800000</v>
      </c>
      <c r="E29" s="7">
        <v>250000</v>
      </c>
      <c r="F29" s="7">
        <v>295000</v>
      </c>
      <c r="G29" s="7">
        <v>520000</v>
      </c>
      <c r="H29" s="7">
        <v>383000</v>
      </c>
      <c r="I29" s="7">
        <v>260000</v>
      </c>
      <c r="J29" s="7">
        <v>329995</v>
      </c>
      <c r="K29" s="7">
        <v>290000</v>
      </c>
      <c r="L29" s="7">
        <v>383549.5</v>
      </c>
    </row>
    <row r="30" spans="1:12" ht="26" customHeight="1" x14ac:dyDescent="0.2">
      <c r="A30" s="6">
        <v>2021</v>
      </c>
      <c r="B30" s="7">
        <v>315000</v>
      </c>
      <c r="C30" s="7">
        <v>435000</v>
      </c>
      <c r="D30" s="7">
        <v>850000</v>
      </c>
      <c r="E30" s="7">
        <v>267950</v>
      </c>
      <c r="F30" s="7">
        <v>323000</v>
      </c>
      <c r="G30" s="7">
        <v>557500</v>
      </c>
      <c r="H30" s="7">
        <v>415000</v>
      </c>
      <c r="I30" s="7">
        <v>291995</v>
      </c>
      <c r="J30" s="7">
        <v>353000</v>
      </c>
      <c r="K30" s="7">
        <v>315000</v>
      </c>
      <c r="L30" s="7">
        <v>412344.5</v>
      </c>
    </row>
    <row r="31" spans="1:12" ht="26" customHeight="1" x14ac:dyDescent="0.2">
      <c r="A31" s="6">
        <v>2022</v>
      </c>
      <c r="B31" s="7">
        <v>343500</v>
      </c>
      <c r="C31" s="7">
        <v>475000</v>
      </c>
      <c r="D31" s="7">
        <v>945000</v>
      </c>
      <c r="E31" s="7">
        <v>288995</v>
      </c>
      <c r="F31" s="7">
        <v>349995</v>
      </c>
      <c r="G31" s="7">
        <v>605000</v>
      </c>
      <c r="H31" s="7">
        <v>455000</v>
      </c>
      <c r="I31" s="7">
        <v>325000</v>
      </c>
      <c r="J31" s="7">
        <v>380000</v>
      </c>
      <c r="K31" s="7">
        <v>333416</v>
      </c>
      <c r="L31" s="7">
        <v>450090.6</v>
      </c>
    </row>
    <row r="32" spans="1:12" ht="26" customHeight="1" x14ac:dyDescent="0.2">
      <c r="A32" s="6">
        <v>2023</v>
      </c>
      <c r="B32" s="7">
        <v>345000</v>
      </c>
      <c r="C32" s="7">
        <v>470000</v>
      </c>
      <c r="D32" s="7">
        <v>935000</v>
      </c>
      <c r="E32" s="7">
        <v>293995</v>
      </c>
      <c r="F32" s="7">
        <v>359995</v>
      </c>
      <c r="G32" s="7">
        <v>600000</v>
      </c>
      <c r="H32" s="7">
        <v>460000</v>
      </c>
      <c r="I32" s="7">
        <v>325000</v>
      </c>
      <c r="J32" s="7">
        <v>390000</v>
      </c>
      <c r="K32" s="7">
        <v>344950</v>
      </c>
      <c r="L32" s="7">
        <v>452394</v>
      </c>
    </row>
    <row r="33" spans="1:12" ht="26" customHeight="1" x14ac:dyDescent="0.2">
      <c r="A33" s="6">
        <v>2024</v>
      </c>
      <c r="B33" s="7">
        <v>345000</v>
      </c>
      <c r="C33" s="7">
        <v>462500</v>
      </c>
      <c r="D33" s="7">
        <v>900000</v>
      </c>
      <c r="E33" s="7">
        <v>292995</v>
      </c>
      <c r="F33" s="7">
        <v>360000</v>
      </c>
      <c r="G33" s="7">
        <v>590000</v>
      </c>
      <c r="H33" s="7">
        <v>449997</v>
      </c>
      <c r="I33" s="7">
        <v>325000</v>
      </c>
      <c r="J33" s="7">
        <v>385000</v>
      </c>
      <c r="K33" s="7">
        <v>340000</v>
      </c>
      <c r="L33" s="7">
        <v>445049.2</v>
      </c>
    </row>
    <row r="34" spans="1:12" ht="26" customHeight="1" x14ac:dyDescent="0.2">
      <c r="A34" s="6">
        <v>2025</v>
      </c>
      <c r="B34" s="7">
        <v>345000</v>
      </c>
      <c r="C34" s="7">
        <v>470000</v>
      </c>
      <c r="D34" s="7">
        <v>900000</v>
      </c>
      <c r="E34" s="7">
        <v>299999</v>
      </c>
      <c r="F34" s="7">
        <v>370000</v>
      </c>
      <c r="G34" s="7">
        <v>600000</v>
      </c>
      <c r="H34" s="7">
        <v>450000</v>
      </c>
      <c r="I34" s="7">
        <v>328000</v>
      </c>
      <c r="J34" s="7">
        <v>392500</v>
      </c>
      <c r="K34" s="7">
        <v>350000</v>
      </c>
      <c r="L34" s="7">
        <v>450549.9</v>
      </c>
    </row>
    <row r="35" spans="1:12" ht="26" customHeight="1" x14ac:dyDescent="0.2">
      <c r="A35" s="6" t="s">
        <v>995</v>
      </c>
      <c r="B35" s="7">
        <v>207412.87096774194</v>
      </c>
      <c r="C35" s="7">
        <v>280531.93548387097</v>
      </c>
      <c r="D35" s="7">
        <v>553136.12903225806</v>
      </c>
      <c r="E35" s="7">
        <v>191924.64516129033</v>
      </c>
      <c r="F35" s="7">
        <v>222542</v>
      </c>
      <c r="G35" s="7">
        <v>365924.19354838709</v>
      </c>
      <c r="H35" s="7">
        <v>274030.38709677418</v>
      </c>
      <c r="I35" s="7">
        <v>195193.4193548387</v>
      </c>
      <c r="J35" s="7">
        <v>239588.06451612903</v>
      </c>
      <c r="K35" s="7">
        <v>212102.12903225806</v>
      </c>
      <c r="L35" s="7">
        <v>274238.57741935481</v>
      </c>
    </row>
    <row r="36" spans="1:12" ht="26" customHeight="1" x14ac:dyDescent="0.25">
      <c r="A36" s="11" t="s">
        <v>998</v>
      </c>
      <c r="B36" s="11"/>
      <c r="C36" s="11"/>
      <c r="D36" s="11"/>
      <c r="E36" s="11"/>
      <c r="F36" s="11"/>
      <c r="G36" s="11"/>
      <c r="H36" s="11"/>
      <c r="I36" s="11"/>
      <c r="J36" s="11"/>
      <c r="K36" s="11"/>
      <c r="L36" s="11"/>
    </row>
    <row r="37" spans="1:12" x14ac:dyDescent="0.2">
      <c r="A37" s="2"/>
      <c r="B37" s="3"/>
      <c r="C37" s="3"/>
      <c r="D37" s="3"/>
      <c r="E37" s="3"/>
      <c r="F37" s="3"/>
      <c r="G37" s="3"/>
      <c r="H37" s="3"/>
      <c r="I37" s="3"/>
    </row>
  </sheetData>
  <mergeCells count="1">
    <mergeCell ref="A36:L3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CC84-E731-CE4A-9292-8D88508AC33B}">
  <dimension ref="A1:H1241"/>
  <sheetViews>
    <sheetView topLeftCell="A1221" workbookViewId="0">
      <selection activeCell="N24" sqref="N24"/>
    </sheetView>
  </sheetViews>
  <sheetFormatPr baseColWidth="10" defaultRowHeight="16" x14ac:dyDescent="0.2"/>
  <cols>
    <col min="1" max="1" width="7.1640625" bestFit="1" customWidth="1"/>
    <col min="2" max="2" width="22.33203125" bestFit="1" customWidth="1"/>
    <col min="3" max="3" width="14.83203125" bestFit="1" customWidth="1"/>
    <col min="4" max="4" width="18.83203125" bestFit="1" customWidth="1"/>
    <col min="5" max="5" width="22.5" bestFit="1" customWidth="1"/>
    <col min="6" max="6" width="21" bestFit="1" customWidth="1"/>
    <col min="7" max="7" width="19" bestFit="1" customWidth="1"/>
    <col min="8" max="8" width="12.33203125" bestFit="1" customWidth="1"/>
  </cols>
  <sheetData>
    <row r="1" spans="1:8" x14ac:dyDescent="0.2">
      <c r="A1" t="s">
        <v>0</v>
      </c>
      <c r="B1" t="s">
        <v>1</v>
      </c>
      <c r="C1" t="s">
        <v>2</v>
      </c>
      <c r="D1" t="s">
        <v>5</v>
      </c>
      <c r="E1" t="s">
        <v>6</v>
      </c>
      <c r="F1" t="s">
        <v>7</v>
      </c>
      <c r="G1" t="s">
        <v>8</v>
      </c>
      <c r="H1" t="s">
        <v>9</v>
      </c>
    </row>
    <row r="2" spans="1:8" x14ac:dyDescent="0.2">
      <c r="A2">
        <v>1995</v>
      </c>
      <c r="B2" s="1" t="s">
        <v>10</v>
      </c>
      <c r="C2" s="1" t="s">
        <v>11</v>
      </c>
      <c r="D2">
        <v>22405</v>
      </c>
      <c r="E2">
        <v>70000</v>
      </c>
      <c r="F2">
        <v>79970</v>
      </c>
      <c r="G2">
        <v>145045</v>
      </c>
      <c r="H2">
        <v>66.599999999999994</v>
      </c>
    </row>
    <row r="3" spans="1:8" x14ac:dyDescent="0.2">
      <c r="A3">
        <v>1995</v>
      </c>
      <c r="B3" s="1" t="s">
        <v>10</v>
      </c>
      <c r="C3" s="1" t="s">
        <v>12</v>
      </c>
      <c r="D3">
        <v>1868</v>
      </c>
      <c r="E3">
        <v>31000</v>
      </c>
      <c r="F3">
        <v>34210</v>
      </c>
      <c r="G3">
        <v>64234</v>
      </c>
      <c r="H3">
        <v>66.599999999999994</v>
      </c>
    </row>
    <row r="4" spans="1:8" x14ac:dyDescent="0.2">
      <c r="A4">
        <v>1995</v>
      </c>
      <c r="B4" s="1" t="s">
        <v>10</v>
      </c>
      <c r="C4" s="1" t="s">
        <v>13</v>
      </c>
      <c r="D4">
        <v>23629</v>
      </c>
      <c r="E4">
        <v>43000</v>
      </c>
      <c r="F4">
        <v>45198</v>
      </c>
      <c r="G4">
        <v>89099</v>
      </c>
      <c r="H4">
        <v>66.599999999999994</v>
      </c>
    </row>
    <row r="5" spans="1:8" x14ac:dyDescent="0.2">
      <c r="A5">
        <v>1995</v>
      </c>
      <c r="B5" s="1" t="s">
        <v>10</v>
      </c>
      <c r="C5" s="1" t="s">
        <v>14</v>
      </c>
      <c r="D5">
        <v>16523</v>
      </c>
      <c r="E5">
        <v>33500</v>
      </c>
      <c r="F5">
        <v>35171</v>
      </c>
      <c r="G5">
        <v>69414</v>
      </c>
      <c r="H5">
        <v>66.599999999999994</v>
      </c>
    </row>
    <row r="6" spans="1:8" x14ac:dyDescent="0.2">
      <c r="A6">
        <v>1995</v>
      </c>
      <c r="B6" s="1" t="s">
        <v>15</v>
      </c>
      <c r="C6" s="1" t="s">
        <v>11</v>
      </c>
      <c r="D6">
        <v>28225</v>
      </c>
      <c r="E6">
        <v>87000</v>
      </c>
      <c r="F6">
        <v>103977</v>
      </c>
      <c r="G6">
        <v>180270</v>
      </c>
      <c r="H6">
        <v>66.599999999999994</v>
      </c>
    </row>
    <row r="7" spans="1:8" x14ac:dyDescent="0.2">
      <c r="A7">
        <v>1995</v>
      </c>
      <c r="B7" s="1" t="s">
        <v>15</v>
      </c>
      <c r="C7" s="1" t="s">
        <v>12</v>
      </c>
      <c r="D7">
        <v>11309</v>
      </c>
      <c r="E7">
        <v>39000</v>
      </c>
      <c r="F7">
        <v>42422</v>
      </c>
      <c r="G7">
        <v>80811</v>
      </c>
      <c r="H7">
        <v>66.599999999999994</v>
      </c>
    </row>
    <row r="8" spans="1:8" x14ac:dyDescent="0.2">
      <c r="A8">
        <v>1995</v>
      </c>
      <c r="B8" s="1" t="s">
        <v>15</v>
      </c>
      <c r="C8" s="1" t="s">
        <v>13</v>
      </c>
      <c r="D8">
        <v>27529</v>
      </c>
      <c r="E8">
        <v>56000</v>
      </c>
      <c r="F8">
        <v>61907</v>
      </c>
      <c r="G8">
        <v>116036</v>
      </c>
      <c r="H8">
        <v>66.599999999999994</v>
      </c>
    </row>
    <row r="9" spans="1:8" x14ac:dyDescent="0.2">
      <c r="A9">
        <v>1995</v>
      </c>
      <c r="B9" s="1" t="s">
        <v>15</v>
      </c>
      <c r="C9" s="1" t="s">
        <v>14</v>
      </c>
      <c r="D9">
        <v>25873</v>
      </c>
      <c r="E9">
        <v>47400</v>
      </c>
      <c r="F9">
        <v>51490</v>
      </c>
      <c r="G9">
        <v>98216</v>
      </c>
      <c r="H9">
        <v>66.599999999999994</v>
      </c>
    </row>
    <row r="10" spans="1:8" x14ac:dyDescent="0.2">
      <c r="A10">
        <v>1995</v>
      </c>
      <c r="B10" s="1" t="s">
        <v>16</v>
      </c>
      <c r="C10" s="1" t="s">
        <v>11</v>
      </c>
      <c r="D10">
        <v>5574</v>
      </c>
      <c r="E10">
        <v>156000</v>
      </c>
      <c r="F10">
        <v>202794</v>
      </c>
      <c r="G10">
        <v>323243</v>
      </c>
      <c r="H10">
        <v>66.599999999999994</v>
      </c>
    </row>
    <row r="11" spans="1:8" x14ac:dyDescent="0.2">
      <c r="A11">
        <v>1995</v>
      </c>
      <c r="B11" s="1" t="s">
        <v>16</v>
      </c>
      <c r="C11" s="1" t="s">
        <v>12</v>
      </c>
      <c r="D11">
        <v>46418</v>
      </c>
      <c r="E11">
        <v>59995</v>
      </c>
      <c r="F11">
        <v>80203</v>
      </c>
      <c r="G11">
        <v>124314</v>
      </c>
      <c r="H11">
        <v>66.599999999999994</v>
      </c>
    </row>
    <row r="12" spans="1:8" x14ac:dyDescent="0.2">
      <c r="A12">
        <v>1995</v>
      </c>
      <c r="B12" s="1" t="s">
        <v>16</v>
      </c>
      <c r="C12" s="1" t="s">
        <v>13</v>
      </c>
      <c r="D12">
        <v>20163</v>
      </c>
      <c r="E12">
        <v>88000</v>
      </c>
      <c r="F12">
        <v>108906</v>
      </c>
      <c r="G12">
        <v>182342</v>
      </c>
      <c r="H12">
        <v>66.599999999999994</v>
      </c>
    </row>
    <row r="13" spans="1:8" x14ac:dyDescent="0.2">
      <c r="A13">
        <v>1995</v>
      </c>
      <c r="B13" s="1" t="s">
        <v>16</v>
      </c>
      <c r="C13" s="1" t="s">
        <v>14</v>
      </c>
      <c r="D13">
        <v>36194</v>
      </c>
      <c r="E13">
        <v>72000</v>
      </c>
      <c r="F13">
        <v>98820</v>
      </c>
      <c r="G13">
        <v>149189</v>
      </c>
      <c r="H13">
        <v>66.599999999999994</v>
      </c>
    </row>
    <row r="14" spans="1:8" x14ac:dyDescent="0.2">
      <c r="A14">
        <v>1995</v>
      </c>
      <c r="B14" s="1" t="s">
        <v>17</v>
      </c>
      <c r="C14" s="1" t="s">
        <v>11</v>
      </c>
      <c r="D14">
        <v>5958</v>
      </c>
      <c r="E14">
        <v>76950</v>
      </c>
      <c r="F14">
        <v>86518</v>
      </c>
      <c r="G14">
        <v>159446</v>
      </c>
      <c r="H14">
        <v>66.599999999999994</v>
      </c>
    </row>
    <row r="15" spans="1:8" x14ac:dyDescent="0.2">
      <c r="A15">
        <v>1995</v>
      </c>
      <c r="B15" s="1" t="s">
        <v>17</v>
      </c>
      <c r="C15" s="1" t="s">
        <v>12</v>
      </c>
      <c r="D15">
        <v>3385</v>
      </c>
      <c r="E15">
        <v>30000</v>
      </c>
      <c r="F15">
        <v>33754</v>
      </c>
      <c r="G15">
        <v>62162</v>
      </c>
      <c r="H15">
        <v>66.599999999999994</v>
      </c>
    </row>
    <row r="16" spans="1:8" x14ac:dyDescent="0.2">
      <c r="A16">
        <v>1995</v>
      </c>
      <c r="B16" s="1" t="s">
        <v>17</v>
      </c>
      <c r="C16" s="1" t="s">
        <v>13</v>
      </c>
      <c r="D16">
        <v>10998</v>
      </c>
      <c r="E16">
        <v>47000</v>
      </c>
      <c r="F16">
        <v>48689</v>
      </c>
      <c r="G16">
        <v>97387</v>
      </c>
      <c r="H16">
        <v>66.599999999999994</v>
      </c>
    </row>
    <row r="17" spans="1:8" x14ac:dyDescent="0.2">
      <c r="A17">
        <v>1995</v>
      </c>
      <c r="B17" s="1" t="s">
        <v>17</v>
      </c>
      <c r="C17" s="1" t="s">
        <v>14</v>
      </c>
      <c r="D17">
        <v>12123</v>
      </c>
      <c r="E17">
        <v>33000</v>
      </c>
      <c r="F17">
        <v>36358</v>
      </c>
      <c r="G17">
        <v>68378</v>
      </c>
      <c r="H17">
        <v>66.599999999999994</v>
      </c>
    </row>
    <row r="18" spans="1:8" x14ac:dyDescent="0.2">
      <c r="A18">
        <v>1995</v>
      </c>
      <c r="B18" s="1" t="s">
        <v>18</v>
      </c>
      <c r="C18" s="1" t="s">
        <v>11</v>
      </c>
      <c r="D18">
        <v>18461</v>
      </c>
      <c r="E18">
        <v>82500</v>
      </c>
      <c r="F18">
        <v>94431</v>
      </c>
      <c r="G18">
        <v>170946</v>
      </c>
      <c r="H18">
        <v>66.599999999999994</v>
      </c>
    </row>
    <row r="19" spans="1:8" x14ac:dyDescent="0.2">
      <c r="A19">
        <v>1995</v>
      </c>
      <c r="B19" s="1" t="s">
        <v>18</v>
      </c>
      <c r="C19" s="1" t="s">
        <v>12</v>
      </c>
      <c r="D19">
        <v>5359</v>
      </c>
      <c r="E19">
        <v>38950</v>
      </c>
      <c r="F19">
        <v>43567</v>
      </c>
      <c r="G19">
        <v>80707</v>
      </c>
      <c r="H19">
        <v>66.599999999999994</v>
      </c>
    </row>
    <row r="20" spans="1:8" x14ac:dyDescent="0.2">
      <c r="A20">
        <v>1995</v>
      </c>
      <c r="B20" s="1" t="s">
        <v>18</v>
      </c>
      <c r="C20" s="1" t="s">
        <v>13</v>
      </c>
      <c r="D20">
        <v>34463</v>
      </c>
      <c r="E20">
        <v>49000</v>
      </c>
      <c r="F20">
        <v>51488</v>
      </c>
      <c r="G20">
        <v>101532</v>
      </c>
      <c r="H20">
        <v>66.599999999999994</v>
      </c>
    </row>
    <row r="21" spans="1:8" x14ac:dyDescent="0.2">
      <c r="A21">
        <v>1995</v>
      </c>
      <c r="B21" s="1" t="s">
        <v>18</v>
      </c>
      <c r="C21" s="1" t="s">
        <v>14</v>
      </c>
      <c r="D21">
        <v>34977</v>
      </c>
      <c r="E21">
        <v>32950</v>
      </c>
      <c r="F21">
        <v>34494</v>
      </c>
      <c r="G21">
        <v>68275</v>
      </c>
      <c r="H21">
        <v>66.599999999999994</v>
      </c>
    </row>
    <row r="22" spans="1:8" x14ac:dyDescent="0.2">
      <c r="A22">
        <v>1995</v>
      </c>
      <c r="B22" s="1" t="s">
        <v>19</v>
      </c>
      <c r="C22" s="1" t="s">
        <v>11</v>
      </c>
      <c r="D22">
        <v>41115</v>
      </c>
      <c r="E22">
        <v>115000</v>
      </c>
      <c r="F22">
        <v>134667</v>
      </c>
      <c r="G22">
        <v>238288</v>
      </c>
      <c r="H22">
        <v>66.599999999999994</v>
      </c>
    </row>
    <row r="23" spans="1:8" x14ac:dyDescent="0.2">
      <c r="A23">
        <v>1995</v>
      </c>
      <c r="B23" s="1" t="s">
        <v>19</v>
      </c>
      <c r="C23" s="1" t="s">
        <v>12</v>
      </c>
      <c r="D23">
        <v>22563</v>
      </c>
      <c r="E23">
        <v>43000</v>
      </c>
      <c r="F23">
        <v>47671</v>
      </c>
      <c r="G23">
        <v>89099</v>
      </c>
      <c r="H23">
        <v>66.599999999999994</v>
      </c>
    </row>
    <row r="24" spans="1:8" x14ac:dyDescent="0.2">
      <c r="A24">
        <v>1995</v>
      </c>
      <c r="B24" s="1" t="s">
        <v>19</v>
      </c>
      <c r="C24" s="1" t="s">
        <v>13</v>
      </c>
      <c r="D24">
        <v>40576</v>
      </c>
      <c r="E24">
        <v>66950</v>
      </c>
      <c r="F24">
        <v>72182</v>
      </c>
      <c r="G24">
        <v>138725</v>
      </c>
      <c r="H24">
        <v>66.599999999999994</v>
      </c>
    </row>
    <row r="25" spans="1:8" x14ac:dyDescent="0.2">
      <c r="A25">
        <v>1995</v>
      </c>
      <c r="B25" s="1" t="s">
        <v>19</v>
      </c>
      <c r="C25" s="1" t="s">
        <v>14</v>
      </c>
      <c r="D25">
        <v>38071</v>
      </c>
      <c r="E25">
        <v>54000</v>
      </c>
      <c r="F25">
        <v>57774</v>
      </c>
      <c r="G25">
        <v>111892</v>
      </c>
      <c r="H25">
        <v>66.599999999999994</v>
      </c>
    </row>
    <row r="26" spans="1:8" x14ac:dyDescent="0.2">
      <c r="A26">
        <v>1995</v>
      </c>
      <c r="B26" s="1" t="s">
        <v>20</v>
      </c>
      <c r="C26" s="1" t="s">
        <v>11</v>
      </c>
      <c r="D26">
        <v>26014</v>
      </c>
      <c r="E26">
        <v>84995</v>
      </c>
      <c r="F26">
        <v>97245</v>
      </c>
      <c r="G26">
        <v>176116</v>
      </c>
      <c r="H26">
        <v>66.599999999999994</v>
      </c>
    </row>
    <row r="27" spans="1:8" x14ac:dyDescent="0.2">
      <c r="A27">
        <v>1995</v>
      </c>
      <c r="B27" s="1" t="s">
        <v>20</v>
      </c>
      <c r="C27" s="1" t="s">
        <v>12</v>
      </c>
      <c r="D27">
        <v>9891</v>
      </c>
      <c r="E27">
        <v>38999</v>
      </c>
      <c r="F27">
        <v>46407</v>
      </c>
      <c r="G27">
        <v>80809</v>
      </c>
      <c r="H27">
        <v>66.599999999999994</v>
      </c>
    </row>
    <row r="28" spans="1:8" x14ac:dyDescent="0.2">
      <c r="A28">
        <v>1995</v>
      </c>
      <c r="B28" s="1" t="s">
        <v>20</v>
      </c>
      <c r="C28" s="1" t="s">
        <v>13</v>
      </c>
      <c r="D28">
        <v>21872</v>
      </c>
      <c r="E28">
        <v>54500</v>
      </c>
      <c r="F28">
        <v>58138</v>
      </c>
      <c r="G28">
        <v>112928</v>
      </c>
      <c r="H28">
        <v>66.599999999999994</v>
      </c>
    </row>
    <row r="29" spans="1:8" x14ac:dyDescent="0.2">
      <c r="A29">
        <v>1995</v>
      </c>
      <c r="B29" s="1" t="s">
        <v>20</v>
      </c>
      <c r="C29" s="1" t="s">
        <v>14</v>
      </c>
      <c r="D29">
        <v>25284</v>
      </c>
      <c r="E29">
        <v>45000</v>
      </c>
      <c r="F29">
        <v>48288</v>
      </c>
      <c r="G29">
        <v>93243</v>
      </c>
      <c r="H29">
        <v>66.599999999999994</v>
      </c>
    </row>
    <row r="30" spans="1:8" x14ac:dyDescent="0.2">
      <c r="A30">
        <v>1995</v>
      </c>
      <c r="B30" s="1" t="s">
        <v>21</v>
      </c>
      <c r="C30" s="1" t="s">
        <v>11</v>
      </c>
      <c r="D30">
        <v>9253</v>
      </c>
      <c r="E30">
        <v>69000</v>
      </c>
      <c r="F30">
        <v>75057</v>
      </c>
      <c r="G30">
        <v>142973</v>
      </c>
      <c r="H30">
        <v>66.599999999999994</v>
      </c>
    </row>
    <row r="31" spans="1:8" x14ac:dyDescent="0.2">
      <c r="A31">
        <v>1995</v>
      </c>
      <c r="B31" s="1" t="s">
        <v>21</v>
      </c>
      <c r="C31" s="1" t="s">
        <v>12</v>
      </c>
      <c r="D31">
        <v>1427</v>
      </c>
      <c r="E31">
        <v>36500</v>
      </c>
      <c r="F31">
        <v>39993</v>
      </c>
      <c r="G31">
        <v>75631</v>
      </c>
      <c r="H31">
        <v>66.599999999999994</v>
      </c>
    </row>
    <row r="32" spans="1:8" x14ac:dyDescent="0.2">
      <c r="A32">
        <v>1995</v>
      </c>
      <c r="B32" s="1" t="s">
        <v>21</v>
      </c>
      <c r="C32" s="1" t="s">
        <v>13</v>
      </c>
      <c r="D32">
        <v>10934</v>
      </c>
      <c r="E32">
        <v>45000</v>
      </c>
      <c r="F32">
        <v>47409</v>
      </c>
      <c r="G32">
        <v>93243</v>
      </c>
      <c r="H32">
        <v>66.599999999999994</v>
      </c>
    </row>
    <row r="33" spans="1:8" x14ac:dyDescent="0.2">
      <c r="A33">
        <v>1995</v>
      </c>
      <c r="B33" s="1" t="s">
        <v>21</v>
      </c>
      <c r="C33" s="1" t="s">
        <v>14</v>
      </c>
      <c r="D33">
        <v>11891</v>
      </c>
      <c r="E33">
        <v>35000</v>
      </c>
      <c r="F33">
        <v>36336</v>
      </c>
      <c r="G33">
        <v>72523</v>
      </c>
      <c r="H33">
        <v>66.599999999999994</v>
      </c>
    </row>
    <row r="34" spans="1:8" x14ac:dyDescent="0.2">
      <c r="A34">
        <v>1995</v>
      </c>
      <c r="B34" s="1" t="s">
        <v>22</v>
      </c>
      <c r="C34" s="1" t="s">
        <v>11</v>
      </c>
      <c r="D34">
        <v>18679</v>
      </c>
      <c r="E34">
        <v>84500</v>
      </c>
      <c r="F34">
        <v>96947</v>
      </c>
      <c r="G34">
        <v>175090</v>
      </c>
      <c r="H34">
        <v>66.599999999999994</v>
      </c>
    </row>
    <row r="35" spans="1:8" x14ac:dyDescent="0.2">
      <c r="A35">
        <v>1995</v>
      </c>
      <c r="B35" s="1" t="s">
        <v>22</v>
      </c>
      <c r="C35" s="1" t="s">
        <v>12</v>
      </c>
      <c r="D35">
        <v>4894</v>
      </c>
      <c r="E35">
        <v>36972</v>
      </c>
      <c r="F35">
        <v>39763</v>
      </c>
      <c r="G35">
        <v>76610</v>
      </c>
      <c r="H35">
        <v>66.599999999999994</v>
      </c>
    </row>
    <row r="36" spans="1:8" x14ac:dyDescent="0.2">
      <c r="A36">
        <v>1995</v>
      </c>
      <c r="B36" s="1" t="s">
        <v>22</v>
      </c>
      <c r="C36" s="1" t="s">
        <v>13</v>
      </c>
      <c r="D36">
        <v>26428</v>
      </c>
      <c r="E36">
        <v>49000</v>
      </c>
      <c r="F36">
        <v>51563</v>
      </c>
      <c r="G36">
        <v>101532</v>
      </c>
      <c r="H36">
        <v>66.599999999999994</v>
      </c>
    </row>
    <row r="37" spans="1:8" x14ac:dyDescent="0.2">
      <c r="A37">
        <v>1995</v>
      </c>
      <c r="B37" s="1" t="s">
        <v>22</v>
      </c>
      <c r="C37" s="1" t="s">
        <v>14</v>
      </c>
      <c r="D37">
        <v>21473</v>
      </c>
      <c r="E37">
        <v>38950</v>
      </c>
      <c r="F37">
        <v>40653</v>
      </c>
      <c r="G37">
        <v>80707</v>
      </c>
      <c r="H37">
        <v>66.599999999999994</v>
      </c>
    </row>
    <row r="38" spans="1:8" x14ac:dyDescent="0.2">
      <c r="A38">
        <v>1995</v>
      </c>
      <c r="B38" s="1" t="s">
        <v>23</v>
      </c>
      <c r="C38" s="1" t="s">
        <v>11</v>
      </c>
      <c r="D38">
        <v>16085</v>
      </c>
      <c r="E38">
        <v>78500</v>
      </c>
      <c r="F38">
        <v>87941</v>
      </c>
      <c r="G38">
        <v>162658</v>
      </c>
      <c r="H38">
        <v>66.599999999999994</v>
      </c>
    </row>
    <row r="39" spans="1:8" x14ac:dyDescent="0.2">
      <c r="A39">
        <v>1995</v>
      </c>
      <c r="B39" s="1" t="s">
        <v>23</v>
      </c>
      <c r="C39" s="1" t="s">
        <v>12</v>
      </c>
      <c r="D39">
        <v>3066</v>
      </c>
      <c r="E39">
        <v>38500</v>
      </c>
      <c r="F39">
        <v>42570</v>
      </c>
      <c r="G39">
        <v>79775</v>
      </c>
      <c r="H39">
        <v>66.599999999999994</v>
      </c>
    </row>
    <row r="40" spans="1:8" x14ac:dyDescent="0.2">
      <c r="A40">
        <v>1995</v>
      </c>
      <c r="B40" s="1" t="s">
        <v>23</v>
      </c>
      <c r="C40" s="1" t="s">
        <v>13</v>
      </c>
      <c r="D40">
        <v>25620</v>
      </c>
      <c r="E40">
        <v>47950</v>
      </c>
      <c r="F40">
        <v>49708</v>
      </c>
      <c r="G40">
        <v>99356</v>
      </c>
      <c r="H40">
        <v>66.599999999999994</v>
      </c>
    </row>
    <row r="41" spans="1:8" x14ac:dyDescent="0.2">
      <c r="A41">
        <v>1995</v>
      </c>
      <c r="B41" s="1" t="s">
        <v>23</v>
      </c>
      <c r="C41" s="1" t="s">
        <v>14</v>
      </c>
      <c r="D41">
        <v>26189</v>
      </c>
      <c r="E41">
        <v>34500</v>
      </c>
      <c r="F41">
        <v>36622</v>
      </c>
      <c r="G41">
        <v>71486</v>
      </c>
      <c r="H41">
        <v>66.599999999999994</v>
      </c>
    </row>
    <row r="42" spans="1:8" x14ac:dyDescent="0.2">
      <c r="A42">
        <v>1996</v>
      </c>
      <c r="B42" s="1" t="s">
        <v>10</v>
      </c>
      <c r="C42" s="1" t="s">
        <v>11</v>
      </c>
      <c r="D42">
        <v>28315</v>
      </c>
      <c r="E42">
        <v>72500</v>
      </c>
      <c r="F42">
        <v>82240</v>
      </c>
      <c r="G42">
        <v>146058</v>
      </c>
      <c r="H42">
        <v>68.5</v>
      </c>
    </row>
    <row r="43" spans="1:8" x14ac:dyDescent="0.2">
      <c r="A43">
        <v>1996</v>
      </c>
      <c r="B43" s="1" t="s">
        <v>10</v>
      </c>
      <c r="C43" s="1" t="s">
        <v>12</v>
      </c>
      <c r="D43">
        <v>2128</v>
      </c>
      <c r="E43">
        <v>31500</v>
      </c>
      <c r="F43">
        <v>35368</v>
      </c>
      <c r="G43">
        <v>63460</v>
      </c>
      <c r="H43">
        <v>68.5</v>
      </c>
    </row>
    <row r="44" spans="1:8" x14ac:dyDescent="0.2">
      <c r="A44">
        <v>1996</v>
      </c>
      <c r="B44" s="1" t="s">
        <v>10</v>
      </c>
      <c r="C44" s="1" t="s">
        <v>13</v>
      </c>
      <c r="D44">
        <v>27200</v>
      </c>
      <c r="E44">
        <v>43950</v>
      </c>
      <c r="F44">
        <v>45759</v>
      </c>
      <c r="G44">
        <v>88542</v>
      </c>
      <c r="H44">
        <v>68.5</v>
      </c>
    </row>
    <row r="45" spans="1:8" x14ac:dyDescent="0.2">
      <c r="A45">
        <v>1996</v>
      </c>
      <c r="B45" s="1" t="s">
        <v>10</v>
      </c>
      <c r="C45" s="1" t="s">
        <v>14</v>
      </c>
      <c r="D45">
        <v>18893</v>
      </c>
      <c r="E45">
        <v>33750</v>
      </c>
      <c r="F45">
        <v>35545</v>
      </c>
      <c r="G45">
        <v>67993</v>
      </c>
      <c r="H45">
        <v>68.5</v>
      </c>
    </row>
    <row r="46" spans="1:8" x14ac:dyDescent="0.2">
      <c r="A46">
        <v>1996</v>
      </c>
      <c r="B46" s="1" t="s">
        <v>15</v>
      </c>
      <c r="C46" s="1" t="s">
        <v>11</v>
      </c>
      <c r="D46">
        <v>36005</v>
      </c>
      <c r="E46">
        <v>89000</v>
      </c>
      <c r="F46">
        <v>106715</v>
      </c>
      <c r="G46">
        <v>179299</v>
      </c>
      <c r="H46">
        <v>68.5</v>
      </c>
    </row>
    <row r="47" spans="1:8" x14ac:dyDescent="0.2">
      <c r="A47">
        <v>1996</v>
      </c>
      <c r="B47" s="1" t="s">
        <v>15</v>
      </c>
      <c r="C47" s="1" t="s">
        <v>12</v>
      </c>
      <c r="D47">
        <v>13169</v>
      </c>
      <c r="E47">
        <v>38000</v>
      </c>
      <c r="F47">
        <v>42360</v>
      </c>
      <c r="G47">
        <v>76555</v>
      </c>
      <c r="H47">
        <v>68.5</v>
      </c>
    </row>
    <row r="48" spans="1:8" x14ac:dyDescent="0.2">
      <c r="A48">
        <v>1996</v>
      </c>
      <c r="B48" s="1" t="s">
        <v>15</v>
      </c>
      <c r="C48" s="1" t="s">
        <v>13</v>
      </c>
      <c r="D48">
        <v>32912</v>
      </c>
      <c r="E48">
        <v>57000</v>
      </c>
      <c r="F48">
        <v>63613</v>
      </c>
      <c r="G48">
        <v>114832</v>
      </c>
      <c r="H48">
        <v>68.5</v>
      </c>
    </row>
    <row r="49" spans="1:8" x14ac:dyDescent="0.2">
      <c r="A49">
        <v>1996</v>
      </c>
      <c r="B49" s="1" t="s">
        <v>15</v>
      </c>
      <c r="C49" s="1" t="s">
        <v>14</v>
      </c>
      <c r="D49">
        <v>32431</v>
      </c>
      <c r="E49">
        <v>48000</v>
      </c>
      <c r="F49">
        <v>52595</v>
      </c>
      <c r="G49">
        <v>96701</v>
      </c>
      <c r="H49">
        <v>68.5</v>
      </c>
    </row>
    <row r="50" spans="1:8" x14ac:dyDescent="0.2">
      <c r="A50">
        <v>1996</v>
      </c>
      <c r="B50" s="1" t="s">
        <v>16</v>
      </c>
      <c r="C50" s="1" t="s">
        <v>11</v>
      </c>
      <c r="D50">
        <v>7376</v>
      </c>
      <c r="E50">
        <v>165000</v>
      </c>
      <c r="F50">
        <v>217827</v>
      </c>
      <c r="G50">
        <v>332409</v>
      </c>
      <c r="H50">
        <v>68.5</v>
      </c>
    </row>
    <row r="51" spans="1:8" x14ac:dyDescent="0.2">
      <c r="A51">
        <v>1996</v>
      </c>
      <c r="B51" s="1" t="s">
        <v>16</v>
      </c>
      <c r="C51" s="1" t="s">
        <v>12</v>
      </c>
      <c r="D51">
        <v>57841</v>
      </c>
      <c r="E51">
        <v>64500</v>
      </c>
      <c r="F51">
        <v>88802</v>
      </c>
      <c r="G51">
        <v>129942</v>
      </c>
      <c r="H51">
        <v>68.5</v>
      </c>
    </row>
    <row r="52" spans="1:8" x14ac:dyDescent="0.2">
      <c r="A52">
        <v>1996</v>
      </c>
      <c r="B52" s="1" t="s">
        <v>16</v>
      </c>
      <c r="C52" s="1" t="s">
        <v>13</v>
      </c>
      <c r="D52">
        <v>25013</v>
      </c>
      <c r="E52">
        <v>92000</v>
      </c>
      <c r="F52">
        <v>113836</v>
      </c>
      <c r="G52">
        <v>185343</v>
      </c>
      <c r="H52">
        <v>68.5</v>
      </c>
    </row>
    <row r="53" spans="1:8" x14ac:dyDescent="0.2">
      <c r="A53">
        <v>1996</v>
      </c>
      <c r="B53" s="1" t="s">
        <v>16</v>
      </c>
      <c r="C53" s="1" t="s">
        <v>14</v>
      </c>
      <c r="D53">
        <v>44733</v>
      </c>
      <c r="E53">
        <v>75000</v>
      </c>
      <c r="F53">
        <v>104592</v>
      </c>
      <c r="G53">
        <v>151095</v>
      </c>
      <c r="H53">
        <v>68.5</v>
      </c>
    </row>
    <row r="54" spans="1:8" x14ac:dyDescent="0.2">
      <c r="A54">
        <v>1996</v>
      </c>
      <c r="B54" s="1" t="s">
        <v>17</v>
      </c>
      <c r="C54" s="1" t="s">
        <v>11</v>
      </c>
      <c r="D54">
        <v>7439</v>
      </c>
      <c r="E54">
        <v>78500</v>
      </c>
      <c r="F54">
        <v>87999</v>
      </c>
      <c r="G54">
        <v>158146</v>
      </c>
      <c r="H54">
        <v>68.5</v>
      </c>
    </row>
    <row r="55" spans="1:8" x14ac:dyDescent="0.2">
      <c r="A55">
        <v>1996</v>
      </c>
      <c r="B55" s="1" t="s">
        <v>17</v>
      </c>
      <c r="C55" s="1" t="s">
        <v>12</v>
      </c>
      <c r="D55">
        <v>3738</v>
      </c>
      <c r="E55">
        <v>31000</v>
      </c>
      <c r="F55">
        <v>35372</v>
      </c>
      <c r="G55">
        <v>62453</v>
      </c>
      <c r="H55">
        <v>68.5</v>
      </c>
    </row>
    <row r="56" spans="1:8" x14ac:dyDescent="0.2">
      <c r="A56">
        <v>1996</v>
      </c>
      <c r="B56" s="1" t="s">
        <v>17</v>
      </c>
      <c r="C56" s="1" t="s">
        <v>13</v>
      </c>
      <c r="D56">
        <v>12967</v>
      </c>
      <c r="E56">
        <v>48000</v>
      </c>
      <c r="F56">
        <v>49602</v>
      </c>
      <c r="G56">
        <v>96701</v>
      </c>
      <c r="H56">
        <v>68.5</v>
      </c>
    </row>
    <row r="57" spans="1:8" x14ac:dyDescent="0.2">
      <c r="A57">
        <v>1996</v>
      </c>
      <c r="B57" s="1" t="s">
        <v>17</v>
      </c>
      <c r="C57" s="1" t="s">
        <v>14</v>
      </c>
      <c r="D57">
        <v>13302</v>
      </c>
      <c r="E57">
        <v>33000</v>
      </c>
      <c r="F57">
        <v>37365</v>
      </c>
      <c r="G57">
        <v>66482</v>
      </c>
      <c r="H57">
        <v>68.5</v>
      </c>
    </row>
    <row r="58" spans="1:8" x14ac:dyDescent="0.2">
      <c r="A58">
        <v>1996</v>
      </c>
      <c r="B58" s="1" t="s">
        <v>18</v>
      </c>
      <c r="C58" s="1" t="s">
        <v>11</v>
      </c>
      <c r="D58">
        <v>21915</v>
      </c>
      <c r="E58">
        <v>84500</v>
      </c>
      <c r="F58">
        <v>97170</v>
      </c>
      <c r="G58">
        <v>170234</v>
      </c>
      <c r="H58">
        <v>68.5</v>
      </c>
    </row>
    <row r="59" spans="1:8" x14ac:dyDescent="0.2">
      <c r="A59">
        <v>1996</v>
      </c>
      <c r="B59" s="1" t="s">
        <v>18</v>
      </c>
      <c r="C59" s="1" t="s">
        <v>12</v>
      </c>
      <c r="D59">
        <v>6372</v>
      </c>
      <c r="E59">
        <v>39500</v>
      </c>
      <c r="F59">
        <v>45958</v>
      </c>
      <c r="G59">
        <v>79577</v>
      </c>
      <c r="H59">
        <v>68.5</v>
      </c>
    </row>
    <row r="60" spans="1:8" x14ac:dyDescent="0.2">
      <c r="A60">
        <v>1996</v>
      </c>
      <c r="B60" s="1" t="s">
        <v>18</v>
      </c>
      <c r="C60" s="1" t="s">
        <v>13</v>
      </c>
      <c r="D60">
        <v>40228</v>
      </c>
      <c r="E60">
        <v>49950</v>
      </c>
      <c r="F60">
        <v>52346</v>
      </c>
      <c r="G60">
        <v>100629</v>
      </c>
      <c r="H60">
        <v>68.5</v>
      </c>
    </row>
    <row r="61" spans="1:8" x14ac:dyDescent="0.2">
      <c r="A61">
        <v>1996</v>
      </c>
      <c r="B61" s="1" t="s">
        <v>18</v>
      </c>
      <c r="C61" s="1" t="s">
        <v>14</v>
      </c>
      <c r="D61">
        <v>37873</v>
      </c>
      <c r="E61">
        <v>32995</v>
      </c>
      <c r="F61">
        <v>34865</v>
      </c>
      <c r="G61">
        <v>66472</v>
      </c>
      <c r="H61">
        <v>68.5</v>
      </c>
    </row>
    <row r="62" spans="1:8" x14ac:dyDescent="0.2">
      <c r="A62">
        <v>1996</v>
      </c>
      <c r="B62" s="1" t="s">
        <v>19</v>
      </c>
      <c r="C62" s="1" t="s">
        <v>11</v>
      </c>
      <c r="D62">
        <v>53293</v>
      </c>
      <c r="E62">
        <v>118700</v>
      </c>
      <c r="F62">
        <v>139706</v>
      </c>
      <c r="G62">
        <v>239133</v>
      </c>
      <c r="H62">
        <v>68.5</v>
      </c>
    </row>
    <row r="63" spans="1:8" x14ac:dyDescent="0.2">
      <c r="A63">
        <v>1996</v>
      </c>
      <c r="B63" s="1" t="s">
        <v>19</v>
      </c>
      <c r="C63" s="1" t="s">
        <v>12</v>
      </c>
      <c r="D63">
        <v>26847</v>
      </c>
      <c r="E63">
        <v>43500</v>
      </c>
      <c r="F63">
        <v>48840</v>
      </c>
      <c r="G63">
        <v>87635</v>
      </c>
      <c r="H63">
        <v>68.5</v>
      </c>
    </row>
    <row r="64" spans="1:8" x14ac:dyDescent="0.2">
      <c r="A64">
        <v>1996</v>
      </c>
      <c r="B64" s="1" t="s">
        <v>19</v>
      </c>
      <c r="C64" s="1" t="s">
        <v>13</v>
      </c>
      <c r="D64">
        <v>49631</v>
      </c>
      <c r="E64">
        <v>69000</v>
      </c>
      <c r="F64">
        <v>74709</v>
      </c>
      <c r="G64">
        <v>139007</v>
      </c>
      <c r="H64">
        <v>68.5</v>
      </c>
    </row>
    <row r="65" spans="1:8" x14ac:dyDescent="0.2">
      <c r="A65">
        <v>1996</v>
      </c>
      <c r="B65" s="1" t="s">
        <v>19</v>
      </c>
      <c r="C65" s="1" t="s">
        <v>14</v>
      </c>
      <c r="D65">
        <v>47595</v>
      </c>
      <c r="E65">
        <v>55500</v>
      </c>
      <c r="F65">
        <v>59909</v>
      </c>
      <c r="G65">
        <v>111810</v>
      </c>
      <c r="H65">
        <v>68.5</v>
      </c>
    </row>
    <row r="66" spans="1:8" x14ac:dyDescent="0.2">
      <c r="A66">
        <v>1996</v>
      </c>
      <c r="B66" s="1" t="s">
        <v>20</v>
      </c>
      <c r="C66" s="1" t="s">
        <v>11</v>
      </c>
      <c r="D66">
        <v>35330</v>
      </c>
      <c r="E66">
        <v>87000</v>
      </c>
      <c r="F66">
        <v>99941</v>
      </c>
      <c r="G66">
        <v>175270</v>
      </c>
      <c r="H66">
        <v>68.5</v>
      </c>
    </row>
    <row r="67" spans="1:8" x14ac:dyDescent="0.2">
      <c r="A67">
        <v>1996</v>
      </c>
      <c r="B67" s="1" t="s">
        <v>20</v>
      </c>
      <c r="C67" s="1" t="s">
        <v>12</v>
      </c>
      <c r="D67">
        <v>12231</v>
      </c>
      <c r="E67">
        <v>40000</v>
      </c>
      <c r="F67">
        <v>48059</v>
      </c>
      <c r="G67">
        <v>80584</v>
      </c>
      <c r="H67">
        <v>68.5</v>
      </c>
    </row>
    <row r="68" spans="1:8" x14ac:dyDescent="0.2">
      <c r="A68">
        <v>1996</v>
      </c>
      <c r="B68" s="1" t="s">
        <v>20</v>
      </c>
      <c r="C68" s="1" t="s">
        <v>13</v>
      </c>
      <c r="D68">
        <v>27048</v>
      </c>
      <c r="E68">
        <v>55500</v>
      </c>
      <c r="F68">
        <v>59672</v>
      </c>
      <c r="G68">
        <v>111810</v>
      </c>
      <c r="H68">
        <v>68.5</v>
      </c>
    </row>
    <row r="69" spans="1:8" x14ac:dyDescent="0.2">
      <c r="A69">
        <v>1996</v>
      </c>
      <c r="B69" s="1" t="s">
        <v>20</v>
      </c>
      <c r="C69" s="1" t="s">
        <v>14</v>
      </c>
      <c r="D69">
        <v>32141</v>
      </c>
      <c r="E69">
        <v>45000</v>
      </c>
      <c r="F69">
        <v>48970</v>
      </c>
      <c r="G69">
        <v>90657</v>
      </c>
      <c r="H69">
        <v>68.5</v>
      </c>
    </row>
    <row r="70" spans="1:8" x14ac:dyDescent="0.2">
      <c r="A70">
        <v>1996</v>
      </c>
      <c r="B70" s="1" t="s">
        <v>21</v>
      </c>
      <c r="C70" s="1" t="s">
        <v>11</v>
      </c>
      <c r="D70">
        <v>11990</v>
      </c>
      <c r="E70">
        <v>70500</v>
      </c>
      <c r="F70">
        <v>76813</v>
      </c>
      <c r="G70">
        <v>142029</v>
      </c>
      <c r="H70">
        <v>68.5</v>
      </c>
    </row>
    <row r="71" spans="1:8" x14ac:dyDescent="0.2">
      <c r="A71">
        <v>1996</v>
      </c>
      <c r="B71" s="1" t="s">
        <v>21</v>
      </c>
      <c r="C71" s="1" t="s">
        <v>12</v>
      </c>
      <c r="D71">
        <v>1603</v>
      </c>
      <c r="E71">
        <v>38950</v>
      </c>
      <c r="F71">
        <v>41272</v>
      </c>
      <c r="G71">
        <v>78469</v>
      </c>
      <c r="H71">
        <v>68.5</v>
      </c>
    </row>
    <row r="72" spans="1:8" x14ac:dyDescent="0.2">
      <c r="A72">
        <v>1996</v>
      </c>
      <c r="B72" s="1" t="s">
        <v>21</v>
      </c>
      <c r="C72" s="1" t="s">
        <v>13</v>
      </c>
      <c r="D72">
        <v>13332</v>
      </c>
      <c r="E72">
        <v>45500</v>
      </c>
      <c r="F72">
        <v>47582</v>
      </c>
      <c r="G72">
        <v>91664</v>
      </c>
      <c r="H72">
        <v>68.5</v>
      </c>
    </row>
    <row r="73" spans="1:8" x14ac:dyDescent="0.2">
      <c r="A73">
        <v>1996</v>
      </c>
      <c r="B73" s="1" t="s">
        <v>21</v>
      </c>
      <c r="C73" s="1" t="s">
        <v>14</v>
      </c>
      <c r="D73">
        <v>14117</v>
      </c>
      <c r="E73">
        <v>35950</v>
      </c>
      <c r="F73">
        <v>37221</v>
      </c>
      <c r="G73">
        <v>72425</v>
      </c>
      <c r="H73">
        <v>68.5</v>
      </c>
    </row>
    <row r="74" spans="1:8" x14ac:dyDescent="0.2">
      <c r="A74">
        <v>1996</v>
      </c>
      <c r="B74" s="1" t="s">
        <v>22</v>
      </c>
      <c r="C74" s="1" t="s">
        <v>11</v>
      </c>
      <c r="D74">
        <v>23513</v>
      </c>
      <c r="E74">
        <v>86000</v>
      </c>
      <c r="F74">
        <v>98457</v>
      </c>
      <c r="G74">
        <v>173255</v>
      </c>
      <c r="H74">
        <v>68.5</v>
      </c>
    </row>
    <row r="75" spans="1:8" x14ac:dyDescent="0.2">
      <c r="A75">
        <v>1996</v>
      </c>
      <c r="B75" s="1" t="s">
        <v>22</v>
      </c>
      <c r="C75" s="1" t="s">
        <v>12</v>
      </c>
      <c r="D75">
        <v>5681</v>
      </c>
      <c r="E75">
        <v>37000</v>
      </c>
      <c r="F75">
        <v>41283</v>
      </c>
      <c r="G75">
        <v>74540</v>
      </c>
      <c r="H75">
        <v>68.5</v>
      </c>
    </row>
    <row r="76" spans="1:8" x14ac:dyDescent="0.2">
      <c r="A76">
        <v>1996</v>
      </c>
      <c r="B76" s="1" t="s">
        <v>22</v>
      </c>
      <c r="C76" s="1" t="s">
        <v>13</v>
      </c>
      <c r="D76">
        <v>31098</v>
      </c>
      <c r="E76">
        <v>50000</v>
      </c>
      <c r="F76">
        <v>52937</v>
      </c>
      <c r="G76">
        <v>100730</v>
      </c>
      <c r="H76">
        <v>68.5</v>
      </c>
    </row>
    <row r="77" spans="1:8" x14ac:dyDescent="0.2">
      <c r="A77">
        <v>1996</v>
      </c>
      <c r="B77" s="1" t="s">
        <v>22</v>
      </c>
      <c r="C77" s="1" t="s">
        <v>14</v>
      </c>
      <c r="D77">
        <v>24523</v>
      </c>
      <c r="E77">
        <v>39000</v>
      </c>
      <c r="F77">
        <v>41198</v>
      </c>
      <c r="G77">
        <v>78569</v>
      </c>
      <c r="H77">
        <v>68.5</v>
      </c>
    </row>
    <row r="78" spans="1:8" x14ac:dyDescent="0.2">
      <c r="A78">
        <v>1996</v>
      </c>
      <c r="B78" s="1" t="s">
        <v>23</v>
      </c>
      <c r="C78" s="1" t="s">
        <v>11</v>
      </c>
      <c r="D78">
        <v>19260</v>
      </c>
      <c r="E78">
        <v>80000</v>
      </c>
      <c r="F78">
        <v>90867</v>
      </c>
      <c r="G78">
        <v>161168</v>
      </c>
      <c r="H78">
        <v>68.5</v>
      </c>
    </row>
    <row r="79" spans="1:8" x14ac:dyDescent="0.2">
      <c r="A79">
        <v>1996</v>
      </c>
      <c r="B79" s="1" t="s">
        <v>23</v>
      </c>
      <c r="C79" s="1" t="s">
        <v>12</v>
      </c>
      <c r="D79">
        <v>3425</v>
      </c>
      <c r="E79">
        <v>39000</v>
      </c>
      <c r="F79">
        <v>43653</v>
      </c>
      <c r="G79">
        <v>78569</v>
      </c>
      <c r="H79">
        <v>68.5</v>
      </c>
    </row>
    <row r="80" spans="1:8" x14ac:dyDescent="0.2">
      <c r="A80">
        <v>1996</v>
      </c>
      <c r="B80" s="1" t="s">
        <v>23</v>
      </c>
      <c r="C80" s="1" t="s">
        <v>13</v>
      </c>
      <c r="D80">
        <v>29488</v>
      </c>
      <c r="E80">
        <v>48000</v>
      </c>
      <c r="F80">
        <v>50221</v>
      </c>
      <c r="G80">
        <v>96701</v>
      </c>
      <c r="H80">
        <v>68.5</v>
      </c>
    </row>
    <row r="81" spans="1:8" x14ac:dyDescent="0.2">
      <c r="A81">
        <v>1996</v>
      </c>
      <c r="B81" s="1" t="s">
        <v>23</v>
      </c>
      <c r="C81" s="1" t="s">
        <v>14</v>
      </c>
      <c r="D81">
        <v>28241</v>
      </c>
      <c r="E81">
        <v>34500</v>
      </c>
      <c r="F81">
        <v>36822</v>
      </c>
      <c r="G81">
        <v>69504</v>
      </c>
      <c r="H81">
        <v>68.5</v>
      </c>
    </row>
    <row r="82" spans="1:8" x14ac:dyDescent="0.2">
      <c r="A82">
        <v>1997</v>
      </c>
      <c r="B82" s="1" t="s">
        <v>10</v>
      </c>
      <c r="C82" s="1" t="s">
        <v>11</v>
      </c>
      <c r="D82">
        <v>32519</v>
      </c>
      <c r="E82">
        <v>77000</v>
      </c>
      <c r="F82">
        <v>87418</v>
      </c>
      <c r="G82">
        <v>151800</v>
      </c>
      <c r="H82">
        <v>70</v>
      </c>
    </row>
    <row r="83" spans="1:8" x14ac:dyDescent="0.2">
      <c r="A83">
        <v>1997</v>
      </c>
      <c r="B83" s="1" t="s">
        <v>10</v>
      </c>
      <c r="C83" s="1" t="s">
        <v>12</v>
      </c>
      <c r="D83">
        <v>2523</v>
      </c>
      <c r="E83">
        <v>33500</v>
      </c>
      <c r="F83">
        <v>38851</v>
      </c>
      <c r="G83">
        <v>66043</v>
      </c>
      <c r="H83">
        <v>70</v>
      </c>
    </row>
    <row r="84" spans="1:8" x14ac:dyDescent="0.2">
      <c r="A84">
        <v>1997</v>
      </c>
      <c r="B84" s="1" t="s">
        <v>10</v>
      </c>
      <c r="C84" s="1" t="s">
        <v>13</v>
      </c>
      <c r="D84">
        <v>29869</v>
      </c>
      <c r="E84">
        <v>46000</v>
      </c>
      <c r="F84">
        <v>48500</v>
      </c>
      <c r="G84">
        <v>90686</v>
      </c>
      <c r="H84">
        <v>70</v>
      </c>
    </row>
    <row r="85" spans="1:8" x14ac:dyDescent="0.2">
      <c r="A85">
        <v>1997</v>
      </c>
      <c r="B85" s="1" t="s">
        <v>10</v>
      </c>
      <c r="C85" s="1" t="s">
        <v>14</v>
      </c>
      <c r="D85">
        <v>21344</v>
      </c>
      <c r="E85">
        <v>35500</v>
      </c>
      <c r="F85">
        <v>38168</v>
      </c>
      <c r="G85">
        <v>69986</v>
      </c>
      <c r="H85">
        <v>70</v>
      </c>
    </row>
    <row r="86" spans="1:8" x14ac:dyDescent="0.2">
      <c r="A86">
        <v>1997</v>
      </c>
      <c r="B86" s="1" t="s">
        <v>15</v>
      </c>
      <c r="C86" s="1" t="s">
        <v>11</v>
      </c>
      <c r="D86">
        <v>40778</v>
      </c>
      <c r="E86">
        <v>97000</v>
      </c>
      <c r="F86">
        <v>117223</v>
      </c>
      <c r="G86">
        <v>191229</v>
      </c>
      <c r="H86">
        <v>70</v>
      </c>
    </row>
    <row r="87" spans="1:8" x14ac:dyDescent="0.2">
      <c r="A87">
        <v>1997</v>
      </c>
      <c r="B87" s="1" t="s">
        <v>15</v>
      </c>
      <c r="C87" s="1" t="s">
        <v>12</v>
      </c>
      <c r="D87">
        <v>16054</v>
      </c>
      <c r="E87">
        <v>42000</v>
      </c>
      <c r="F87">
        <v>47540</v>
      </c>
      <c r="G87">
        <v>82800</v>
      </c>
      <c r="H87">
        <v>70</v>
      </c>
    </row>
    <row r="88" spans="1:8" x14ac:dyDescent="0.2">
      <c r="A88">
        <v>1997</v>
      </c>
      <c r="B88" s="1" t="s">
        <v>15</v>
      </c>
      <c r="C88" s="1" t="s">
        <v>13</v>
      </c>
      <c r="D88">
        <v>36712</v>
      </c>
      <c r="E88">
        <v>61500</v>
      </c>
      <c r="F88">
        <v>69631</v>
      </c>
      <c r="G88">
        <v>121243</v>
      </c>
      <c r="H88">
        <v>70</v>
      </c>
    </row>
    <row r="89" spans="1:8" x14ac:dyDescent="0.2">
      <c r="A89">
        <v>1997</v>
      </c>
      <c r="B89" s="1" t="s">
        <v>15</v>
      </c>
      <c r="C89" s="1" t="s">
        <v>14</v>
      </c>
      <c r="D89">
        <v>37561</v>
      </c>
      <c r="E89">
        <v>52000</v>
      </c>
      <c r="F89">
        <v>58151</v>
      </c>
      <c r="G89">
        <v>102514</v>
      </c>
      <c r="H89">
        <v>70</v>
      </c>
    </row>
    <row r="90" spans="1:8" x14ac:dyDescent="0.2">
      <c r="A90">
        <v>1997</v>
      </c>
      <c r="B90" s="1" t="s">
        <v>16</v>
      </c>
      <c r="C90" s="1" t="s">
        <v>11</v>
      </c>
      <c r="D90">
        <v>7639</v>
      </c>
      <c r="E90">
        <v>187500</v>
      </c>
      <c r="F90">
        <v>247569</v>
      </c>
      <c r="G90">
        <v>369643</v>
      </c>
      <c r="H90">
        <v>70</v>
      </c>
    </row>
    <row r="91" spans="1:8" x14ac:dyDescent="0.2">
      <c r="A91">
        <v>1997</v>
      </c>
      <c r="B91" s="1" t="s">
        <v>16</v>
      </c>
      <c r="C91" s="1" t="s">
        <v>12</v>
      </c>
      <c r="D91">
        <v>74245</v>
      </c>
      <c r="E91">
        <v>72000</v>
      </c>
      <c r="F91">
        <v>101347</v>
      </c>
      <c r="G91">
        <v>141943</v>
      </c>
      <c r="H91">
        <v>70</v>
      </c>
    </row>
    <row r="92" spans="1:8" x14ac:dyDescent="0.2">
      <c r="A92">
        <v>1997</v>
      </c>
      <c r="B92" s="1" t="s">
        <v>16</v>
      </c>
      <c r="C92" s="1" t="s">
        <v>13</v>
      </c>
      <c r="D92">
        <v>26320</v>
      </c>
      <c r="E92">
        <v>106000</v>
      </c>
      <c r="F92">
        <v>133220</v>
      </c>
      <c r="G92">
        <v>208971</v>
      </c>
      <c r="H92">
        <v>70</v>
      </c>
    </row>
    <row r="93" spans="1:8" x14ac:dyDescent="0.2">
      <c r="A93">
        <v>1997</v>
      </c>
      <c r="B93" s="1" t="s">
        <v>16</v>
      </c>
      <c r="C93" s="1" t="s">
        <v>14</v>
      </c>
      <c r="D93">
        <v>49144</v>
      </c>
      <c r="E93">
        <v>85000</v>
      </c>
      <c r="F93">
        <v>121408</v>
      </c>
      <c r="G93">
        <v>167571</v>
      </c>
      <c r="H93">
        <v>70</v>
      </c>
    </row>
    <row r="94" spans="1:8" x14ac:dyDescent="0.2">
      <c r="A94">
        <v>1997</v>
      </c>
      <c r="B94" s="1" t="s">
        <v>17</v>
      </c>
      <c r="C94" s="1" t="s">
        <v>11</v>
      </c>
      <c r="D94">
        <v>8171</v>
      </c>
      <c r="E94">
        <v>82000</v>
      </c>
      <c r="F94">
        <v>92433</v>
      </c>
      <c r="G94">
        <v>161657</v>
      </c>
      <c r="H94">
        <v>70</v>
      </c>
    </row>
    <row r="95" spans="1:8" x14ac:dyDescent="0.2">
      <c r="A95">
        <v>1997</v>
      </c>
      <c r="B95" s="1" t="s">
        <v>17</v>
      </c>
      <c r="C95" s="1" t="s">
        <v>12</v>
      </c>
      <c r="D95">
        <v>4244</v>
      </c>
      <c r="E95">
        <v>33500</v>
      </c>
      <c r="F95">
        <v>38866</v>
      </c>
      <c r="G95">
        <v>66043</v>
      </c>
      <c r="H95">
        <v>70</v>
      </c>
    </row>
    <row r="96" spans="1:8" x14ac:dyDescent="0.2">
      <c r="A96">
        <v>1997</v>
      </c>
      <c r="B96" s="1" t="s">
        <v>17</v>
      </c>
      <c r="C96" s="1" t="s">
        <v>13</v>
      </c>
      <c r="D96">
        <v>14266</v>
      </c>
      <c r="E96">
        <v>49950</v>
      </c>
      <c r="F96">
        <v>51851</v>
      </c>
      <c r="G96">
        <v>98473</v>
      </c>
      <c r="H96">
        <v>70</v>
      </c>
    </row>
    <row r="97" spans="1:8" x14ac:dyDescent="0.2">
      <c r="A97">
        <v>1997</v>
      </c>
      <c r="B97" s="1" t="s">
        <v>17</v>
      </c>
      <c r="C97" s="1" t="s">
        <v>14</v>
      </c>
      <c r="D97">
        <v>14152</v>
      </c>
      <c r="E97">
        <v>35000</v>
      </c>
      <c r="F97">
        <v>39664</v>
      </c>
      <c r="G97">
        <v>69000</v>
      </c>
      <c r="H97">
        <v>70</v>
      </c>
    </row>
    <row r="98" spans="1:8" x14ac:dyDescent="0.2">
      <c r="A98">
        <v>1997</v>
      </c>
      <c r="B98" s="1" t="s">
        <v>18</v>
      </c>
      <c r="C98" s="1" t="s">
        <v>11</v>
      </c>
      <c r="D98">
        <v>25773</v>
      </c>
      <c r="E98">
        <v>89000</v>
      </c>
      <c r="F98">
        <v>103926</v>
      </c>
      <c r="G98">
        <v>175457</v>
      </c>
      <c r="H98">
        <v>70</v>
      </c>
    </row>
    <row r="99" spans="1:8" x14ac:dyDescent="0.2">
      <c r="A99">
        <v>1997</v>
      </c>
      <c r="B99" s="1" t="s">
        <v>18</v>
      </c>
      <c r="C99" s="1" t="s">
        <v>12</v>
      </c>
      <c r="D99">
        <v>7055</v>
      </c>
      <c r="E99">
        <v>41000</v>
      </c>
      <c r="F99">
        <v>47994</v>
      </c>
      <c r="G99">
        <v>80829</v>
      </c>
      <c r="H99">
        <v>70</v>
      </c>
    </row>
    <row r="100" spans="1:8" x14ac:dyDescent="0.2">
      <c r="A100">
        <v>1997</v>
      </c>
      <c r="B100" s="1" t="s">
        <v>18</v>
      </c>
      <c r="C100" s="1" t="s">
        <v>13</v>
      </c>
      <c r="D100">
        <v>44360</v>
      </c>
      <c r="E100">
        <v>52000</v>
      </c>
      <c r="F100">
        <v>55337</v>
      </c>
      <c r="G100">
        <v>102514</v>
      </c>
      <c r="H100">
        <v>70</v>
      </c>
    </row>
    <row r="101" spans="1:8" x14ac:dyDescent="0.2">
      <c r="A101">
        <v>1997</v>
      </c>
      <c r="B101" s="1" t="s">
        <v>18</v>
      </c>
      <c r="C101" s="1" t="s">
        <v>14</v>
      </c>
      <c r="D101">
        <v>41820</v>
      </c>
      <c r="E101">
        <v>34000</v>
      </c>
      <c r="F101">
        <v>36620</v>
      </c>
      <c r="G101">
        <v>67029</v>
      </c>
      <c r="H101">
        <v>70</v>
      </c>
    </row>
    <row r="102" spans="1:8" x14ac:dyDescent="0.2">
      <c r="A102">
        <v>1997</v>
      </c>
      <c r="B102" s="1" t="s">
        <v>19</v>
      </c>
      <c r="C102" s="1" t="s">
        <v>11</v>
      </c>
      <c r="D102">
        <v>57030</v>
      </c>
      <c r="E102">
        <v>131000</v>
      </c>
      <c r="F102">
        <v>157021</v>
      </c>
      <c r="G102">
        <v>258257</v>
      </c>
      <c r="H102">
        <v>70</v>
      </c>
    </row>
    <row r="103" spans="1:8" x14ac:dyDescent="0.2">
      <c r="A103">
        <v>1997</v>
      </c>
      <c r="B103" s="1" t="s">
        <v>19</v>
      </c>
      <c r="C103" s="1" t="s">
        <v>12</v>
      </c>
      <c r="D103">
        <v>35297</v>
      </c>
      <c r="E103">
        <v>48000</v>
      </c>
      <c r="F103">
        <v>53630</v>
      </c>
      <c r="G103">
        <v>94629</v>
      </c>
      <c r="H103">
        <v>70</v>
      </c>
    </row>
    <row r="104" spans="1:8" x14ac:dyDescent="0.2">
      <c r="A104">
        <v>1997</v>
      </c>
      <c r="B104" s="1" t="s">
        <v>19</v>
      </c>
      <c r="C104" s="1" t="s">
        <v>13</v>
      </c>
      <c r="D104">
        <v>54479</v>
      </c>
      <c r="E104">
        <v>76500</v>
      </c>
      <c r="F104">
        <v>83555</v>
      </c>
      <c r="G104">
        <v>150814</v>
      </c>
      <c r="H104">
        <v>70</v>
      </c>
    </row>
    <row r="105" spans="1:8" x14ac:dyDescent="0.2">
      <c r="A105">
        <v>1997</v>
      </c>
      <c r="B105" s="1" t="s">
        <v>19</v>
      </c>
      <c r="C105" s="1" t="s">
        <v>14</v>
      </c>
      <c r="D105">
        <v>55479</v>
      </c>
      <c r="E105">
        <v>60000</v>
      </c>
      <c r="F105">
        <v>66967</v>
      </c>
      <c r="G105">
        <v>118286</v>
      </c>
      <c r="H105">
        <v>70</v>
      </c>
    </row>
    <row r="106" spans="1:8" x14ac:dyDescent="0.2">
      <c r="A106">
        <v>1997</v>
      </c>
      <c r="B106" s="1" t="s">
        <v>20</v>
      </c>
      <c r="C106" s="1" t="s">
        <v>11</v>
      </c>
      <c r="D106">
        <v>39890</v>
      </c>
      <c r="E106">
        <v>95000</v>
      </c>
      <c r="F106">
        <v>110887</v>
      </c>
      <c r="G106">
        <v>187286</v>
      </c>
      <c r="H106">
        <v>70</v>
      </c>
    </row>
    <row r="107" spans="1:8" x14ac:dyDescent="0.2">
      <c r="A107">
        <v>1997</v>
      </c>
      <c r="B107" s="1" t="s">
        <v>20</v>
      </c>
      <c r="C107" s="1" t="s">
        <v>12</v>
      </c>
      <c r="D107">
        <v>15029</v>
      </c>
      <c r="E107">
        <v>43000</v>
      </c>
      <c r="F107">
        <v>52040</v>
      </c>
      <c r="G107">
        <v>84771</v>
      </c>
      <c r="H107">
        <v>70</v>
      </c>
    </row>
    <row r="108" spans="1:8" x14ac:dyDescent="0.2">
      <c r="A108">
        <v>1997</v>
      </c>
      <c r="B108" s="1" t="s">
        <v>20</v>
      </c>
      <c r="C108" s="1" t="s">
        <v>13</v>
      </c>
      <c r="D108">
        <v>30407</v>
      </c>
      <c r="E108">
        <v>59775</v>
      </c>
      <c r="F108">
        <v>64557</v>
      </c>
      <c r="G108">
        <v>117842</v>
      </c>
      <c r="H108">
        <v>70</v>
      </c>
    </row>
    <row r="109" spans="1:8" x14ac:dyDescent="0.2">
      <c r="A109">
        <v>1997</v>
      </c>
      <c r="B109" s="1" t="s">
        <v>20</v>
      </c>
      <c r="C109" s="1" t="s">
        <v>14</v>
      </c>
      <c r="D109">
        <v>38015</v>
      </c>
      <c r="E109">
        <v>48000</v>
      </c>
      <c r="F109">
        <v>53463</v>
      </c>
      <c r="G109">
        <v>94629</v>
      </c>
      <c r="H109">
        <v>70</v>
      </c>
    </row>
    <row r="110" spans="1:8" x14ac:dyDescent="0.2">
      <c r="A110">
        <v>1997</v>
      </c>
      <c r="B110" s="1" t="s">
        <v>21</v>
      </c>
      <c r="C110" s="1" t="s">
        <v>11</v>
      </c>
      <c r="D110">
        <v>13944</v>
      </c>
      <c r="E110">
        <v>75000</v>
      </c>
      <c r="F110">
        <v>81513</v>
      </c>
      <c r="G110">
        <v>147857</v>
      </c>
      <c r="H110">
        <v>70</v>
      </c>
    </row>
    <row r="111" spans="1:8" x14ac:dyDescent="0.2">
      <c r="A111">
        <v>1997</v>
      </c>
      <c r="B111" s="1" t="s">
        <v>21</v>
      </c>
      <c r="C111" s="1" t="s">
        <v>12</v>
      </c>
      <c r="D111">
        <v>2088</v>
      </c>
      <c r="E111">
        <v>39500</v>
      </c>
      <c r="F111">
        <v>44012</v>
      </c>
      <c r="G111">
        <v>77871</v>
      </c>
      <c r="H111">
        <v>70</v>
      </c>
    </row>
    <row r="112" spans="1:8" x14ac:dyDescent="0.2">
      <c r="A112">
        <v>1997</v>
      </c>
      <c r="B112" s="1" t="s">
        <v>21</v>
      </c>
      <c r="C112" s="1" t="s">
        <v>13</v>
      </c>
      <c r="D112">
        <v>14722</v>
      </c>
      <c r="E112">
        <v>47500</v>
      </c>
      <c r="F112">
        <v>50623</v>
      </c>
      <c r="G112">
        <v>93643</v>
      </c>
      <c r="H112">
        <v>70</v>
      </c>
    </row>
    <row r="113" spans="1:8" x14ac:dyDescent="0.2">
      <c r="A113">
        <v>1997</v>
      </c>
      <c r="B113" s="1" t="s">
        <v>21</v>
      </c>
      <c r="C113" s="1" t="s">
        <v>14</v>
      </c>
      <c r="D113">
        <v>16463</v>
      </c>
      <c r="E113">
        <v>37000</v>
      </c>
      <c r="F113">
        <v>39448</v>
      </c>
      <c r="G113">
        <v>72943</v>
      </c>
      <c r="H113">
        <v>70</v>
      </c>
    </row>
    <row r="114" spans="1:8" x14ac:dyDescent="0.2">
      <c r="A114">
        <v>1997</v>
      </c>
      <c r="B114" s="1" t="s">
        <v>22</v>
      </c>
      <c r="C114" s="1" t="s">
        <v>11</v>
      </c>
      <c r="D114">
        <v>26072</v>
      </c>
      <c r="E114">
        <v>92000</v>
      </c>
      <c r="F114">
        <v>106880</v>
      </c>
      <c r="G114">
        <v>181371</v>
      </c>
      <c r="H114">
        <v>70</v>
      </c>
    </row>
    <row r="115" spans="1:8" x14ac:dyDescent="0.2">
      <c r="A115">
        <v>1997</v>
      </c>
      <c r="B115" s="1" t="s">
        <v>22</v>
      </c>
      <c r="C115" s="1" t="s">
        <v>12</v>
      </c>
      <c r="D115">
        <v>6724</v>
      </c>
      <c r="E115">
        <v>38500</v>
      </c>
      <c r="F115">
        <v>43197</v>
      </c>
      <c r="G115">
        <v>75900</v>
      </c>
      <c r="H115">
        <v>70</v>
      </c>
    </row>
    <row r="116" spans="1:8" x14ac:dyDescent="0.2">
      <c r="A116">
        <v>1997</v>
      </c>
      <c r="B116" s="1" t="s">
        <v>22</v>
      </c>
      <c r="C116" s="1" t="s">
        <v>13</v>
      </c>
      <c r="D116">
        <v>33827</v>
      </c>
      <c r="E116">
        <v>53000</v>
      </c>
      <c r="F116">
        <v>56520</v>
      </c>
      <c r="G116">
        <v>104486</v>
      </c>
      <c r="H116">
        <v>70</v>
      </c>
    </row>
    <row r="117" spans="1:8" x14ac:dyDescent="0.2">
      <c r="A117">
        <v>1997</v>
      </c>
      <c r="B117" s="1" t="s">
        <v>22</v>
      </c>
      <c r="C117" s="1" t="s">
        <v>14</v>
      </c>
      <c r="D117">
        <v>27221</v>
      </c>
      <c r="E117">
        <v>41000</v>
      </c>
      <c r="F117">
        <v>44031</v>
      </c>
      <c r="G117">
        <v>80829</v>
      </c>
      <c r="H117">
        <v>70</v>
      </c>
    </row>
    <row r="118" spans="1:8" x14ac:dyDescent="0.2">
      <c r="A118">
        <v>1997</v>
      </c>
      <c r="B118" s="1" t="s">
        <v>23</v>
      </c>
      <c r="C118" s="1" t="s">
        <v>11</v>
      </c>
      <c r="D118">
        <v>22117</v>
      </c>
      <c r="E118">
        <v>83000</v>
      </c>
      <c r="F118">
        <v>94811</v>
      </c>
      <c r="G118">
        <v>163629</v>
      </c>
      <c r="H118">
        <v>70</v>
      </c>
    </row>
    <row r="119" spans="1:8" x14ac:dyDescent="0.2">
      <c r="A119">
        <v>1997</v>
      </c>
      <c r="B119" s="1" t="s">
        <v>23</v>
      </c>
      <c r="C119" s="1" t="s">
        <v>12</v>
      </c>
      <c r="D119">
        <v>4032</v>
      </c>
      <c r="E119">
        <v>40000</v>
      </c>
      <c r="F119">
        <v>45930</v>
      </c>
      <c r="G119">
        <v>78857</v>
      </c>
      <c r="H119">
        <v>70</v>
      </c>
    </row>
    <row r="120" spans="1:8" x14ac:dyDescent="0.2">
      <c r="A120">
        <v>1997</v>
      </c>
      <c r="B120" s="1" t="s">
        <v>23</v>
      </c>
      <c r="C120" s="1" t="s">
        <v>13</v>
      </c>
      <c r="D120">
        <v>32245</v>
      </c>
      <c r="E120">
        <v>49500</v>
      </c>
      <c r="F120">
        <v>52268</v>
      </c>
      <c r="G120">
        <v>97586</v>
      </c>
      <c r="H120">
        <v>70</v>
      </c>
    </row>
    <row r="121" spans="1:8" x14ac:dyDescent="0.2">
      <c r="A121">
        <v>1997</v>
      </c>
      <c r="B121" s="1" t="s">
        <v>23</v>
      </c>
      <c r="C121" s="1" t="s">
        <v>14</v>
      </c>
      <c r="D121">
        <v>30374</v>
      </c>
      <c r="E121">
        <v>35950</v>
      </c>
      <c r="F121">
        <v>38544</v>
      </c>
      <c r="G121">
        <v>70873</v>
      </c>
      <c r="H121">
        <v>70</v>
      </c>
    </row>
    <row r="122" spans="1:8" x14ac:dyDescent="0.2">
      <c r="A122">
        <v>1998</v>
      </c>
      <c r="B122" s="1" t="s">
        <v>10</v>
      </c>
      <c r="C122" s="1" t="s">
        <v>11</v>
      </c>
      <c r="D122">
        <v>31510</v>
      </c>
      <c r="E122">
        <v>81950</v>
      </c>
      <c r="F122">
        <v>94411</v>
      </c>
      <c r="G122">
        <v>158613</v>
      </c>
      <c r="H122">
        <v>71.3</v>
      </c>
    </row>
    <row r="123" spans="1:8" x14ac:dyDescent="0.2">
      <c r="A123">
        <v>1998</v>
      </c>
      <c r="B123" s="1" t="s">
        <v>10</v>
      </c>
      <c r="C123" s="1" t="s">
        <v>12</v>
      </c>
      <c r="D123">
        <v>2595</v>
      </c>
      <c r="E123">
        <v>35000</v>
      </c>
      <c r="F123">
        <v>42248</v>
      </c>
      <c r="G123">
        <v>67742</v>
      </c>
      <c r="H123">
        <v>71.3</v>
      </c>
    </row>
    <row r="124" spans="1:8" x14ac:dyDescent="0.2">
      <c r="A124">
        <v>1998</v>
      </c>
      <c r="B124" s="1" t="s">
        <v>10</v>
      </c>
      <c r="C124" s="1" t="s">
        <v>13</v>
      </c>
      <c r="D124">
        <v>29290</v>
      </c>
      <c r="E124">
        <v>48000</v>
      </c>
      <c r="F124">
        <v>51371</v>
      </c>
      <c r="G124">
        <v>92903</v>
      </c>
      <c r="H124">
        <v>71.3</v>
      </c>
    </row>
    <row r="125" spans="1:8" x14ac:dyDescent="0.2">
      <c r="A125">
        <v>1998</v>
      </c>
      <c r="B125" s="1" t="s">
        <v>10</v>
      </c>
      <c r="C125" s="1" t="s">
        <v>14</v>
      </c>
      <c r="D125">
        <v>21426</v>
      </c>
      <c r="E125">
        <v>37000</v>
      </c>
      <c r="F125">
        <v>40565</v>
      </c>
      <c r="G125">
        <v>71613</v>
      </c>
      <c r="H125">
        <v>71.3</v>
      </c>
    </row>
    <row r="126" spans="1:8" x14ac:dyDescent="0.2">
      <c r="A126">
        <v>1998</v>
      </c>
      <c r="B126" s="1" t="s">
        <v>15</v>
      </c>
      <c r="C126" s="1" t="s">
        <v>11</v>
      </c>
      <c r="D126">
        <v>37516</v>
      </c>
      <c r="E126">
        <v>110000</v>
      </c>
      <c r="F126">
        <v>131055</v>
      </c>
      <c r="G126">
        <v>212903</v>
      </c>
      <c r="H126">
        <v>71.3</v>
      </c>
    </row>
    <row r="127" spans="1:8" x14ac:dyDescent="0.2">
      <c r="A127">
        <v>1998</v>
      </c>
      <c r="B127" s="1" t="s">
        <v>15</v>
      </c>
      <c r="C127" s="1" t="s">
        <v>12</v>
      </c>
      <c r="D127">
        <v>16070</v>
      </c>
      <c r="E127">
        <v>45500</v>
      </c>
      <c r="F127">
        <v>50478</v>
      </c>
      <c r="G127">
        <v>88065</v>
      </c>
      <c r="H127">
        <v>71.3</v>
      </c>
    </row>
    <row r="128" spans="1:8" x14ac:dyDescent="0.2">
      <c r="A128">
        <v>1998</v>
      </c>
      <c r="B128" s="1" t="s">
        <v>15</v>
      </c>
      <c r="C128" s="1" t="s">
        <v>13</v>
      </c>
      <c r="D128">
        <v>34930</v>
      </c>
      <c r="E128">
        <v>67250</v>
      </c>
      <c r="F128">
        <v>76813</v>
      </c>
      <c r="G128">
        <v>130161</v>
      </c>
      <c r="H128">
        <v>71.3</v>
      </c>
    </row>
    <row r="129" spans="1:8" x14ac:dyDescent="0.2">
      <c r="A129">
        <v>1998</v>
      </c>
      <c r="B129" s="1" t="s">
        <v>15</v>
      </c>
      <c r="C129" s="1" t="s">
        <v>14</v>
      </c>
      <c r="D129">
        <v>36117</v>
      </c>
      <c r="E129">
        <v>57000</v>
      </c>
      <c r="F129">
        <v>64677</v>
      </c>
      <c r="G129">
        <v>110323</v>
      </c>
      <c r="H129">
        <v>71.3</v>
      </c>
    </row>
    <row r="130" spans="1:8" x14ac:dyDescent="0.2">
      <c r="A130">
        <v>1998</v>
      </c>
      <c r="B130" s="1" t="s">
        <v>16</v>
      </c>
      <c r="C130" s="1" t="s">
        <v>11</v>
      </c>
      <c r="D130">
        <v>6354</v>
      </c>
      <c r="E130">
        <v>218000</v>
      </c>
      <c r="F130">
        <v>302783</v>
      </c>
      <c r="G130">
        <v>421935</v>
      </c>
      <c r="H130">
        <v>71.3</v>
      </c>
    </row>
    <row r="131" spans="1:8" x14ac:dyDescent="0.2">
      <c r="A131">
        <v>1998</v>
      </c>
      <c r="B131" s="1" t="s">
        <v>16</v>
      </c>
      <c r="C131" s="1" t="s">
        <v>12</v>
      </c>
      <c r="D131">
        <v>73114</v>
      </c>
      <c r="E131">
        <v>81000</v>
      </c>
      <c r="F131">
        <v>115025</v>
      </c>
      <c r="G131">
        <v>156774</v>
      </c>
      <c r="H131">
        <v>71.3</v>
      </c>
    </row>
    <row r="132" spans="1:8" x14ac:dyDescent="0.2">
      <c r="A132">
        <v>1998</v>
      </c>
      <c r="B132" s="1" t="s">
        <v>16</v>
      </c>
      <c r="C132" s="1" t="s">
        <v>13</v>
      </c>
      <c r="D132">
        <v>23052</v>
      </c>
      <c r="E132">
        <v>123500</v>
      </c>
      <c r="F132">
        <v>151470</v>
      </c>
      <c r="G132">
        <v>239032</v>
      </c>
      <c r="H132">
        <v>71.3</v>
      </c>
    </row>
    <row r="133" spans="1:8" x14ac:dyDescent="0.2">
      <c r="A133">
        <v>1998</v>
      </c>
      <c r="B133" s="1" t="s">
        <v>16</v>
      </c>
      <c r="C133" s="1" t="s">
        <v>14</v>
      </c>
      <c r="D133">
        <v>46049</v>
      </c>
      <c r="E133">
        <v>96000</v>
      </c>
      <c r="F133">
        <v>136154</v>
      </c>
      <c r="G133">
        <v>185806</v>
      </c>
      <c r="H133">
        <v>71.3</v>
      </c>
    </row>
    <row r="134" spans="1:8" x14ac:dyDescent="0.2">
      <c r="A134">
        <v>1998</v>
      </c>
      <c r="B134" s="1" t="s">
        <v>17</v>
      </c>
      <c r="C134" s="1" t="s">
        <v>11</v>
      </c>
      <c r="D134">
        <v>8570</v>
      </c>
      <c r="E134">
        <v>83995</v>
      </c>
      <c r="F134">
        <v>94737</v>
      </c>
      <c r="G134">
        <v>162571</v>
      </c>
      <c r="H134">
        <v>71.3</v>
      </c>
    </row>
    <row r="135" spans="1:8" x14ac:dyDescent="0.2">
      <c r="A135">
        <v>1998</v>
      </c>
      <c r="B135" s="1" t="s">
        <v>17</v>
      </c>
      <c r="C135" s="1" t="s">
        <v>12</v>
      </c>
      <c r="D135">
        <v>4454</v>
      </c>
      <c r="E135">
        <v>35000</v>
      </c>
      <c r="F135">
        <v>41319</v>
      </c>
      <c r="G135">
        <v>67742</v>
      </c>
      <c r="H135">
        <v>71.3</v>
      </c>
    </row>
    <row r="136" spans="1:8" x14ac:dyDescent="0.2">
      <c r="A136">
        <v>1998</v>
      </c>
      <c r="B136" s="1" t="s">
        <v>17</v>
      </c>
      <c r="C136" s="1" t="s">
        <v>13</v>
      </c>
      <c r="D136">
        <v>14082</v>
      </c>
      <c r="E136">
        <v>50000</v>
      </c>
      <c r="F136">
        <v>53448</v>
      </c>
      <c r="G136">
        <v>96774</v>
      </c>
      <c r="H136">
        <v>71.3</v>
      </c>
    </row>
    <row r="137" spans="1:8" x14ac:dyDescent="0.2">
      <c r="A137">
        <v>1998</v>
      </c>
      <c r="B137" s="1" t="s">
        <v>17</v>
      </c>
      <c r="C137" s="1" t="s">
        <v>14</v>
      </c>
      <c r="D137">
        <v>14585</v>
      </c>
      <c r="E137">
        <v>35000</v>
      </c>
      <c r="F137">
        <v>40527</v>
      </c>
      <c r="G137">
        <v>67742</v>
      </c>
      <c r="H137">
        <v>71.3</v>
      </c>
    </row>
    <row r="138" spans="1:8" x14ac:dyDescent="0.2">
      <c r="A138">
        <v>1998</v>
      </c>
      <c r="B138" s="1" t="s">
        <v>18</v>
      </c>
      <c r="C138" s="1" t="s">
        <v>11</v>
      </c>
      <c r="D138">
        <v>25934</v>
      </c>
      <c r="E138">
        <v>92000</v>
      </c>
      <c r="F138">
        <v>108159</v>
      </c>
      <c r="G138">
        <v>178065</v>
      </c>
      <c r="H138">
        <v>71.3</v>
      </c>
    </row>
    <row r="139" spans="1:8" x14ac:dyDescent="0.2">
      <c r="A139">
        <v>1998</v>
      </c>
      <c r="B139" s="1" t="s">
        <v>18</v>
      </c>
      <c r="C139" s="1" t="s">
        <v>12</v>
      </c>
      <c r="D139">
        <v>7296</v>
      </c>
      <c r="E139">
        <v>44000</v>
      </c>
      <c r="F139">
        <v>51671</v>
      </c>
      <c r="G139">
        <v>85161</v>
      </c>
      <c r="H139">
        <v>71.3</v>
      </c>
    </row>
    <row r="140" spans="1:8" x14ac:dyDescent="0.2">
      <c r="A140">
        <v>1998</v>
      </c>
      <c r="B140" s="1" t="s">
        <v>18</v>
      </c>
      <c r="C140" s="1" t="s">
        <v>13</v>
      </c>
      <c r="D140">
        <v>43916</v>
      </c>
      <c r="E140">
        <v>53500</v>
      </c>
      <c r="F140">
        <v>57020</v>
      </c>
      <c r="G140">
        <v>103548</v>
      </c>
      <c r="H140">
        <v>71.3</v>
      </c>
    </row>
    <row r="141" spans="1:8" x14ac:dyDescent="0.2">
      <c r="A141">
        <v>1998</v>
      </c>
      <c r="B141" s="1" t="s">
        <v>18</v>
      </c>
      <c r="C141" s="1" t="s">
        <v>14</v>
      </c>
      <c r="D141">
        <v>41726</v>
      </c>
      <c r="E141">
        <v>34500</v>
      </c>
      <c r="F141">
        <v>37730</v>
      </c>
      <c r="G141">
        <v>66774</v>
      </c>
      <c r="H141">
        <v>71.3</v>
      </c>
    </row>
    <row r="142" spans="1:8" x14ac:dyDescent="0.2">
      <c r="A142">
        <v>1998</v>
      </c>
      <c r="B142" s="1" t="s">
        <v>19</v>
      </c>
      <c r="C142" s="1" t="s">
        <v>11</v>
      </c>
      <c r="D142">
        <v>51067</v>
      </c>
      <c r="E142">
        <v>149000</v>
      </c>
      <c r="F142">
        <v>179495</v>
      </c>
      <c r="G142">
        <v>288387</v>
      </c>
      <c r="H142">
        <v>71.3</v>
      </c>
    </row>
    <row r="143" spans="1:8" x14ac:dyDescent="0.2">
      <c r="A143">
        <v>1998</v>
      </c>
      <c r="B143" s="1" t="s">
        <v>19</v>
      </c>
      <c r="C143" s="1" t="s">
        <v>12</v>
      </c>
      <c r="D143">
        <v>34806</v>
      </c>
      <c r="E143">
        <v>53000</v>
      </c>
      <c r="F143">
        <v>60542</v>
      </c>
      <c r="G143">
        <v>102581</v>
      </c>
      <c r="H143">
        <v>71.3</v>
      </c>
    </row>
    <row r="144" spans="1:8" x14ac:dyDescent="0.2">
      <c r="A144">
        <v>1998</v>
      </c>
      <c r="B144" s="1" t="s">
        <v>19</v>
      </c>
      <c r="C144" s="1" t="s">
        <v>13</v>
      </c>
      <c r="D144">
        <v>50614</v>
      </c>
      <c r="E144">
        <v>86000</v>
      </c>
      <c r="F144">
        <v>95372</v>
      </c>
      <c r="G144">
        <v>166452</v>
      </c>
      <c r="H144">
        <v>71.3</v>
      </c>
    </row>
    <row r="145" spans="1:8" x14ac:dyDescent="0.2">
      <c r="A145">
        <v>1998</v>
      </c>
      <c r="B145" s="1" t="s">
        <v>19</v>
      </c>
      <c r="C145" s="1" t="s">
        <v>14</v>
      </c>
      <c r="D145">
        <v>52204</v>
      </c>
      <c r="E145">
        <v>68000</v>
      </c>
      <c r="F145">
        <v>75866</v>
      </c>
      <c r="G145">
        <v>131613</v>
      </c>
      <c r="H145">
        <v>71.3</v>
      </c>
    </row>
    <row r="146" spans="1:8" x14ac:dyDescent="0.2">
      <c r="A146">
        <v>1998</v>
      </c>
      <c r="B146" s="1" t="s">
        <v>20</v>
      </c>
      <c r="C146" s="1" t="s">
        <v>11</v>
      </c>
      <c r="D146">
        <v>36583</v>
      </c>
      <c r="E146">
        <v>105000</v>
      </c>
      <c r="F146">
        <v>121909</v>
      </c>
      <c r="G146">
        <v>203226</v>
      </c>
      <c r="H146">
        <v>71.3</v>
      </c>
    </row>
    <row r="147" spans="1:8" x14ac:dyDescent="0.2">
      <c r="A147">
        <v>1998</v>
      </c>
      <c r="B147" s="1" t="s">
        <v>20</v>
      </c>
      <c r="C147" s="1" t="s">
        <v>12</v>
      </c>
      <c r="D147">
        <v>15485</v>
      </c>
      <c r="E147">
        <v>46000</v>
      </c>
      <c r="F147">
        <v>57304</v>
      </c>
      <c r="G147">
        <v>89032</v>
      </c>
      <c r="H147">
        <v>71.3</v>
      </c>
    </row>
    <row r="148" spans="1:8" x14ac:dyDescent="0.2">
      <c r="A148">
        <v>1998</v>
      </c>
      <c r="B148" s="1" t="s">
        <v>20</v>
      </c>
      <c r="C148" s="1" t="s">
        <v>13</v>
      </c>
      <c r="D148">
        <v>29165</v>
      </c>
      <c r="E148">
        <v>65000</v>
      </c>
      <c r="F148">
        <v>70941</v>
      </c>
      <c r="G148">
        <v>125806</v>
      </c>
      <c r="H148">
        <v>71.3</v>
      </c>
    </row>
    <row r="149" spans="1:8" x14ac:dyDescent="0.2">
      <c r="A149">
        <v>1998</v>
      </c>
      <c r="B149" s="1" t="s">
        <v>20</v>
      </c>
      <c r="C149" s="1" t="s">
        <v>14</v>
      </c>
      <c r="D149">
        <v>36966</v>
      </c>
      <c r="E149">
        <v>52000</v>
      </c>
      <c r="F149">
        <v>58122</v>
      </c>
      <c r="G149">
        <v>100645</v>
      </c>
      <c r="H149">
        <v>71.3</v>
      </c>
    </row>
    <row r="150" spans="1:8" x14ac:dyDescent="0.2">
      <c r="A150">
        <v>1998</v>
      </c>
      <c r="B150" s="1" t="s">
        <v>21</v>
      </c>
      <c r="C150" s="1" t="s">
        <v>11</v>
      </c>
      <c r="D150">
        <v>13460</v>
      </c>
      <c r="E150">
        <v>79000</v>
      </c>
      <c r="F150">
        <v>86535</v>
      </c>
      <c r="G150">
        <v>152903</v>
      </c>
      <c r="H150">
        <v>71.3</v>
      </c>
    </row>
    <row r="151" spans="1:8" x14ac:dyDescent="0.2">
      <c r="A151">
        <v>1998</v>
      </c>
      <c r="B151" s="1" t="s">
        <v>21</v>
      </c>
      <c r="C151" s="1" t="s">
        <v>12</v>
      </c>
      <c r="D151">
        <v>2012</v>
      </c>
      <c r="E151">
        <v>40500</v>
      </c>
      <c r="F151">
        <v>46448</v>
      </c>
      <c r="G151">
        <v>78387</v>
      </c>
      <c r="H151">
        <v>71.3</v>
      </c>
    </row>
    <row r="152" spans="1:8" x14ac:dyDescent="0.2">
      <c r="A152">
        <v>1998</v>
      </c>
      <c r="B152" s="1" t="s">
        <v>21</v>
      </c>
      <c r="C152" s="1" t="s">
        <v>13</v>
      </c>
      <c r="D152">
        <v>13355</v>
      </c>
      <c r="E152">
        <v>49000</v>
      </c>
      <c r="F152">
        <v>52114</v>
      </c>
      <c r="G152">
        <v>94839</v>
      </c>
      <c r="H152">
        <v>71.3</v>
      </c>
    </row>
    <row r="153" spans="1:8" x14ac:dyDescent="0.2">
      <c r="A153">
        <v>1998</v>
      </c>
      <c r="B153" s="1" t="s">
        <v>21</v>
      </c>
      <c r="C153" s="1" t="s">
        <v>14</v>
      </c>
      <c r="D153">
        <v>15683</v>
      </c>
      <c r="E153">
        <v>37500</v>
      </c>
      <c r="F153">
        <v>40652</v>
      </c>
      <c r="G153">
        <v>72581</v>
      </c>
      <c r="H153">
        <v>71.3</v>
      </c>
    </row>
    <row r="154" spans="1:8" x14ac:dyDescent="0.2">
      <c r="A154">
        <v>1998</v>
      </c>
      <c r="B154" s="1" t="s">
        <v>22</v>
      </c>
      <c r="C154" s="1" t="s">
        <v>11</v>
      </c>
      <c r="D154">
        <v>24532</v>
      </c>
      <c r="E154">
        <v>98950</v>
      </c>
      <c r="F154">
        <v>116166</v>
      </c>
      <c r="G154">
        <v>191516</v>
      </c>
      <c r="H154">
        <v>71.3</v>
      </c>
    </row>
    <row r="155" spans="1:8" x14ac:dyDescent="0.2">
      <c r="A155">
        <v>1998</v>
      </c>
      <c r="B155" s="1" t="s">
        <v>22</v>
      </c>
      <c r="C155" s="1" t="s">
        <v>12</v>
      </c>
      <c r="D155">
        <v>6716</v>
      </c>
      <c r="E155">
        <v>40000</v>
      </c>
      <c r="F155">
        <v>46280</v>
      </c>
      <c r="G155">
        <v>77419</v>
      </c>
      <c r="H155">
        <v>71.3</v>
      </c>
    </row>
    <row r="156" spans="1:8" x14ac:dyDescent="0.2">
      <c r="A156">
        <v>1998</v>
      </c>
      <c r="B156" s="1" t="s">
        <v>22</v>
      </c>
      <c r="C156" s="1" t="s">
        <v>13</v>
      </c>
      <c r="D156">
        <v>32354</v>
      </c>
      <c r="E156">
        <v>55700</v>
      </c>
      <c r="F156">
        <v>60157</v>
      </c>
      <c r="G156">
        <v>107806</v>
      </c>
      <c r="H156">
        <v>71.3</v>
      </c>
    </row>
    <row r="157" spans="1:8" x14ac:dyDescent="0.2">
      <c r="A157">
        <v>1998</v>
      </c>
      <c r="B157" s="1" t="s">
        <v>22</v>
      </c>
      <c r="C157" s="1" t="s">
        <v>14</v>
      </c>
      <c r="D157">
        <v>26857</v>
      </c>
      <c r="E157">
        <v>43000</v>
      </c>
      <c r="F157">
        <v>46880</v>
      </c>
      <c r="G157">
        <v>83226</v>
      </c>
      <c r="H157">
        <v>71.3</v>
      </c>
    </row>
    <row r="158" spans="1:8" x14ac:dyDescent="0.2">
      <c r="A158">
        <v>1998</v>
      </c>
      <c r="B158" s="1" t="s">
        <v>23</v>
      </c>
      <c r="C158" s="1" t="s">
        <v>11</v>
      </c>
      <c r="D158">
        <v>21707</v>
      </c>
      <c r="E158">
        <v>85000</v>
      </c>
      <c r="F158">
        <v>98455</v>
      </c>
      <c r="G158">
        <v>164516</v>
      </c>
      <c r="H158">
        <v>71.3</v>
      </c>
    </row>
    <row r="159" spans="1:8" x14ac:dyDescent="0.2">
      <c r="A159">
        <v>1998</v>
      </c>
      <c r="B159" s="1" t="s">
        <v>23</v>
      </c>
      <c r="C159" s="1" t="s">
        <v>12</v>
      </c>
      <c r="D159">
        <v>4241</v>
      </c>
      <c r="E159">
        <v>43000</v>
      </c>
      <c r="F159">
        <v>48112</v>
      </c>
      <c r="G159">
        <v>83226</v>
      </c>
      <c r="H159">
        <v>71.3</v>
      </c>
    </row>
    <row r="160" spans="1:8" x14ac:dyDescent="0.2">
      <c r="A160">
        <v>1998</v>
      </c>
      <c r="B160" s="1" t="s">
        <v>23</v>
      </c>
      <c r="C160" s="1" t="s">
        <v>13</v>
      </c>
      <c r="D160">
        <v>31484</v>
      </c>
      <c r="E160">
        <v>50000</v>
      </c>
      <c r="F160">
        <v>53287</v>
      </c>
      <c r="G160">
        <v>96774</v>
      </c>
      <c r="H160">
        <v>71.3</v>
      </c>
    </row>
    <row r="161" spans="1:8" x14ac:dyDescent="0.2">
      <c r="A161">
        <v>1998</v>
      </c>
      <c r="B161" s="1" t="s">
        <v>23</v>
      </c>
      <c r="C161" s="1" t="s">
        <v>14</v>
      </c>
      <c r="D161">
        <v>29788</v>
      </c>
      <c r="E161">
        <v>36000</v>
      </c>
      <c r="F161">
        <v>39527</v>
      </c>
      <c r="G161">
        <v>69677</v>
      </c>
      <c r="H161">
        <v>71.3</v>
      </c>
    </row>
    <row r="162" spans="1:8" x14ac:dyDescent="0.2">
      <c r="A162">
        <v>1999</v>
      </c>
      <c r="B162" s="1" t="s">
        <v>10</v>
      </c>
      <c r="C162" s="1" t="s">
        <v>11</v>
      </c>
      <c r="D162">
        <v>37148</v>
      </c>
      <c r="E162">
        <v>87000</v>
      </c>
      <c r="F162">
        <v>101589</v>
      </c>
      <c r="G162">
        <v>165372</v>
      </c>
      <c r="H162">
        <v>72.599999999999994</v>
      </c>
    </row>
    <row r="163" spans="1:8" x14ac:dyDescent="0.2">
      <c r="A163">
        <v>1999</v>
      </c>
      <c r="B163" s="1" t="s">
        <v>10</v>
      </c>
      <c r="C163" s="1" t="s">
        <v>12</v>
      </c>
      <c r="D163">
        <v>2857</v>
      </c>
      <c r="E163">
        <v>38000</v>
      </c>
      <c r="F163">
        <v>47455</v>
      </c>
      <c r="G163">
        <v>72231</v>
      </c>
      <c r="H163">
        <v>72.599999999999994</v>
      </c>
    </row>
    <row r="164" spans="1:8" x14ac:dyDescent="0.2">
      <c r="A164">
        <v>1999</v>
      </c>
      <c r="B164" s="1" t="s">
        <v>10</v>
      </c>
      <c r="C164" s="1" t="s">
        <v>13</v>
      </c>
      <c r="D164">
        <v>32699</v>
      </c>
      <c r="E164">
        <v>50995</v>
      </c>
      <c r="F164">
        <v>54497</v>
      </c>
      <c r="G164">
        <v>96933</v>
      </c>
      <c r="H164">
        <v>72.599999999999994</v>
      </c>
    </row>
    <row r="165" spans="1:8" x14ac:dyDescent="0.2">
      <c r="A165">
        <v>1999</v>
      </c>
      <c r="B165" s="1" t="s">
        <v>10</v>
      </c>
      <c r="C165" s="1" t="s">
        <v>14</v>
      </c>
      <c r="D165">
        <v>24129</v>
      </c>
      <c r="E165">
        <v>39750</v>
      </c>
      <c r="F165">
        <v>44182</v>
      </c>
      <c r="G165">
        <v>75558</v>
      </c>
      <c r="H165">
        <v>72.599999999999994</v>
      </c>
    </row>
    <row r="166" spans="1:8" x14ac:dyDescent="0.2">
      <c r="A166">
        <v>1999</v>
      </c>
      <c r="B166" s="1" t="s">
        <v>15</v>
      </c>
      <c r="C166" s="1" t="s">
        <v>11</v>
      </c>
      <c r="D166">
        <v>43856</v>
      </c>
      <c r="E166">
        <v>120000</v>
      </c>
      <c r="F166">
        <v>143934</v>
      </c>
      <c r="G166">
        <v>228099</v>
      </c>
      <c r="H166">
        <v>72.599999999999994</v>
      </c>
    </row>
    <row r="167" spans="1:8" x14ac:dyDescent="0.2">
      <c r="A167">
        <v>1999</v>
      </c>
      <c r="B167" s="1" t="s">
        <v>15</v>
      </c>
      <c r="C167" s="1" t="s">
        <v>12</v>
      </c>
      <c r="D167">
        <v>18736</v>
      </c>
      <c r="E167">
        <v>51000</v>
      </c>
      <c r="F167">
        <v>57739</v>
      </c>
      <c r="G167">
        <v>96942</v>
      </c>
      <c r="H167">
        <v>72.599999999999994</v>
      </c>
    </row>
    <row r="168" spans="1:8" x14ac:dyDescent="0.2">
      <c r="A168">
        <v>1999</v>
      </c>
      <c r="B168" s="1" t="s">
        <v>15</v>
      </c>
      <c r="C168" s="1" t="s">
        <v>13</v>
      </c>
      <c r="D168">
        <v>40982</v>
      </c>
      <c r="E168">
        <v>74238</v>
      </c>
      <c r="F168">
        <v>84845</v>
      </c>
      <c r="G168">
        <v>141113</v>
      </c>
      <c r="H168">
        <v>72.599999999999994</v>
      </c>
    </row>
    <row r="169" spans="1:8" x14ac:dyDescent="0.2">
      <c r="A169">
        <v>1999</v>
      </c>
      <c r="B169" s="1" t="s">
        <v>15</v>
      </c>
      <c r="C169" s="1" t="s">
        <v>14</v>
      </c>
      <c r="D169">
        <v>41294</v>
      </c>
      <c r="E169">
        <v>62000</v>
      </c>
      <c r="F169">
        <v>70893</v>
      </c>
      <c r="G169">
        <v>117851</v>
      </c>
      <c r="H169">
        <v>72.599999999999994</v>
      </c>
    </row>
    <row r="170" spans="1:8" x14ac:dyDescent="0.2">
      <c r="A170">
        <v>1999</v>
      </c>
      <c r="B170" s="1" t="s">
        <v>16</v>
      </c>
      <c r="C170" s="1" t="s">
        <v>11</v>
      </c>
      <c r="D170">
        <v>7787</v>
      </c>
      <c r="E170">
        <v>245000</v>
      </c>
      <c r="F170">
        <v>336994</v>
      </c>
      <c r="G170">
        <v>465702</v>
      </c>
      <c r="H170">
        <v>72.599999999999994</v>
      </c>
    </row>
    <row r="171" spans="1:8" x14ac:dyDescent="0.2">
      <c r="A171">
        <v>1999</v>
      </c>
      <c r="B171" s="1" t="s">
        <v>16</v>
      </c>
      <c r="C171" s="1" t="s">
        <v>12</v>
      </c>
      <c r="D171">
        <v>84444</v>
      </c>
      <c r="E171">
        <v>98000</v>
      </c>
      <c r="F171">
        <v>134933</v>
      </c>
      <c r="G171">
        <v>186281</v>
      </c>
      <c r="H171">
        <v>72.599999999999994</v>
      </c>
    </row>
    <row r="172" spans="1:8" x14ac:dyDescent="0.2">
      <c r="A172">
        <v>1999</v>
      </c>
      <c r="B172" s="1" t="s">
        <v>16</v>
      </c>
      <c r="C172" s="1" t="s">
        <v>13</v>
      </c>
      <c r="D172">
        <v>27349</v>
      </c>
      <c r="E172">
        <v>139000</v>
      </c>
      <c r="F172">
        <v>174894</v>
      </c>
      <c r="G172">
        <v>264215</v>
      </c>
      <c r="H172">
        <v>72.599999999999994</v>
      </c>
    </row>
    <row r="173" spans="1:8" x14ac:dyDescent="0.2">
      <c r="A173">
        <v>1999</v>
      </c>
      <c r="B173" s="1" t="s">
        <v>16</v>
      </c>
      <c r="C173" s="1" t="s">
        <v>14</v>
      </c>
      <c r="D173">
        <v>52471</v>
      </c>
      <c r="E173">
        <v>115000</v>
      </c>
      <c r="F173">
        <v>161550</v>
      </c>
      <c r="G173">
        <v>218595</v>
      </c>
      <c r="H173">
        <v>72.599999999999994</v>
      </c>
    </row>
    <row r="174" spans="1:8" x14ac:dyDescent="0.2">
      <c r="A174">
        <v>1999</v>
      </c>
      <c r="B174" s="1" t="s">
        <v>17</v>
      </c>
      <c r="C174" s="1" t="s">
        <v>11</v>
      </c>
      <c r="D174">
        <v>9538</v>
      </c>
      <c r="E174">
        <v>88000</v>
      </c>
      <c r="F174">
        <v>101137</v>
      </c>
      <c r="G174">
        <v>167273</v>
      </c>
      <c r="H174">
        <v>72.599999999999994</v>
      </c>
    </row>
    <row r="175" spans="1:8" x14ac:dyDescent="0.2">
      <c r="A175">
        <v>1999</v>
      </c>
      <c r="B175" s="1" t="s">
        <v>17</v>
      </c>
      <c r="C175" s="1" t="s">
        <v>12</v>
      </c>
      <c r="D175">
        <v>4768</v>
      </c>
      <c r="E175">
        <v>36970</v>
      </c>
      <c r="F175">
        <v>44171</v>
      </c>
      <c r="G175">
        <v>70274</v>
      </c>
      <c r="H175">
        <v>72.599999999999994</v>
      </c>
    </row>
    <row r="176" spans="1:8" x14ac:dyDescent="0.2">
      <c r="A176">
        <v>1999</v>
      </c>
      <c r="B176" s="1" t="s">
        <v>17</v>
      </c>
      <c r="C176" s="1" t="s">
        <v>13</v>
      </c>
      <c r="D176">
        <v>14764</v>
      </c>
      <c r="E176">
        <v>52500</v>
      </c>
      <c r="F176">
        <v>55165</v>
      </c>
      <c r="G176">
        <v>99793</v>
      </c>
      <c r="H176">
        <v>72.599999999999994</v>
      </c>
    </row>
    <row r="177" spans="1:8" x14ac:dyDescent="0.2">
      <c r="A177">
        <v>1999</v>
      </c>
      <c r="B177" s="1" t="s">
        <v>17</v>
      </c>
      <c r="C177" s="1" t="s">
        <v>14</v>
      </c>
      <c r="D177">
        <v>15156</v>
      </c>
      <c r="E177">
        <v>36000</v>
      </c>
      <c r="F177">
        <v>42775</v>
      </c>
      <c r="G177">
        <v>68430</v>
      </c>
      <c r="H177">
        <v>72.599999999999994</v>
      </c>
    </row>
    <row r="178" spans="1:8" x14ac:dyDescent="0.2">
      <c r="A178">
        <v>1999</v>
      </c>
      <c r="B178" s="1" t="s">
        <v>18</v>
      </c>
      <c r="C178" s="1" t="s">
        <v>11</v>
      </c>
      <c r="D178">
        <v>29155</v>
      </c>
      <c r="E178">
        <v>98100</v>
      </c>
      <c r="F178">
        <v>117222</v>
      </c>
      <c r="G178">
        <v>186471</v>
      </c>
      <c r="H178">
        <v>72.599999999999994</v>
      </c>
    </row>
    <row r="179" spans="1:8" x14ac:dyDescent="0.2">
      <c r="A179">
        <v>1999</v>
      </c>
      <c r="B179" s="1" t="s">
        <v>18</v>
      </c>
      <c r="C179" s="1" t="s">
        <v>12</v>
      </c>
      <c r="D179">
        <v>8864</v>
      </c>
      <c r="E179">
        <v>47450</v>
      </c>
      <c r="F179">
        <v>57941</v>
      </c>
      <c r="G179">
        <v>90194</v>
      </c>
      <c r="H179">
        <v>72.599999999999994</v>
      </c>
    </row>
    <row r="180" spans="1:8" x14ac:dyDescent="0.2">
      <c r="A180">
        <v>1999</v>
      </c>
      <c r="B180" s="1" t="s">
        <v>18</v>
      </c>
      <c r="C180" s="1" t="s">
        <v>13</v>
      </c>
      <c r="D180">
        <v>48053</v>
      </c>
      <c r="E180">
        <v>55950</v>
      </c>
      <c r="F180">
        <v>60707</v>
      </c>
      <c r="G180">
        <v>106351</v>
      </c>
      <c r="H180">
        <v>72.599999999999994</v>
      </c>
    </row>
    <row r="181" spans="1:8" x14ac:dyDescent="0.2">
      <c r="A181">
        <v>1999</v>
      </c>
      <c r="B181" s="1" t="s">
        <v>18</v>
      </c>
      <c r="C181" s="1" t="s">
        <v>14</v>
      </c>
      <c r="D181">
        <v>44886</v>
      </c>
      <c r="E181">
        <v>35950</v>
      </c>
      <c r="F181">
        <v>40116</v>
      </c>
      <c r="G181">
        <v>68335</v>
      </c>
      <c r="H181">
        <v>72.599999999999994</v>
      </c>
    </row>
    <row r="182" spans="1:8" x14ac:dyDescent="0.2">
      <c r="A182">
        <v>1999</v>
      </c>
      <c r="B182" s="1" t="s">
        <v>19</v>
      </c>
      <c r="C182" s="1" t="s">
        <v>11</v>
      </c>
      <c r="D182">
        <v>60297</v>
      </c>
      <c r="E182">
        <v>164000</v>
      </c>
      <c r="F182">
        <v>200616</v>
      </c>
      <c r="G182">
        <v>311736</v>
      </c>
      <c r="H182">
        <v>72.599999999999994</v>
      </c>
    </row>
    <row r="183" spans="1:8" x14ac:dyDescent="0.2">
      <c r="A183">
        <v>1999</v>
      </c>
      <c r="B183" s="1" t="s">
        <v>19</v>
      </c>
      <c r="C183" s="1" t="s">
        <v>12</v>
      </c>
      <c r="D183">
        <v>39411</v>
      </c>
      <c r="E183">
        <v>59950</v>
      </c>
      <c r="F183">
        <v>69280</v>
      </c>
      <c r="G183">
        <v>113955</v>
      </c>
      <c r="H183">
        <v>72.599999999999994</v>
      </c>
    </row>
    <row r="184" spans="1:8" x14ac:dyDescent="0.2">
      <c r="A184">
        <v>1999</v>
      </c>
      <c r="B184" s="1" t="s">
        <v>19</v>
      </c>
      <c r="C184" s="1" t="s">
        <v>13</v>
      </c>
      <c r="D184">
        <v>57237</v>
      </c>
      <c r="E184">
        <v>95000</v>
      </c>
      <c r="F184">
        <v>106269</v>
      </c>
      <c r="G184">
        <v>180579</v>
      </c>
      <c r="H184">
        <v>72.599999999999994</v>
      </c>
    </row>
    <row r="185" spans="1:8" x14ac:dyDescent="0.2">
      <c r="A185">
        <v>1999</v>
      </c>
      <c r="B185" s="1" t="s">
        <v>19</v>
      </c>
      <c r="C185" s="1" t="s">
        <v>14</v>
      </c>
      <c r="D185">
        <v>59540</v>
      </c>
      <c r="E185">
        <v>75000</v>
      </c>
      <c r="F185">
        <v>84499</v>
      </c>
      <c r="G185">
        <v>142562</v>
      </c>
      <c r="H185">
        <v>72.599999999999994</v>
      </c>
    </row>
    <row r="186" spans="1:8" x14ac:dyDescent="0.2">
      <c r="A186">
        <v>1999</v>
      </c>
      <c r="B186" s="1" t="s">
        <v>20</v>
      </c>
      <c r="C186" s="1" t="s">
        <v>11</v>
      </c>
      <c r="D186">
        <v>42963</v>
      </c>
      <c r="E186">
        <v>117950</v>
      </c>
      <c r="F186">
        <v>135473</v>
      </c>
      <c r="G186">
        <v>224202</v>
      </c>
      <c r="H186">
        <v>72.599999999999994</v>
      </c>
    </row>
    <row r="187" spans="1:8" x14ac:dyDescent="0.2">
      <c r="A187">
        <v>1999</v>
      </c>
      <c r="B187" s="1" t="s">
        <v>20</v>
      </c>
      <c r="C187" s="1" t="s">
        <v>12</v>
      </c>
      <c r="D187">
        <v>18695</v>
      </c>
      <c r="E187">
        <v>52000</v>
      </c>
      <c r="F187">
        <v>65168</v>
      </c>
      <c r="G187">
        <v>98843</v>
      </c>
      <c r="H187">
        <v>72.599999999999994</v>
      </c>
    </row>
    <row r="188" spans="1:8" x14ac:dyDescent="0.2">
      <c r="A188">
        <v>1999</v>
      </c>
      <c r="B188" s="1" t="s">
        <v>20</v>
      </c>
      <c r="C188" s="1" t="s">
        <v>13</v>
      </c>
      <c r="D188">
        <v>32627</v>
      </c>
      <c r="E188">
        <v>71500</v>
      </c>
      <c r="F188">
        <v>78829</v>
      </c>
      <c r="G188">
        <v>135909</v>
      </c>
      <c r="H188">
        <v>72.599999999999994</v>
      </c>
    </row>
    <row r="189" spans="1:8" x14ac:dyDescent="0.2">
      <c r="A189">
        <v>1999</v>
      </c>
      <c r="B189" s="1" t="s">
        <v>20</v>
      </c>
      <c r="C189" s="1" t="s">
        <v>14</v>
      </c>
      <c r="D189">
        <v>42515</v>
      </c>
      <c r="E189">
        <v>58000</v>
      </c>
      <c r="F189">
        <v>65262</v>
      </c>
      <c r="G189">
        <v>110248</v>
      </c>
      <c r="H189">
        <v>72.599999999999994</v>
      </c>
    </row>
    <row r="190" spans="1:8" x14ac:dyDescent="0.2">
      <c r="A190">
        <v>1999</v>
      </c>
      <c r="B190" s="1" t="s">
        <v>21</v>
      </c>
      <c r="C190" s="1" t="s">
        <v>11</v>
      </c>
      <c r="D190">
        <v>15412</v>
      </c>
      <c r="E190">
        <v>83000</v>
      </c>
      <c r="F190">
        <v>92450</v>
      </c>
      <c r="G190">
        <v>157769</v>
      </c>
      <c r="H190">
        <v>72.599999999999994</v>
      </c>
    </row>
    <row r="191" spans="1:8" x14ac:dyDescent="0.2">
      <c r="A191">
        <v>1999</v>
      </c>
      <c r="B191" s="1" t="s">
        <v>21</v>
      </c>
      <c r="C191" s="1" t="s">
        <v>12</v>
      </c>
      <c r="D191">
        <v>2225</v>
      </c>
      <c r="E191">
        <v>44000</v>
      </c>
      <c r="F191">
        <v>51629</v>
      </c>
      <c r="G191">
        <v>83636</v>
      </c>
      <c r="H191">
        <v>72.599999999999994</v>
      </c>
    </row>
    <row r="192" spans="1:8" x14ac:dyDescent="0.2">
      <c r="A192">
        <v>1999</v>
      </c>
      <c r="B192" s="1" t="s">
        <v>21</v>
      </c>
      <c r="C192" s="1" t="s">
        <v>13</v>
      </c>
      <c r="D192">
        <v>14249</v>
      </c>
      <c r="E192">
        <v>52000</v>
      </c>
      <c r="F192">
        <v>55288</v>
      </c>
      <c r="G192">
        <v>98843</v>
      </c>
      <c r="H192">
        <v>72.599999999999994</v>
      </c>
    </row>
    <row r="193" spans="1:8" x14ac:dyDescent="0.2">
      <c r="A193">
        <v>1999</v>
      </c>
      <c r="B193" s="1" t="s">
        <v>21</v>
      </c>
      <c r="C193" s="1" t="s">
        <v>14</v>
      </c>
      <c r="D193">
        <v>17071</v>
      </c>
      <c r="E193">
        <v>39000</v>
      </c>
      <c r="F193">
        <v>42858</v>
      </c>
      <c r="G193">
        <v>74132</v>
      </c>
      <c r="H193">
        <v>72.599999999999994</v>
      </c>
    </row>
    <row r="194" spans="1:8" x14ac:dyDescent="0.2">
      <c r="A194">
        <v>1999</v>
      </c>
      <c r="B194" s="1" t="s">
        <v>22</v>
      </c>
      <c r="C194" s="1" t="s">
        <v>11</v>
      </c>
      <c r="D194">
        <v>28859</v>
      </c>
      <c r="E194">
        <v>110000</v>
      </c>
      <c r="F194">
        <v>126439</v>
      </c>
      <c r="G194">
        <v>209091</v>
      </c>
      <c r="H194">
        <v>72.599999999999994</v>
      </c>
    </row>
    <row r="195" spans="1:8" x14ac:dyDescent="0.2">
      <c r="A195">
        <v>1999</v>
      </c>
      <c r="B195" s="1" t="s">
        <v>22</v>
      </c>
      <c r="C195" s="1" t="s">
        <v>12</v>
      </c>
      <c r="D195">
        <v>7862</v>
      </c>
      <c r="E195">
        <v>42500</v>
      </c>
      <c r="F195">
        <v>51359</v>
      </c>
      <c r="G195">
        <v>80785</v>
      </c>
      <c r="H195">
        <v>72.599999999999994</v>
      </c>
    </row>
    <row r="196" spans="1:8" x14ac:dyDescent="0.2">
      <c r="A196">
        <v>1999</v>
      </c>
      <c r="B196" s="1" t="s">
        <v>22</v>
      </c>
      <c r="C196" s="1" t="s">
        <v>13</v>
      </c>
      <c r="D196">
        <v>35919</v>
      </c>
      <c r="E196">
        <v>59500</v>
      </c>
      <c r="F196">
        <v>64973</v>
      </c>
      <c r="G196">
        <v>113099</v>
      </c>
      <c r="H196">
        <v>72.599999999999994</v>
      </c>
    </row>
    <row r="197" spans="1:8" x14ac:dyDescent="0.2">
      <c r="A197">
        <v>1999</v>
      </c>
      <c r="B197" s="1" t="s">
        <v>22</v>
      </c>
      <c r="C197" s="1" t="s">
        <v>14</v>
      </c>
      <c r="D197">
        <v>30419</v>
      </c>
      <c r="E197">
        <v>46000</v>
      </c>
      <c r="F197">
        <v>50485</v>
      </c>
      <c r="G197">
        <v>87438</v>
      </c>
      <c r="H197">
        <v>72.599999999999994</v>
      </c>
    </row>
    <row r="198" spans="1:8" x14ac:dyDescent="0.2">
      <c r="A198">
        <v>1999</v>
      </c>
      <c r="B198" s="1" t="s">
        <v>23</v>
      </c>
      <c r="C198" s="1" t="s">
        <v>11</v>
      </c>
      <c r="D198">
        <v>25682</v>
      </c>
      <c r="E198">
        <v>89500</v>
      </c>
      <c r="F198">
        <v>104089</v>
      </c>
      <c r="G198">
        <v>170124</v>
      </c>
      <c r="H198">
        <v>72.599999999999994</v>
      </c>
    </row>
    <row r="199" spans="1:8" x14ac:dyDescent="0.2">
      <c r="A199">
        <v>1999</v>
      </c>
      <c r="B199" s="1" t="s">
        <v>23</v>
      </c>
      <c r="C199" s="1" t="s">
        <v>12</v>
      </c>
      <c r="D199">
        <v>4754</v>
      </c>
      <c r="E199">
        <v>46500</v>
      </c>
      <c r="F199">
        <v>54336</v>
      </c>
      <c r="G199">
        <v>88388</v>
      </c>
      <c r="H199">
        <v>72.599999999999994</v>
      </c>
    </row>
    <row r="200" spans="1:8" x14ac:dyDescent="0.2">
      <c r="A200">
        <v>1999</v>
      </c>
      <c r="B200" s="1" t="s">
        <v>23</v>
      </c>
      <c r="C200" s="1" t="s">
        <v>13</v>
      </c>
      <c r="D200">
        <v>34899</v>
      </c>
      <c r="E200">
        <v>52000</v>
      </c>
      <c r="F200">
        <v>55747</v>
      </c>
      <c r="G200">
        <v>98843</v>
      </c>
      <c r="H200">
        <v>72.599999999999994</v>
      </c>
    </row>
    <row r="201" spans="1:8" x14ac:dyDescent="0.2">
      <c r="A201">
        <v>1999</v>
      </c>
      <c r="B201" s="1" t="s">
        <v>23</v>
      </c>
      <c r="C201" s="1" t="s">
        <v>14</v>
      </c>
      <c r="D201">
        <v>32354</v>
      </c>
      <c r="E201">
        <v>38000</v>
      </c>
      <c r="F201">
        <v>42319</v>
      </c>
      <c r="G201">
        <v>72231</v>
      </c>
      <c r="H201">
        <v>72.599999999999994</v>
      </c>
    </row>
    <row r="202" spans="1:8" x14ac:dyDescent="0.2">
      <c r="A202">
        <v>2000</v>
      </c>
      <c r="B202" s="1" t="s">
        <v>10</v>
      </c>
      <c r="C202" s="1" t="s">
        <v>11</v>
      </c>
      <c r="D202">
        <v>34913</v>
      </c>
      <c r="E202">
        <v>97000</v>
      </c>
      <c r="F202">
        <v>114126</v>
      </c>
      <c r="G202">
        <v>182371</v>
      </c>
      <c r="H202">
        <v>73.400000000000006</v>
      </c>
    </row>
    <row r="203" spans="1:8" x14ac:dyDescent="0.2">
      <c r="A203">
        <v>2000</v>
      </c>
      <c r="B203" s="1" t="s">
        <v>10</v>
      </c>
      <c r="C203" s="1" t="s">
        <v>12</v>
      </c>
      <c r="D203">
        <v>3347</v>
      </c>
      <c r="E203">
        <v>43000</v>
      </c>
      <c r="F203">
        <v>54235</v>
      </c>
      <c r="G203">
        <v>80845</v>
      </c>
      <c r="H203">
        <v>73.400000000000006</v>
      </c>
    </row>
    <row r="204" spans="1:8" x14ac:dyDescent="0.2">
      <c r="A204">
        <v>2000</v>
      </c>
      <c r="B204" s="1" t="s">
        <v>10</v>
      </c>
      <c r="C204" s="1" t="s">
        <v>13</v>
      </c>
      <c r="D204">
        <v>31747</v>
      </c>
      <c r="E204">
        <v>55500</v>
      </c>
      <c r="F204">
        <v>60254</v>
      </c>
      <c r="G204">
        <v>104346</v>
      </c>
      <c r="H204">
        <v>73.400000000000006</v>
      </c>
    </row>
    <row r="205" spans="1:8" x14ac:dyDescent="0.2">
      <c r="A205">
        <v>2000</v>
      </c>
      <c r="B205" s="1" t="s">
        <v>10</v>
      </c>
      <c r="C205" s="1" t="s">
        <v>14</v>
      </c>
      <c r="D205">
        <v>25828</v>
      </c>
      <c r="E205">
        <v>43000</v>
      </c>
      <c r="F205">
        <v>47954</v>
      </c>
      <c r="G205">
        <v>80845</v>
      </c>
      <c r="H205">
        <v>73.400000000000006</v>
      </c>
    </row>
    <row r="206" spans="1:8" x14ac:dyDescent="0.2">
      <c r="A206">
        <v>2000</v>
      </c>
      <c r="B206" s="1" t="s">
        <v>15</v>
      </c>
      <c r="C206" s="1" t="s">
        <v>11</v>
      </c>
      <c r="D206">
        <v>36856</v>
      </c>
      <c r="E206">
        <v>140000</v>
      </c>
      <c r="F206">
        <v>169728</v>
      </c>
      <c r="G206">
        <v>263215</v>
      </c>
      <c r="H206">
        <v>73.400000000000006</v>
      </c>
    </row>
    <row r="207" spans="1:8" x14ac:dyDescent="0.2">
      <c r="A207">
        <v>2000</v>
      </c>
      <c r="B207" s="1" t="s">
        <v>15</v>
      </c>
      <c r="C207" s="1" t="s">
        <v>12</v>
      </c>
      <c r="D207">
        <v>18937</v>
      </c>
      <c r="E207">
        <v>59950</v>
      </c>
      <c r="F207">
        <v>68078</v>
      </c>
      <c r="G207">
        <v>112713</v>
      </c>
      <c r="H207">
        <v>73.400000000000006</v>
      </c>
    </row>
    <row r="208" spans="1:8" x14ac:dyDescent="0.2">
      <c r="A208">
        <v>2000</v>
      </c>
      <c r="B208" s="1" t="s">
        <v>15</v>
      </c>
      <c r="C208" s="1" t="s">
        <v>13</v>
      </c>
      <c r="D208">
        <v>35759</v>
      </c>
      <c r="E208">
        <v>85250</v>
      </c>
      <c r="F208">
        <v>99241</v>
      </c>
      <c r="G208">
        <v>160279</v>
      </c>
      <c r="H208">
        <v>73.400000000000006</v>
      </c>
    </row>
    <row r="209" spans="1:8" x14ac:dyDescent="0.2">
      <c r="A209">
        <v>2000</v>
      </c>
      <c r="B209" s="1" t="s">
        <v>15</v>
      </c>
      <c r="C209" s="1" t="s">
        <v>14</v>
      </c>
      <c r="D209">
        <v>37812</v>
      </c>
      <c r="E209">
        <v>72000</v>
      </c>
      <c r="F209">
        <v>81624</v>
      </c>
      <c r="G209">
        <v>135368</v>
      </c>
      <c r="H209">
        <v>73.400000000000006</v>
      </c>
    </row>
    <row r="210" spans="1:8" x14ac:dyDescent="0.2">
      <c r="A210">
        <v>2000</v>
      </c>
      <c r="B210" s="1" t="s">
        <v>16</v>
      </c>
      <c r="C210" s="1" t="s">
        <v>11</v>
      </c>
      <c r="D210">
        <v>6244</v>
      </c>
      <c r="E210">
        <v>295000</v>
      </c>
      <c r="F210">
        <v>401441</v>
      </c>
      <c r="G210">
        <v>554632</v>
      </c>
      <c r="H210">
        <v>73.400000000000006</v>
      </c>
    </row>
    <row r="211" spans="1:8" x14ac:dyDescent="0.2">
      <c r="A211">
        <v>2000</v>
      </c>
      <c r="B211" s="1" t="s">
        <v>16</v>
      </c>
      <c r="C211" s="1" t="s">
        <v>12</v>
      </c>
      <c r="D211">
        <v>78438</v>
      </c>
      <c r="E211">
        <v>121000</v>
      </c>
      <c r="F211">
        <v>162309</v>
      </c>
      <c r="G211">
        <v>227493</v>
      </c>
      <c r="H211">
        <v>73.400000000000006</v>
      </c>
    </row>
    <row r="212" spans="1:8" x14ac:dyDescent="0.2">
      <c r="A212">
        <v>2000</v>
      </c>
      <c r="B212" s="1" t="s">
        <v>16</v>
      </c>
      <c r="C212" s="1" t="s">
        <v>13</v>
      </c>
      <c r="D212">
        <v>22308</v>
      </c>
      <c r="E212">
        <v>165000</v>
      </c>
      <c r="F212">
        <v>207186</v>
      </c>
      <c r="G212">
        <v>310218</v>
      </c>
      <c r="H212">
        <v>73.400000000000006</v>
      </c>
    </row>
    <row r="213" spans="1:8" x14ac:dyDescent="0.2">
      <c r="A213">
        <v>2000</v>
      </c>
      <c r="B213" s="1" t="s">
        <v>16</v>
      </c>
      <c r="C213" s="1" t="s">
        <v>14</v>
      </c>
      <c r="D213">
        <v>45268</v>
      </c>
      <c r="E213">
        <v>135000</v>
      </c>
      <c r="F213">
        <v>196629</v>
      </c>
      <c r="G213">
        <v>253815</v>
      </c>
      <c r="H213">
        <v>73.400000000000006</v>
      </c>
    </row>
    <row r="214" spans="1:8" x14ac:dyDescent="0.2">
      <c r="A214">
        <v>2000</v>
      </c>
      <c r="B214" s="1" t="s">
        <v>17</v>
      </c>
      <c r="C214" s="1" t="s">
        <v>11</v>
      </c>
      <c r="D214">
        <v>9957</v>
      </c>
      <c r="E214">
        <v>92500</v>
      </c>
      <c r="F214">
        <v>107980</v>
      </c>
      <c r="G214">
        <v>173910</v>
      </c>
      <c r="H214">
        <v>73.400000000000006</v>
      </c>
    </row>
    <row r="215" spans="1:8" x14ac:dyDescent="0.2">
      <c r="A215">
        <v>2000</v>
      </c>
      <c r="B215" s="1" t="s">
        <v>17</v>
      </c>
      <c r="C215" s="1" t="s">
        <v>12</v>
      </c>
      <c r="D215">
        <v>5354</v>
      </c>
      <c r="E215">
        <v>36500</v>
      </c>
      <c r="F215">
        <v>46002</v>
      </c>
      <c r="G215">
        <v>68624</v>
      </c>
      <c r="H215">
        <v>73.400000000000006</v>
      </c>
    </row>
    <row r="216" spans="1:8" x14ac:dyDescent="0.2">
      <c r="A216">
        <v>2000</v>
      </c>
      <c r="B216" s="1" t="s">
        <v>17</v>
      </c>
      <c r="C216" s="1" t="s">
        <v>13</v>
      </c>
      <c r="D216">
        <v>15371</v>
      </c>
      <c r="E216">
        <v>54000</v>
      </c>
      <c r="F216">
        <v>57230</v>
      </c>
      <c r="G216">
        <v>101526</v>
      </c>
      <c r="H216">
        <v>73.400000000000006</v>
      </c>
    </row>
    <row r="217" spans="1:8" x14ac:dyDescent="0.2">
      <c r="A217">
        <v>2000</v>
      </c>
      <c r="B217" s="1" t="s">
        <v>17</v>
      </c>
      <c r="C217" s="1" t="s">
        <v>14</v>
      </c>
      <c r="D217">
        <v>16185</v>
      </c>
      <c r="E217">
        <v>36100</v>
      </c>
      <c r="F217">
        <v>43739</v>
      </c>
      <c r="G217">
        <v>67872</v>
      </c>
      <c r="H217">
        <v>73.400000000000006</v>
      </c>
    </row>
    <row r="218" spans="1:8" x14ac:dyDescent="0.2">
      <c r="A218">
        <v>2000</v>
      </c>
      <c r="B218" s="1" t="s">
        <v>18</v>
      </c>
      <c r="C218" s="1" t="s">
        <v>11</v>
      </c>
      <c r="D218">
        <v>28349</v>
      </c>
      <c r="E218">
        <v>109000</v>
      </c>
      <c r="F218">
        <v>127854</v>
      </c>
      <c r="G218">
        <v>204932</v>
      </c>
      <c r="H218">
        <v>73.400000000000006</v>
      </c>
    </row>
    <row r="219" spans="1:8" x14ac:dyDescent="0.2">
      <c r="A219">
        <v>2000</v>
      </c>
      <c r="B219" s="1" t="s">
        <v>18</v>
      </c>
      <c r="C219" s="1" t="s">
        <v>12</v>
      </c>
      <c r="D219">
        <v>10031</v>
      </c>
      <c r="E219">
        <v>54000</v>
      </c>
      <c r="F219">
        <v>66530</v>
      </c>
      <c r="G219">
        <v>101526</v>
      </c>
      <c r="H219">
        <v>73.400000000000006</v>
      </c>
    </row>
    <row r="220" spans="1:8" x14ac:dyDescent="0.2">
      <c r="A220">
        <v>2000</v>
      </c>
      <c r="B220" s="1" t="s">
        <v>18</v>
      </c>
      <c r="C220" s="1" t="s">
        <v>13</v>
      </c>
      <c r="D220">
        <v>47998</v>
      </c>
      <c r="E220">
        <v>59500</v>
      </c>
      <c r="F220">
        <v>65481</v>
      </c>
      <c r="G220">
        <v>111866</v>
      </c>
      <c r="H220">
        <v>73.400000000000006</v>
      </c>
    </row>
    <row r="221" spans="1:8" x14ac:dyDescent="0.2">
      <c r="A221">
        <v>2000</v>
      </c>
      <c r="B221" s="1" t="s">
        <v>18</v>
      </c>
      <c r="C221" s="1" t="s">
        <v>14</v>
      </c>
      <c r="D221">
        <v>48661</v>
      </c>
      <c r="E221">
        <v>36995</v>
      </c>
      <c r="F221">
        <v>42572</v>
      </c>
      <c r="G221">
        <v>69555</v>
      </c>
      <c r="H221">
        <v>73.400000000000006</v>
      </c>
    </row>
    <row r="222" spans="1:8" x14ac:dyDescent="0.2">
      <c r="A222">
        <v>2000</v>
      </c>
      <c r="B222" s="1" t="s">
        <v>19</v>
      </c>
      <c r="C222" s="1" t="s">
        <v>11</v>
      </c>
      <c r="D222">
        <v>49773</v>
      </c>
      <c r="E222">
        <v>193000</v>
      </c>
      <c r="F222">
        <v>241116</v>
      </c>
      <c r="G222">
        <v>362861</v>
      </c>
      <c r="H222">
        <v>73.400000000000006</v>
      </c>
    </row>
    <row r="223" spans="1:8" x14ac:dyDescent="0.2">
      <c r="A223">
        <v>2000</v>
      </c>
      <c r="B223" s="1" t="s">
        <v>19</v>
      </c>
      <c r="C223" s="1" t="s">
        <v>12</v>
      </c>
      <c r="D223">
        <v>38138</v>
      </c>
      <c r="E223">
        <v>72500</v>
      </c>
      <c r="F223">
        <v>83191</v>
      </c>
      <c r="G223">
        <v>136308</v>
      </c>
      <c r="H223">
        <v>73.400000000000006</v>
      </c>
    </row>
    <row r="224" spans="1:8" x14ac:dyDescent="0.2">
      <c r="A224">
        <v>2000</v>
      </c>
      <c r="B224" s="1" t="s">
        <v>19</v>
      </c>
      <c r="C224" s="1" t="s">
        <v>13</v>
      </c>
      <c r="D224">
        <v>49275</v>
      </c>
      <c r="E224">
        <v>117800</v>
      </c>
      <c r="F224">
        <v>127471</v>
      </c>
      <c r="G224">
        <v>221477</v>
      </c>
      <c r="H224">
        <v>73.400000000000006</v>
      </c>
    </row>
    <row r="225" spans="1:8" x14ac:dyDescent="0.2">
      <c r="A225">
        <v>2000</v>
      </c>
      <c r="B225" s="1" t="s">
        <v>19</v>
      </c>
      <c r="C225" s="1" t="s">
        <v>14</v>
      </c>
      <c r="D225">
        <v>52905</v>
      </c>
      <c r="E225">
        <v>89950</v>
      </c>
      <c r="F225">
        <v>101144</v>
      </c>
      <c r="G225">
        <v>169116</v>
      </c>
      <c r="H225">
        <v>73.400000000000006</v>
      </c>
    </row>
    <row r="226" spans="1:8" x14ac:dyDescent="0.2">
      <c r="A226">
        <v>2000</v>
      </c>
      <c r="B226" s="1" t="s">
        <v>20</v>
      </c>
      <c r="C226" s="1" t="s">
        <v>11</v>
      </c>
      <c r="D226">
        <v>36649</v>
      </c>
      <c r="E226">
        <v>137000</v>
      </c>
      <c r="F226">
        <v>160773</v>
      </c>
      <c r="G226">
        <v>257575</v>
      </c>
      <c r="H226">
        <v>73.400000000000006</v>
      </c>
    </row>
    <row r="227" spans="1:8" x14ac:dyDescent="0.2">
      <c r="A227">
        <v>2000</v>
      </c>
      <c r="B227" s="1" t="s">
        <v>20</v>
      </c>
      <c r="C227" s="1" t="s">
        <v>12</v>
      </c>
      <c r="D227">
        <v>17793</v>
      </c>
      <c r="E227">
        <v>59000</v>
      </c>
      <c r="F227">
        <v>73383</v>
      </c>
      <c r="G227">
        <v>110926</v>
      </c>
      <c r="H227">
        <v>73.400000000000006</v>
      </c>
    </row>
    <row r="228" spans="1:8" x14ac:dyDescent="0.2">
      <c r="A228">
        <v>2000</v>
      </c>
      <c r="B228" s="1" t="s">
        <v>20</v>
      </c>
      <c r="C228" s="1" t="s">
        <v>13</v>
      </c>
      <c r="D228">
        <v>28835</v>
      </c>
      <c r="E228">
        <v>83250</v>
      </c>
      <c r="F228">
        <v>92295</v>
      </c>
      <c r="G228">
        <v>156519</v>
      </c>
      <c r="H228">
        <v>73.400000000000006</v>
      </c>
    </row>
    <row r="229" spans="1:8" x14ac:dyDescent="0.2">
      <c r="A229">
        <v>2000</v>
      </c>
      <c r="B229" s="1" t="s">
        <v>20</v>
      </c>
      <c r="C229" s="1" t="s">
        <v>14</v>
      </c>
      <c r="D229">
        <v>38904</v>
      </c>
      <c r="E229">
        <v>68500</v>
      </c>
      <c r="F229">
        <v>76801</v>
      </c>
      <c r="G229">
        <v>128787</v>
      </c>
      <c r="H229">
        <v>73.400000000000006</v>
      </c>
    </row>
    <row r="230" spans="1:8" x14ac:dyDescent="0.2">
      <c r="A230">
        <v>2000</v>
      </c>
      <c r="B230" s="1" t="s">
        <v>21</v>
      </c>
      <c r="C230" s="1" t="s">
        <v>11</v>
      </c>
      <c r="D230">
        <v>16892</v>
      </c>
      <c r="E230">
        <v>89500</v>
      </c>
      <c r="F230">
        <v>101108</v>
      </c>
      <c r="G230">
        <v>168270</v>
      </c>
      <c r="H230">
        <v>73.400000000000006</v>
      </c>
    </row>
    <row r="231" spans="1:8" x14ac:dyDescent="0.2">
      <c r="A231">
        <v>2000</v>
      </c>
      <c r="B231" s="1" t="s">
        <v>21</v>
      </c>
      <c r="C231" s="1" t="s">
        <v>12</v>
      </c>
      <c r="D231">
        <v>2645</v>
      </c>
      <c r="E231">
        <v>49000</v>
      </c>
      <c r="F231">
        <v>56238</v>
      </c>
      <c r="G231">
        <v>92125</v>
      </c>
      <c r="H231">
        <v>73.400000000000006</v>
      </c>
    </row>
    <row r="232" spans="1:8" x14ac:dyDescent="0.2">
      <c r="A232">
        <v>2000</v>
      </c>
      <c r="B232" s="1" t="s">
        <v>21</v>
      </c>
      <c r="C232" s="1" t="s">
        <v>13</v>
      </c>
      <c r="D232">
        <v>15316</v>
      </c>
      <c r="E232">
        <v>54000</v>
      </c>
      <c r="F232">
        <v>58987</v>
      </c>
      <c r="G232">
        <v>101526</v>
      </c>
      <c r="H232">
        <v>73.400000000000006</v>
      </c>
    </row>
    <row r="233" spans="1:8" x14ac:dyDescent="0.2">
      <c r="A233">
        <v>2000</v>
      </c>
      <c r="B233" s="1" t="s">
        <v>21</v>
      </c>
      <c r="C233" s="1" t="s">
        <v>14</v>
      </c>
      <c r="D233">
        <v>18919</v>
      </c>
      <c r="E233">
        <v>40000</v>
      </c>
      <c r="F233">
        <v>45957</v>
      </c>
      <c r="G233">
        <v>75204</v>
      </c>
      <c r="H233">
        <v>73.400000000000006</v>
      </c>
    </row>
    <row r="234" spans="1:8" x14ac:dyDescent="0.2">
      <c r="A234">
        <v>2000</v>
      </c>
      <c r="B234" s="1" t="s">
        <v>22</v>
      </c>
      <c r="C234" s="1" t="s">
        <v>11</v>
      </c>
      <c r="D234">
        <v>26302</v>
      </c>
      <c r="E234">
        <v>124000</v>
      </c>
      <c r="F234">
        <v>142401</v>
      </c>
      <c r="G234">
        <v>233134</v>
      </c>
      <c r="H234">
        <v>73.400000000000006</v>
      </c>
    </row>
    <row r="235" spans="1:8" x14ac:dyDescent="0.2">
      <c r="A235">
        <v>2000</v>
      </c>
      <c r="B235" s="1" t="s">
        <v>22</v>
      </c>
      <c r="C235" s="1" t="s">
        <v>12</v>
      </c>
      <c r="D235">
        <v>8268</v>
      </c>
      <c r="E235">
        <v>47500</v>
      </c>
      <c r="F235">
        <v>58114</v>
      </c>
      <c r="G235">
        <v>89305</v>
      </c>
      <c r="H235">
        <v>73.400000000000006</v>
      </c>
    </row>
    <row r="236" spans="1:8" x14ac:dyDescent="0.2">
      <c r="A236">
        <v>2000</v>
      </c>
      <c r="B236" s="1" t="s">
        <v>22</v>
      </c>
      <c r="C236" s="1" t="s">
        <v>13</v>
      </c>
      <c r="D236">
        <v>35106</v>
      </c>
      <c r="E236">
        <v>65000</v>
      </c>
      <c r="F236">
        <v>71557</v>
      </c>
      <c r="G236">
        <v>122207</v>
      </c>
      <c r="H236">
        <v>73.400000000000006</v>
      </c>
    </row>
    <row r="237" spans="1:8" x14ac:dyDescent="0.2">
      <c r="A237">
        <v>2000</v>
      </c>
      <c r="B237" s="1" t="s">
        <v>22</v>
      </c>
      <c r="C237" s="1" t="s">
        <v>14</v>
      </c>
      <c r="D237">
        <v>30903</v>
      </c>
      <c r="E237">
        <v>50000</v>
      </c>
      <c r="F237">
        <v>55901</v>
      </c>
      <c r="G237">
        <v>94005</v>
      </c>
      <c r="H237">
        <v>73.400000000000006</v>
      </c>
    </row>
    <row r="238" spans="1:8" x14ac:dyDescent="0.2">
      <c r="A238">
        <v>2000</v>
      </c>
      <c r="B238" s="1" t="s">
        <v>23</v>
      </c>
      <c r="C238" s="1" t="s">
        <v>11</v>
      </c>
      <c r="D238">
        <v>26303</v>
      </c>
      <c r="E238">
        <v>95000</v>
      </c>
      <c r="F238">
        <v>111330</v>
      </c>
      <c r="G238">
        <v>178610</v>
      </c>
      <c r="H238">
        <v>73.400000000000006</v>
      </c>
    </row>
    <row r="239" spans="1:8" x14ac:dyDescent="0.2">
      <c r="A239">
        <v>2000</v>
      </c>
      <c r="B239" s="1" t="s">
        <v>23</v>
      </c>
      <c r="C239" s="1" t="s">
        <v>12</v>
      </c>
      <c r="D239">
        <v>5591</v>
      </c>
      <c r="E239">
        <v>52000</v>
      </c>
      <c r="F239">
        <v>63894</v>
      </c>
      <c r="G239">
        <v>97766</v>
      </c>
      <c r="H239">
        <v>73.400000000000006</v>
      </c>
    </row>
    <row r="240" spans="1:8" x14ac:dyDescent="0.2">
      <c r="A240">
        <v>2000</v>
      </c>
      <c r="B240" s="1" t="s">
        <v>23</v>
      </c>
      <c r="C240" s="1" t="s">
        <v>13</v>
      </c>
      <c r="D240">
        <v>34744</v>
      </c>
      <c r="E240">
        <v>54500</v>
      </c>
      <c r="F240">
        <v>59567</v>
      </c>
      <c r="G240">
        <v>102466</v>
      </c>
      <c r="H240">
        <v>73.400000000000006</v>
      </c>
    </row>
    <row r="241" spans="1:8" x14ac:dyDescent="0.2">
      <c r="A241">
        <v>2000</v>
      </c>
      <c r="B241" s="1" t="s">
        <v>23</v>
      </c>
      <c r="C241" s="1" t="s">
        <v>14</v>
      </c>
      <c r="D241">
        <v>33730</v>
      </c>
      <c r="E241">
        <v>39000</v>
      </c>
      <c r="F241">
        <v>44947</v>
      </c>
      <c r="G241">
        <v>73324</v>
      </c>
      <c r="H241">
        <v>73.400000000000006</v>
      </c>
    </row>
    <row r="242" spans="1:8" x14ac:dyDescent="0.2">
      <c r="A242">
        <v>2001</v>
      </c>
      <c r="B242" s="1" t="s">
        <v>10</v>
      </c>
      <c r="C242" s="1" t="s">
        <v>11</v>
      </c>
      <c r="D242">
        <v>37927</v>
      </c>
      <c r="E242">
        <v>112500</v>
      </c>
      <c r="F242">
        <v>127973</v>
      </c>
      <c r="G242">
        <v>208110</v>
      </c>
      <c r="H242">
        <v>74.599999999999994</v>
      </c>
    </row>
    <row r="243" spans="1:8" x14ac:dyDescent="0.2">
      <c r="A243">
        <v>2001</v>
      </c>
      <c r="B243" s="1" t="s">
        <v>10</v>
      </c>
      <c r="C243" s="1" t="s">
        <v>12</v>
      </c>
      <c r="D243">
        <v>4447</v>
      </c>
      <c r="E243">
        <v>52000</v>
      </c>
      <c r="F243">
        <v>65609</v>
      </c>
      <c r="G243">
        <v>96193</v>
      </c>
      <c r="H243">
        <v>74.599999999999994</v>
      </c>
    </row>
    <row r="244" spans="1:8" x14ac:dyDescent="0.2">
      <c r="A244">
        <v>2001</v>
      </c>
      <c r="B244" s="1" t="s">
        <v>10</v>
      </c>
      <c r="C244" s="1" t="s">
        <v>13</v>
      </c>
      <c r="D244">
        <v>35210</v>
      </c>
      <c r="E244">
        <v>62000</v>
      </c>
      <c r="F244">
        <v>67581</v>
      </c>
      <c r="G244">
        <v>114692</v>
      </c>
      <c r="H244">
        <v>74.599999999999994</v>
      </c>
    </row>
    <row r="245" spans="1:8" x14ac:dyDescent="0.2">
      <c r="A245">
        <v>2001</v>
      </c>
      <c r="B245" s="1" t="s">
        <v>10</v>
      </c>
      <c r="C245" s="1" t="s">
        <v>14</v>
      </c>
      <c r="D245">
        <v>28973</v>
      </c>
      <c r="E245">
        <v>48000</v>
      </c>
      <c r="F245">
        <v>53604</v>
      </c>
      <c r="G245">
        <v>88794</v>
      </c>
      <c r="H245">
        <v>74.599999999999994</v>
      </c>
    </row>
    <row r="246" spans="1:8" x14ac:dyDescent="0.2">
      <c r="A246">
        <v>2001</v>
      </c>
      <c r="B246" s="1" t="s">
        <v>15</v>
      </c>
      <c r="C246" s="1" t="s">
        <v>11</v>
      </c>
      <c r="D246">
        <v>41649</v>
      </c>
      <c r="E246">
        <v>155000</v>
      </c>
      <c r="F246">
        <v>189262</v>
      </c>
      <c r="G246">
        <v>286729</v>
      </c>
      <c r="H246">
        <v>74.599999999999994</v>
      </c>
    </row>
    <row r="247" spans="1:8" x14ac:dyDescent="0.2">
      <c r="A247">
        <v>2001</v>
      </c>
      <c r="B247" s="1" t="s">
        <v>15</v>
      </c>
      <c r="C247" s="1" t="s">
        <v>12</v>
      </c>
      <c r="D247">
        <v>20351</v>
      </c>
      <c r="E247">
        <v>67000</v>
      </c>
      <c r="F247">
        <v>76631</v>
      </c>
      <c r="G247">
        <v>123941</v>
      </c>
      <c r="H247">
        <v>74.599999999999994</v>
      </c>
    </row>
    <row r="248" spans="1:8" x14ac:dyDescent="0.2">
      <c r="A248">
        <v>2001</v>
      </c>
      <c r="B248" s="1" t="s">
        <v>15</v>
      </c>
      <c r="C248" s="1" t="s">
        <v>13</v>
      </c>
      <c r="D248">
        <v>39881</v>
      </c>
      <c r="E248">
        <v>99995</v>
      </c>
      <c r="F248">
        <v>114108</v>
      </c>
      <c r="G248">
        <v>184977</v>
      </c>
      <c r="H248">
        <v>74.599999999999994</v>
      </c>
    </row>
    <row r="249" spans="1:8" x14ac:dyDescent="0.2">
      <c r="A249">
        <v>2001</v>
      </c>
      <c r="B249" s="1" t="s">
        <v>15</v>
      </c>
      <c r="C249" s="1" t="s">
        <v>14</v>
      </c>
      <c r="D249">
        <v>42451</v>
      </c>
      <c r="E249">
        <v>82995</v>
      </c>
      <c r="F249">
        <v>93904</v>
      </c>
      <c r="G249">
        <v>153530</v>
      </c>
      <c r="H249">
        <v>74.599999999999994</v>
      </c>
    </row>
    <row r="250" spans="1:8" x14ac:dyDescent="0.2">
      <c r="A250">
        <v>2001</v>
      </c>
      <c r="B250" s="1" t="s">
        <v>16</v>
      </c>
      <c r="C250" s="1" t="s">
        <v>11</v>
      </c>
      <c r="D250">
        <v>6846</v>
      </c>
      <c r="E250">
        <v>310000</v>
      </c>
      <c r="F250">
        <v>422110</v>
      </c>
      <c r="G250">
        <v>573458</v>
      </c>
      <c r="H250">
        <v>74.599999999999994</v>
      </c>
    </row>
    <row r="251" spans="1:8" x14ac:dyDescent="0.2">
      <c r="A251">
        <v>2001</v>
      </c>
      <c r="B251" s="1" t="s">
        <v>16</v>
      </c>
      <c r="C251" s="1" t="s">
        <v>12</v>
      </c>
      <c r="D251">
        <v>80408</v>
      </c>
      <c r="E251">
        <v>136500</v>
      </c>
      <c r="F251">
        <v>177930</v>
      </c>
      <c r="G251">
        <v>252507</v>
      </c>
      <c r="H251">
        <v>74.599999999999994</v>
      </c>
    </row>
    <row r="252" spans="1:8" x14ac:dyDescent="0.2">
      <c r="A252">
        <v>2001</v>
      </c>
      <c r="B252" s="1" t="s">
        <v>16</v>
      </c>
      <c r="C252" s="1" t="s">
        <v>13</v>
      </c>
      <c r="D252">
        <v>26073</v>
      </c>
      <c r="E252">
        <v>182000</v>
      </c>
      <c r="F252">
        <v>226632</v>
      </c>
      <c r="G252">
        <v>336676</v>
      </c>
      <c r="H252">
        <v>74.599999999999994</v>
      </c>
    </row>
    <row r="253" spans="1:8" x14ac:dyDescent="0.2">
      <c r="A253">
        <v>2001</v>
      </c>
      <c r="B253" s="1" t="s">
        <v>16</v>
      </c>
      <c r="C253" s="1" t="s">
        <v>14</v>
      </c>
      <c r="D253">
        <v>52238</v>
      </c>
      <c r="E253">
        <v>150000</v>
      </c>
      <c r="F253">
        <v>207337</v>
      </c>
      <c r="G253">
        <v>277480</v>
      </c>
      <c r="H253">
        <v>74.599999999999994</v>
      </c>
    </row>
    <row r="254" spans="1:8" x14ac:dyDescent="0.2">
      <c r="A254">
        <v>2001</v>
      </c>
      <c r="B254" s="1" t="s">
        <v>17</v>
      </c>
      <c r="C254" s="1" t="s">
        <v>11</v>
      </c>
      <c r="D254">
        <v>10962</v>
      </c>
      <c r="E254">
        <v>99950</v>
      </c>
      <c r="F254">
        <v>117337</v>
      </c>
      <c r="G254">
        <v>184894</v>
      </c>
      <c r="H254">
        <v>74.599999999999994</v>
      </c>
    </row>
    <row r="255" spans="1:8" x14ac:dyDescent="0.2">
      <c r="A255">
        <v>2001</v>
      </c>
      <c r="B255" s="1" t="s">
        <v>17</v>
      </c>
      <c r="C255" s="1" t="s">
        <v>12</v>
      </c>
      <c r="D255">
        <v>6115</v>
      </c>
      <c r="E255">
        <v>39950</v>
      </c>
      <c r="F255">
        <v>51766</v>
      </c>
      <c r="G255">
        <v>73902</v>
      </c>
      <c r="H255">
        <v>74.599999999999994</v>
      </c>
    </row>
    <row r="256" spans="1:8" x14ac:dyDescent="0.2">
      <c r="A256">
        <v>2001</v>
      </c>
      <c r="B256" s="1" t="s">
        <v>17</v>
      </c>
      <c r="C256" s="1" t="s">
        <v>13</v>
      </c>
      <c r="D256">
        <v>16724</v>
      </c>
      <c r="E256">
        <v>57500</v>
      </c>
      <c r="F256">
        <v>61526</v>
      </c>
      <c r="G256">
        <v>106367</v>
      </c>
      <c r="H256">
        <v>74.599999999999994</v>
      </c>
    </row>
    <row r="257" spans="1:8" x14ac:dyDescent="0.2">
      <c r="A257">
        <v>2001</v>
      </c>
      <c r="B257" s="1" t="s">
        <v>17</v>
      </c>
      <c r="C257" s="1" t="s">
        <v>14</v>
      </c>
      <c r="D257">
        <v>19062</v>
      </c>
      <c r="E257">
        <v>37750</v>
      </c>
      <c r="F257">
        <v>46490</v>
      </c>
      <c r="G257">
        <v>69832</v>
      </c>
      <c r="H257">
        <v>74.599999999999994</v>
      </c>
    </row>
    <row r="258" spans="1:8" x14ac:dyDescent="0.2">
      <c r="A258">
        <v>2001</v>
      </c>
      <c r="B258" s="1" t="s">
        <v>18</v>
      </c>
      <c r="C258" s="1" t="s">
        <v>11</v>
      </c>
      <c r="D258">
        <v>29776</v>
      </c>
      <c r="E258">
        <v>119995</v>
      </c>
      <c r="F258">
        <v>143166</v>
      </c>
      <c r="G258">
        <v>221975</v>
      </c>
      <c r="H258">
        <v>74.599999999999994</v>
      </c>
    </row>
    <row r="259" spans="1:8" x14ac:dyDescent="0.2">
      <c r="A259">
        <v>2001</v>
      </c>
      <c r="B259" s="1" t="s">
        <v>18</v>
      </c>
      <c r="C259" s="1" t="s">
        <v>12</v>
      </c>
      <c r="D259">
        <v>11309</v>
      </c>
      <c r="E259">
        <v>60000</v>
      </c>
      <c r="F259">
        <v>75296</v>
      </c>
      <c r="G259">
        <v>110992</v>
      </c>
      <c r="H259">
        <v>74.599999999999994</v>
      </c>
    </row>
    <row r="260" spans="1:8" x14ac:dyDescent="0.2">
      <c r="A260">
        <v>2001</v>
      </c>
      <c r="B260" s="1" t="s">
        <v>18</v>
      </c>
      <c r="C260" s="1" t="s">
        <v>13</v>
      </c>
      <c r="D260">
        <v>51571</v>
      </c>
      <c r="E260">
        <v>65000</v>
      </c>
      <c r="F260">
        <v>72439</v>
      </c>
      <c r="G260">
        <v>120241</v>
      </c>
      <c r="H260">
        <v>74.599999999999994</v>
      </c>
    </row>
    <row r="261" spans="1:8" x14ac:dyDescent="0.2">
      <c r="A261">
        <v>2001</v>
      </c>
      <c r="B261" s="1" t="s">
        <v>18</v>
      </c>
      <c r="C261" s="1" t="s">
        <v>14</v>
      </c>
      <c r="D261">
        <v>53298</v>
      </c>
      <c r="E261">
        <v>39000</v>
      </c>
      <c r="F261">
        <v>46264</v>
      </c>
      <c r="G261">
        <v>72145</v>
      </c>
      <c r="H261">
        <v>74.599999999999994</v>
      </c>
    </row>
    <row r="262" spans="1:8" x14ac:dyDescent="0.2">
      <c r="A262">
        <v>2001</v>
      </c>
      <c r="B262" s="1" t="s">
        <v>19</v>
      </c>
      <c r="C262" s="1" t="s">
        <v>11</v>
      </c>
      <c r="D262">
        <v>54324</v>
      </c>
      <c r="E262">
        <v>216500</v>
      </c>
      <c r="F262">
        <v>263066</v>
      </c>
      <c r="G262">
        <v>400496</v>
      </c>
      <c r="H262">
        <v>74.599999999999994</v>
      </c>
    </row>
    <row r="263" spans="1:8" x14ac:dyDescent="0.2">
      <c r="A263">
        <v>2001</v>
      </c>
      <c r="B263" s="1" t="s">
        <v>19</v>
      </c>
      <c r="C263" s="1" t="s">
        <v>12</v>
      </c>
      <c r="D263">
        <v>41222</v>
      </c>
      <c r="E263">
        <v>84500</v>
      </c>
      <c r="F263">
        <v>96858</v>
      </c>
      <c r="G263">
        <v>156314</v>
      </c>
      <c r="H263">
        <v>74.599999999999994</v>
      </c>
    </row>
    <row r="264" spans="1:8" x14ac:dyDescent="0.2">
      <c r="A264">
        <v>2001</v>
      </c>
      <c r="B264" s="1" t="s">
        <v>19</v>
      </c>
      <c r="C264" s="1" t="s">
        <v>13</v>
      </c>
      <c r="D264">
        <v>56201</v>
      </c>
      <c r="E264">
        <v>130000</v>
      </c>
      <c r="F264">
        <v>142334</v>
      </c>
      <c r="G264">
        <v>240483</v>
      </c>
      <c r="H264">
        <v>74.599999999999994</v>
      </c>
    </row>
    <row r="265" spans="1:8" x14ac:dyDescent="0.2">
      <c r="A265">
        <v>2001</v>
      </c>
      <c r="B265" s="1" t="s">
        <v>19</v>
      </c>
      <c r="C265" s="1" t="s">
        <v>14</v>
      </c>
      <c r="D265">
        <v>59668</v>
      </c>
      <c r="E265">
        <v>102500</v>
      </c>
      <c r="F265">
        <v>114076</v>
      </c>
      <c r="G265">
        <v>189611</v>
      </c>
      <c r="H265">
        <v>74.599999999999994</v>
      </c>
    </row>
    <row r="266" spans="1:8" x14ac:dyDescent="0.2">
      <c r="A266">
        <v>2001</v>
      </c>
      <c r="B266" s="1" t="s">
        <v>20</v>
      </c>
      <c r="C266" s="1" t="s">
        <v>11</v>
      </c>
      <c r="D266">
        <v>40091</v>
      </c>
      <c r="E266">
        <v>153000</v>
      </c>
      <c r="F266">
        <v>179034</v>
      </c>
      <c r="G266">
        <v>283029</v>
      </c>
      <c r="H266">
        <v>74.599999999999994</v>
      </c>
    </row>
    <row r="267" spans="1:8" x14ac:dyDescent="0.2">
      <c r="A267">
        <v>2001</v>
      </c>
      <c r="B267" s="1" t="s">
        <v>20</v>
      </c>
      <c r="C267" s="1" t="s">
        <v>12</v>
      </c>
      <c r="D267">
        <v>19905</v>
      </c>
      <c r="E267">
        <v>69500</v>
      </c>
      <c r="F267">
        <v>85503</v>
      </c>
      <c r="G267">
        <v>128566</v>
      </c>
      <c r="H267">
        <v>74.599999999999994</v>
      </c>
    </row>
    <row r="268" spans="1:8" x14ac:dyDescent="0.2">
      <c r="A268">
        <v>2001</v>
      </c>
      <c r="B268" s="1" t="s">
        <v>20</v>
      </c>
      <c r="C268" s="1" t="s">
        <v>13</v>
      </c>
      <c r="D268">
        <v>32140</v>
      </c>
      <c r="E268">
        <v>94000</v>
      </c>
      <c r="F268">
        <v>105595</v>
      </c>
      <c r="G268">
        <v>173887</v>
      </c>
      <c r="H268">
        <v>74.599999999999994</v>
      </c>
    </row>
    <row r="269" spans="1:8" x14ac:dyDescent="0.2">
      <c r="A269">
        <v>2001</v>
      </c>
      <c r="B269" s="1" t="s">
        <v>20</v>
      </c>
      <c r="C269" s="1" t="s">
        <v>14</v>
      </c>
      <c r="D269">
        <v>42576</v>
      </c>
      <c r="E269">
        <v>78000</v>
      </c>
      <c r="F269">
        <v>88413</v>
      </c>
      <c r="G269">
        <v>144290</v>
      </c>
      <c r="H269">
        <v>74.599999999999994</v>
      </c>
    </row>
    <row r="270" spans="1:8" x14ac:dyDescent="0.2">
      <c r="A270">
        <v>2001</v>
      </c>
      <c r="B270" s="1" t="s">
        <v>21</v>
      </c>
      <c r="C270" s="1" t="s">
        <v>11</v>
      </c>
      <c r="D270">
        <v>18103</v>
      </c>
      <c r="E270">
        <v>97995</v>
      </c>
      <c r="F270">
        <v>112160</v>
      </c>
      <c r="G270">
        <v>181278</v>
      </c>
      <c r="H270">
        <v>74.599999999999994</v>
      </c>
    </row>
    <row r="271" spans="1:8" x14ac:dyDescent="0.2">
      <c r="A271">
        <v>2001</v>
      </c>
      <c r="B271" s="1" t="s">
        <v>21</v>
      </c>
      <c r="C271" s="1" t="s">
        <v>12</v>
      </c>
      <c r="D271">
        <v>3192</v>
      </c>
      <c r="E271">
        <v>57000</v>
      </c>
      <c r="F271">
        <v>67313</v>
      </c>
      <c r="G271">
        <v>105442</v>
      </c>
      <c r="H271">
        <v>74.599999999999994</v>
      </c>
    </row>
    <row r="272" spans="1:8" x14ac:dyDescent="0.2">
      <c r="A272">
        <v>2001</v>
      </c>
      <c r="B272" s="1" t="s">
        <v>21</v>
      </c>
      <c r="C272" s="1" t="s">
        <v>13</v>
      </c>
      <c r="D272">
        <v>17090</v>
      </c>
      <c r="E272">
        <v>58225</v>
      </c>
      <c r="F272">
        <v>63895</v>
      </c>
      <c r="G272">
        <v>107708</v>
      </c>
      <c r="H272">
        <v>74.599999999999994</v>
      </c>
    </row>
    <row r="273" spans="1:8" x14ac:dyDescent="0.2">
      <c r="A273">
        <v>2001</v>
      </c>
      <c r="B273" s="1" t="s">
        <v>21</v>
      </c>
      <c r="C273" s="1" t="s">
        <v>14</v>
      </c>
      <c r="D273">
        <v>21330</v>
      </c>
      <c r="E273">
        <v>43950</v>
      </c>
      <c r="F273">
        <v>50269</v>
      </c>
      <c r="G273">
        <v>81302</v>
      </c>
      <c r="H273">
        <v>74.599999999999994</v>
      </c>
    </row>
    <row r="274" spans="1:8" x14ac:dyDescent="0.2">
      <c r="A274">
        <v>2001</v>
      </c>
      <c r="B274" s="1" t="s">
        <v>22</v>
      </c>
      <c r="C274" s="1" t="s">
        <v>11</v>
      </c>
      <c r="D274">
        <v>28066</v>
      </c>
      <c r="E274">
        <v>138000</v>
      </c>
      <c r="F274">
        <v>159380</v>
      </c>
      <c r="G274">
        <v>255282</v>
      </c>
      <c r="H274">
        <v>74.599999999999994</v>
      </c>
    </row>
    <row r="275" spans="1:8" x14ac:dyDescent="0.2">
      <c r="A275">
        <v>2001</v>
      </c>
      <c r="B275" s="1" t="s">
        <v>22</v>
      </c>
      <c r="C275" s="1" t="s">
        <v>12</v>
      </c>
      <c r="D275">
        <v>9891</v>
      </c>
      <c r="E275">
        <v>57000</v>
      </c>
      <c r="F275">
        <v>70875</v>
      </c>
      <c r="G275">
        <v>105442</v>
      </c>
      <c r="H275">
        <v>74.599999999999994</v>
      </c>
    </row>
    <row r="276" spans="1:8" x14ac:dyDescent="0.2">
      <c r="A276">
        <v>2001</v>
      </c>
      <c r="B276" s="1" t="s">
        <v>22</v>
      </c>
      <c r="C276" s="1" t="s">
        <v>13</v>
      </c>
      <c r="D276">
        <v>37008</v>
      </c>
      <c r="E276">
        <v>73000</v>
      </c>
      <c r="F276">
        <v>80821</v>
      </c>
      <c r="G276">
        <v>135040</v>
      </c>
      <c r="H276">
        <v>74.599999999999994</v>
      </c>
    </row>
    <row r="277" spans="1:8" x14ac:dyDescent="0.2">
      <c r="A277">
        <v>2001</v>
      </c>
      <c r="B277" s="1" t="s">
        <v>22</v>
      </c>
      <c r="C277" s="1" t="s">
        <v>14</v>
      </c>
      <c r="D277">
        <v>33945</v>
      </c>
      <c r="E277">
        <v>56300</v>
      </c>
      <c r="F277">
        <v>62211</v>
      </c>
      <c r="G277">
        <v>104147</v>
      </c>
      <c r="H277">
        <v>74.599999999999994</v>
      </c>
    </row>
    <row r="278" spans="1:8" x14ac:dyDescent="0.2">
      <c r="A278">
        <v>2001</v>
      </c>
      <c r="B278" s="1" t="s">
        <v>23</v>
      </c>
      <c r="C278" s="1" t="s">
        <v>11</v>
      </c>
      <c r="D278">
        <v>27791</v>
      </c>
      <c r="E278">
        <v>105000</v>
      </c>
      <c r="F278">
        <v>123343</v>
      </c>
      <c r="G278">
        <v>194236</v>
      </c>
      <c r="H278">
        <v>74.599999999999994</v>
      </c>
    </row>
    <row r="279" spans="1:8" x14ac:dyDescent="0.2">
      <c r="A279">
        <v>2001</v>
      </c>
      <c r="B279" s="1" t="s">
        <v>23</v>
      </c>
      <c r="C279" s="1" t="s">
        <v>12</v>
      </c>
      <c r="D279">
        <v>6276</v>
      </c>
      <c r="E279">
        <v>59950</v>
      </c>
      <c r="F279">
        <v>72454</v>
      </c>
      <c r="G279">
        <v>110899</v>
      </c>
      <c r="H279">
        <v>74.599999999999994</v>
      </c>
    </row>
    <row r="280" spans="1:8" x14ac:dyDescent="0.2">
      <c r="A280">
        <v>2001</v>
      </c>
      <c r="B280" s="1" t="s">
        <v>23</v>
      </c>
      <c r="C280" s="1" t="s">
        <v>13</v>
      </c>
      <c r="D280">
        <v>38602</v>
      </c>
      <c r="E280">
        <v>58995</v>
      </c>
      <c r="F280">
        <v>65292</v>
      </c>
      <c r="G280">
        <v>109133</v>
      </c>
      <c r="H280">
        <v>74.599999999999994</v>
      </c>
    </row>
    <row r="281" spans="1:8" x14ac:dyDescent="0.2">
      <c r="A281">
        <v>2001</v>
      </c>
      <c r="B281" s="1" t="s">
        <v>23</v>
      </c>
      <c r="C281" s="1" t="s">
        <v>14</v>
      </c>
      <c r="D281">
        <v>39946</v>
      </c>
      <c r="E281">
        <v>40500</v>
      </c>
      <c r="F281">
        <v>48184</v>
      </c>
      <c r="G281">
        <v>74920</v>
      </c>
      <c r="H281">
        <v>74.599999999999994</v>
      </c>
    </row>
    <row r="282" spans="1:8" x14ac:dyDescent="0.2">
      <c r="A282">
        <v>2002</v>
      </c>
      <c r="B282" s="1" t="s">
        <v>10</v>
      </c>
      <c r="C282" s="1" t="s">
        <v>11</v>
      </c>
      <c r="D282">
        <v>39628</v>
      </c>
      <c r="E282">
        <v>135000</v>
      </c>
      <c r="F282">
        <v>153847</v>
      </c>
      <c r="G282">
        <v>246103</v>
      </c>
      <c r="H282">
        <v>75.7</v>
      </c>
    </row>
    <row r="283" spans="1:8" x14ac:dyDescent="0.2">
      <c r="A283">
        <v>2002</v>
      </c>
      <c r="B283" s="1" t="s">
        <v>10</v>
      </c>
      <c r="C283" s="1" t="s">
        <v>12</v>
      </c>
      <c r="D283">
        <v>5568</v>
      </c>
      <c r="E283">
        <v>66000</v>
      </c>
      <c r="F283">
        <v>79598</v>
      </c>
      <c r="G283">
        <v>120317</v>
      </c>
      <c r="H283">
        <v>75.7</v>
      </c>
    </row>
    <row r="284" spans="1:8" x14ac:dyDescent="0.2">
      <c r="A284">
        <v>2002</v>
      </c>
      <c r="B284" s="1" t="s">
        <v>10</v>
      </c>
      <c r="C284" s="1" t="s">
        <v>13</v>
      </c>
      <c r="D284">
        <v>37374</v>
      </c>
      <c r="E284">
        <v>77000</v>
      </c>
      <c r="F284">
        <v>82625</v>
      </c>
      <c r="G284">
        <v>140370</v>
      </c>
      <c r="H284">
        <v>75.7</v>
      </c>
    </row>
    <row r="285" spans="1:8" x14ac:dyDescent="0.2">
      <c r="A285">
        <v>2002</v>
      </c>
      <c r="B285" s="1" t="s">
        <v>10</v>
      </c>
      <c r="C285" s="1" t="s">
        <v>14</v>
      </c>
      <c r="D285">
        <v>32198</v>
      </c>
      <c r="E285">
        <v>59995</v>
      </c>
      <c r="F285">
        <v>66044</v>
      </c>
      <c r="G285">
        <v>109370</v>
      </c>
      <c r="H285">
        <v>75.7</v>
      </c>
    </row>
    <row r="286" spans="1:8" x14ac:dyDescent="0.2">
      <c r="A286">
        <v>2002</v>
      </c>
      <c r="B286" s="1" t="s">
        <v>15</v>
      </c>
      <c r="C286" s="1" t="s">
        <v>11</v>
      </c>
      <c r="D286">
        <v>43257</v>
      </c>
      <c r="E286">
        <v>185000</v>
      </c>
      <c r="F286">
        <v>222356</v>
      </c>
      <c r="G286">
        <v>337252</v>
      </c>
      <c r="H286">
        <v>75.7</v>
      </c>
    </row>
    <row r="287" spans="1:8" x14ac:dyDescent="0.2">
      <c r="A287">
        <v>2002</v>
      </c>
      <c r="B287" s="1" t="s">
        <v>15</v>
      </c>
      <c r="C287" s="1" t="s">
        <v>12</v>
      </c>
      <c r="D287">
        <v>22720</v>
      </c>
      <c r="E287">
        <v>85950</v>
      </c>
      <c r="F287">
        <v>97133</v>
      </c>
      <c r="G287">
        <v>156686</v>
      </c>
      <c r="H287">
        <v>75.7</v>
      </c>
    </row>
    <row r="288" spans="1:8" x14ac:dyDescent="0.2">
      <c r="A288">
        <v>2002</v>
      </c>
      <c r="B288" s="1" t="s">
        <v>15</v>
      </c>
      <c r="C288" s="1" t="s">
        <v>13</v>
      </c>
      <c r="D288">
        <v>41122</v>
      </c>
      <c r="E288">
        <v>125000</v>
      </c>
      <c r="F288">
        <v>137991</v>
      </c>
      <c r="G288">
        <v>227873</v>
      </c>
      <c r="H288">
        <v>75.7</v>
      </c>
    </row>
    <row r="289" spans="1:8" x14ac:dyDescent="0.2">
      <c r="A289">
        <v>2002</v>
      </c>
      <c r="B289" s="1" t="s">
        <v>15</v>
      </c>
      <c r="C289" s="1" t="s">
        <v>14</v>
      </c>
      <c r="D289">
        <v>43076</v>
      </c>
      <c r="E289">
        <v>104000</v>
      </c>
      <c r="F289">
        <v>114383</v>
      </c>
      <c r="G289">
        <v>189590</v>
      </c>
      <c r="H289">
        <v>75.7</v>
      </c>
    </row>
    <row r="290" spans="1:8" x14ac:dyDescent="0.2">
      <c r="A290">
        <v>2002</v>
      </c>
      <c r="B290" s="1" t="s">
        <v>16</v>
      </c>
      <c r="C290" s="1" t="s">
        <v>11</v>
      </c>
      <c r="D290">
        <v>7356</v>
      </c>
      <c r="E290">
        <v>351500</v>
      </c>
      <c r="F290">
        <v>460176</v>
      </c>
      <c r="G290">
        <v>640779</v>
      </c>
      <c r="H290">
        <v>75.7</v>
      </c>
    </row>
    <row r="291" spans="1:8" x14ac:dyDescent="0.2">
      <c r="A291">
        <v>2002</v>
      </c>
      <c r="B291" s="1" t="s">
        <v>16</v>
      </c>
      <c r="C291" s="1" t="s">
        <v>12</v>
      </c>
      <c r="D291">
        <v>86864</v>
      </c>
      <c r="E291">
        <v>160000</v>
      </c>
      <c r="F291">
        <v>202788</v>
      </c>
      <c r="G291">
        <v>291678</v>
      </c>
      <c r="H291">
        <v>75.7</v>
      </c>
    </row>
    <row r="292" spans="1:8" x14ac:dyDescent="0.2">
      <c r="A292">
        <v>2002</v>
      </c>
      <c r="B292" s="1" t="s">
        <v>16</v>
      </c>
      <c r="C292" s="1" t="s">
        <v>13</v>
      </c>
      <c r="D292">
        <v>27330</v>
      </c>
      <c r="E292">
        <v>217000</v>
      </c>
      <c r="F292">
        <v>260062</v>
      </c>
      <c r="G292">
        <v>395588</v>
      </c>
      <c r="H292">
        <v>75.7</v>
      </c>
    </row>
    <row r="293" spans="1:8" x14ac:dyDescent="0.2">
      <c r="A293">
        <v>2002</v>
      </c>
      <c r="B293" s="1" t="s">
        <v>16</v>
      </c>
      <c r="C293" s="1" t="s">
        <v>14</v>
      </c>
      <c r="D293">
        <v>55399</v>
      </c>
      <c r="E293">
        <v>180000</v>
      </c>
      <c r="F293">
        <v>238253</v>
      </c>
      <c r="G293">
        <v>328137</v>
      </c>
      <c r="H293">
        <v>75.7</v>
      </c>
    </row>
    <row r="294" spans="1:8" x14ac:dyDescent="0.2">
      <c r="A294">
        <v>2002</v>
      </c>
      <c r="B294" s="1" t="s">
        <v>17</v>
      </c>
      <c r="C294" s="1" t="s">
        <v>11</v>
      </c>
      <c r="D294">
        <v>11549</v>
      </c>
      <c r="E294">
        <v>121950</v>
      </c>
      <c r="F294">
        <v>138700</v>
      </c>
      <c r="G294">
        <v>222313</v>
      </c>
      <c r="H294">
        <v>75.7</v>
      </c>
    </row>
    <row r="295" spans="1:8" x14ac:dyDescent="0.2">
      <c r="A295">
        <v>2002</v>
      </c>
      <c r="B295" s="1" t="s">
        <v>17</v>
      </c>
      <c r="C295" s="1" t="s">
        <v>12</v>
      </c>
      <c r="D295">
        <v>7579</v>
      </c>
      <c r="E295">
        <v>47500</v>
      </c>
      <c r="F295">
        <v>62676</v>
      </c>
      <c r="G295">
        <v>86592</v>
      </c>
      <c r="H295">
        <v>75.7</v>
      </c>
    </row>
    <row r="296" spans="1:8" x14ac:dyDescent="0.2">
      <c r="A296">
        <v>2002</v>
      </c>
      <c r="B296" s="1" t="s">
        <v>17</v>
      </c>
      <c r="C296" s="1" t="s">
        <v>13</v>
      </c>
      <c r="D296">
        <v>17823</v>
      </c>
      <c r="E296">
        <v>66000</v>
      </c>
      <c r="F296">
        <v>72149</v>
      </c>
      <c r="G296">
        <v>120317</v>
      </c>
      <c r="H296">
        <v>75.7</v>
      </c>
    </row>
    <row r="297" spans="1:8" x14ac:dyDescent="0.2">
      <c r="A297">
        <v>2002</v>
      </c>
      <c r="B297" s="1" t="s">
        <v>17</v>
      </c>
      <c r="C297" s="1" t="s">
        <v>14</v>
      </c>
      <c r="D297">
        <v>22645</v>
      </c>
      <c r="E297">
        <v>42000</v>
      </c>
      <c r="F297">
        <v>53110</v>
      </c>
      <c r="G297">
        <v>76565</v>
      </c>
      <c r="H297">
        <v>75.7</v>
      </c>
    </row>
    <row r="298" spans="1:8" x14ac:dyDescent="0.2">
      <c r="A298">
        <v>2002</v>
      </c>
      <c r="B298" s="1" t="s">
        <v>18</v>
      </c>
      <c r="C298" s="1" t="s">
        <v>11</v>
      </c>
      <c r="D298">
        <v>31626</v>
      </c>
      <c r="E298">
        <v>140000</v>
      </c>
      <c r="F298">
        <v>167708</v>
      </c>
      <c r="G298">
        <v>255218</v>
      </c>
      <c r="H298">
        <v>75.7</v>
      </c>
    </row>
    <row r="299" spans="1:8" x14ac:dyDescent="0.2">
      <c r="A299">
        <v>2002</v>
      </c>
      <c r="B299" s="1" t="s">
        <v>18</v>
      </c>
      <c r="C299" s="1" t="s">
        <v>12</v>
      </c>
      <c r="D299">
        <v>15905</v>
      </c>
      <c r="E299">
        <v>79000</v>
      </c>
      <c r="F299">
        <v>91560</v>
      </c>
      <c r="G299">
        <v>144016</v>
      </c>
      <c r="H299">
        <v>75.7</v>
      </c>
    </row>
    <row r="300" spans="1:8" x14ac:dyDescent="0.2">
      <c r="A300">
        <v>2002</v>
      </c>
      <c r="B300" s="1" t="s">
        <v>18</v>
      </c>
      <c r="C300" s="1" t="s">
        <v>13</v>
      </c>
      <c r="D300">
        <v>56146</v>
      </c>
      <c r="E300">
        <v>76950</v>
      </c>
      <c r="F300">
        <v>85855</v>
      </c>
      <c r="G300">
        <v>140279</v>
      </c>
      <c r="H300">
        <v>75.7</v>
      </c>
    </row>
    <row r="301" spans="1:8" x14ac:dyDescent="0.2">
      <c r="A301">
        <v>2002</v>
      </c>
      <c r="B301" s="1" t="s">
        <v>18</v>
      </c>
      <c r="C301" s="1" t="s">
        <v>14</v>
      </c>
      <c r="D301">
        <v>64947</v>
      </c>
      <c r="E301">
        <v>44000</v>
      </c>
      <c r="F301">
        <v>52783</v>
      </c>
      <c r="G301">
        <v>80211</v>
      </c>
      <c r="H301">
        <v>75.7</v>
      </c>
    </row>
    <row r="302" spans="1:8" x14ac:dyDescent="0.2">
      <c r="A302">
        <v>2002</v>
      </c>
      <c r="B302" s="1" t="s">
        <v>19</v>
      </c>
      <c r="C302" s="1" t="s">
        <v>11</v>
      </c>
      <c r="D302">
        <v>58103</v>
      </c>
      <c r="E302">
        <v>248000</v>
      </c>
      <c r="F302">
        <v>297493</v>
      </c>
      <c r="G302">
        <v>452100</v>
      </c>
      <c r="H302">
        <v>75.7</v>
      </c>
    </row>
    <row r="303" spans="1:8" x14ac:dyDescent="0.2">
      <c r="A303">
        <v>2002</v>
      </c>
      <c r="B303" s="1" t="s">
        <v>19</v>
      </c>
      <c r="C303" s="1" t="s">
        <v>12</v>
      </c>
      <c r="D303">
        <v>45033</v>
      </c>
      <c r="E303">
        <v>104000</v>
      </c>
      <c r="F303">
        <v>115409</v>
      </c>
      <c r="G303">
        <v>189590</v>
      </c>
      <c r="H303">
        <v>75.7</v>
      </c>
    </row>
    <row r="304" spans="1:8" x14ac:dyDescent="0.2">
      <c r="A304">
        <v>2002</v>
      </c>
      <c r="B304" s="1" t="s">
        <v>19</v>
      </c>
      <c r="C304" s="1" t="s">
        <v>13</v>
      </c>
      <c r="D304">
        <v>59763</v>
      </c>
      <c r="E304">
        <v>153500</v>
      </c>
      <c r="F304">
        <v>166366</v>
      </c>
      <c r="G304">
        <v>279828</v>
      </c>
      <c r="H304">
        <v>75.7</v>
      </c>
    </row>
    <row r="305" spans="1:8" x14ac:dyDescent="0.2">
      <c r="A305">
        <v>2002</v>
      </c>
      <c r="B305" s="1" t="s">
        <v>19</v>
      </c>
      <c r="C305" s="1" t="s">
        <v>14</v>
      </c>
      <c r="D305">
        <v>62923</v>
      </c>
      <c r="E305">
        <v>125000</v>
      </c>
      <c r="F305">
        <v>135593</v>
      </c>
      <c r="G305">
        <v>227873</v>
      </c>
      <c r="H305">
        <v>75.7</v>
      </c>
    </row>
    <row r="306" spans="1:8" x14ac:dyDescent="0.2">
      <c r="A306">
        <v>2002</v>
      </c>
      <c r="B306" s="1" t="s">
        <v>20</v>
      </c>
      <c r="C306" s="1" t="s">
        <v>11</v>
      </c>
      <c r="D306">
        <v>41596</v>
      </c>
      <c r="E306">
        <v>185000</v>
      </c>
      <c r="F306">
        <v>213091</v>
      </c>
      <c r="G306">
        <v>337252</v>
      </c>
      <c r="H306">
        <v>75.7</v>
      </c>
    </row>
    <row r="307" spans="1:8" x14ac:dyDescent="0.2">
      <c r="A307">
        <v>2002</v>
      </c>
      <c r="B307" s="1" t="s">
        <v>20</v>
      </c>
      <c r="C307" s="1" t="s">
        <v>12</v>
      </c>
      <c r="D307">
        <v>22216</v>
      </c>
      <c r="E307">
        <v>88000</v>
      </c>
      <c r="F307">
        <v>106913</v>
      </c>
      <c r="G307">
        <v>160423</v>
      </c>
      <c r="H307">
        <v>75.7</v>
      </c>
    </row>
    <row r="308" spans="1:8" x14ac:dyDescent="0.2">
      <c r="A308">
        <v>2002</v>
      </c>
      <c r="B308" s="1" t="s">
        <v>20</v>
      </c>
      <c r="C308" s="1" t="s">
        <v>13</v>
      </c>
      <c r="D308">
        <v>32601</v>
      </c>
      <c r="E308">
        <v>119000</v>
      </c>
      <c r="F308">
        <v>128539</v>
      </c>
      <c r="G308">
        <v>216935</v>
      </c>
      <c r="H308">
        <v>75.7</v>
      </c>
    </row>
    <row r="309" spans="1:8" x14ac:dyDescent="0.2">
      <c r="A309">
        <v>2002</v>
      </c>
      <c r="B309" s="1" t="s">
        <v>20</v>
      </c>
      <c r="C309" s="1" t="s">
        <v>14</v>
      </c>
      <c r="D309">
        <v>43370</v>
      </c>
      <c r="E309">
        <v>97000</v>
      </c>
      <c r="F309">
        <v>109340</v>
      </c>
      <c r="G309">
        <v>176830</v>
      </c>
      <c r="H309">
        <v>75.7</v>
      </c>
    </row>
    <row r="310" spans="1:8" x14ac:dyDescent="0.2">
      <c r="A310">
        <v>2002</v>
      </c>
      <c r="B310" s="1" t="s">
        <v>21</v>
      </c>
      <c r="C310" s="1" t="s">
        <v>11</v>
      </c>
      <c r="D310">
        <v>20006</v>
      </c>
      <c r="E310">
        <v>119950</v>
      </c>
      <c r="F310">
        <v>132026</v>
      </c>
      <c r="G310">
        <v>218667</v>
      </c>
      <c r="H310">
        <v>75.7</v>
      </c>
    </row>
    <row r="311" spans="1:8" x14ac:dyDescent="0.2">
      <c r="A311">
        <v>2002</v>
      </c>
      <c r="B311" s="1" t="s">
        <v>21</v>
      </c>
      <c r="C311" s="1" t="s">
        <v>12</v>
      </c>
      <c r="D311">
        <v>4166</v>
      </c>
      <c r="E311">
        <v>69950</v>
      </c>
      <c r="F311">
        <v>85052</v>
      </c>
      <c r="G311">
        <v>127518</v>
      </c>
      <c r="H311">
        <v>75.7</v>
      </c>
    </row>
    <row r="312" spans="1:8" x14ac:dyDescent="0.2">
      <c r="A312">
        <v>2002</v>
      </c>
      <c r="B312" s="1" t="s">
        <v>21</v>
      </c>
      <c r="C312" s="1" t="s">
        <v>13</v>
      </c>
      <c r="D312">
        <v>19133</v>
      </c>
      <c r="E312">
        <v>67500</v>
      </c>
      <c r="F312">
        <v>74532</v>
      </c>
      <c r="G312">
        <v>123052</v>
      </c>
      <c r="H312">
        <v>75.7</v>
      </c>
    </row>
    <row r="313" spans="1:8" x14ac:dyDescent="0.2">
      <c r="A313">
        <v>2002</v>
      </c>
      <c r="B313" s="1" t="s">
        <v>21</v>
      </c>
      <c r="C313" s="1" t="s">
        <v>14</v>
      </c>
      <c r="D313">
        <v>24093</v>
      </c>
      <c r="E313">
        <v>49950</v>
      </c>
      <c r="F313">
        <v>58087</v>
      </c>
      <c r="G313">
        <v>91058</v>
      </c>
      <c r="H313">
        <v>75.7</v>
      </c>
    </row>
    <row r="314" spans="1:8" x14ac:dyDescent="0.2">
      <c r="A314">
        <v>2002</v>
      </c>
      <c r="B314" s="1" t="s">
        <v>22</v>
      </c>
      <c r="C314" s="1" t="s">
        <v>11</v>
      </c>
      <c r="D314">
        <v>30739</v>
      </c>
      <c r="E314">
        <v>162500</v>
      </c>
      <c r="F314">
        <v>187376</v>
      </c>
      <c r="G314">
        <v>296235</v>
      </c>
      <c r="H314">
        <v>75.7</v>
      </c>
    </row>
    <row r="315" spans="1:8" x14ac:dyDescent="0.2">
      <c r="A315">
        <v>2002</v>
      </c>
      <c r="B315" s="1" t="s">
        <v>22</v>
      </c>
      <c r="C315" s="1" t="s">
        <v>12</v>
      </c>
      <c r="D315">
        <v>11475</v>
      </c>
      <c r="E315">
        <v>69500</v>
      </c>
      <c r="F315">
        <v>83762</v>
      </c>
      <c r="G315">
        <v>126697</v>
      </c>
      <c r="H315">
        <v>75.7</v>
      </c>
    </row>
    <row r="316" spans="1:8" x14ac:dyDescent="0.2">
      <c r="A316">
        <v>2002</v>
      </c>
      <c r="B316" s="1" t="s">
        <v>22</v>
      </c>
      <c r="C316" s="1" t="s">
        <v>13</v>
      </c>
      <c r="D316">
        <v>40564</v>
      </c>
      <c r="E316">
        <v>86500</v>
      </c>
      <c r="F316">
        <v>95733</v>
      </c>
      <c r="G316">
        <v>157688</v>
      </c>
      <c r="H316">
        <v>75.7</v>
      </c>
    </row>
    <row r="317" spans="1:8" x14ac:dyDescent="0.2">
      <c r="A317">
        <v>2002</v>
      </c>
      <c r="B317" s="1" t="s">
        <v>22</v>
      </c>
      <c r="C317" s="1" t="s">
        <v>14</v>
      </c>
      <c r="D317">
        <v>37793</v>
      </c>
      <c r="E317">
        <v>67500</v>
      </c>
      <c r="F317">
        <v>74421</v>
      </c>
      <c r="G317">
        <v>123052</v>
      </c>
      <c r="H317">
        <v>75.7</v>
      </c>
    </row>
    <row r="318" spans="1:8" x14ac:dyDescent="0.2">
      <c r="A318">
        <v>2002</v>
      </c>
      <c r="B318" s="1" t="s">
        <v>23</v>
      </c>
      <c r="C318" s="1" t="s">
        <v>11</v>
      </c>
      <c r="D318">
        <v>28791</v>
      </c>
      <c r="E318">
        <v>129000</v>
      </c>
      <c r="F318">
        <v>149635</v>
      </c>
      <c r="G318">
        <v>235165</v>
      </c>
      <c r="H318">
        <v>75.7</v>
      </c>
    </row>
    <row r="319" spans="1:8" x14ac:dyDescent="0.2">
      <c r="A319">
        <v>2002</v>
      </c>
      <c r="B319" s="1" t="s">
        <v>23</v>
      </c>
      <c r="C319" s="1" t="s">
        <v>12</v>
      </c>
      <c r="D319">
        <v>8548</v>
      </c>
      <c r="E319">
        <v>75950</v>
      </c>
      <c r="F319">
        <v>87150</v>
      </c>
      <c r="G319">
        <v>138456</v>
      </c>
      <c r="H319">
        <v>75.7</v>
      </c>
    </row>
    <row r="320" spans="1:8" x14ac:dyDescent="0.2">
      <c r="A320">
        <v>2002</v>
      </c>
      <c r="B320" s="1" t="s">
        <v>23</v>
      </c>
      <c r="C320" s="1" t="s">
        <v>13</v>
      </c>
      <c r="D320">
        <v>41047</v>
      </c>
      <c r="E320">
        <v>69950</v>
      </c>
      <c r="F320">
        <v>77838</v>
      </c>
      <c r="G320">
        <v>127518</v>
      </c>
      <c r="H320">
        <v>75.7</v>
      </c>
    </row>
    <row r="321" spans="1:8" x14ac:dyDescent="0.2">
      <c r="A321">
        <v>2002</v>
      </c>
      <c r="B321" s="1" t="s">
        <v>23</v>
      </c>
      <c r="C321" s="1" t="s">
        <v>14</v>
      </c>
      <c r="D321">
        <v>46763</v>
      </c>
      <c r="E321">
        <v>46500</v>
      </c>
      <c r="F321">
        <v>56477</v>
      </c>
      <c r="G321">
        <v>84769</v>
      </c>
      <c r="H321">
        <v>75.7</v>
      </c>
    </row>
    <row r="322" spans="1:8" x14ac:dyDescent="0.2">
      <c r="A322">
        <v>2003</v>
      </c>
      <c r="B322" s="1" t="s">
        <v>10</v>
      </c>
      <c r="C322" s="1" t="s">
        <v>11</v>
      </c>
      <c r="D322">
        <v>33374</v>
      </c>
      <c r="E322">
        <v>167000</v>
      </c>
      <c r="F322">
        <v>188113</v>
      </c>
      <c r="G322">
        <v>300469</v>
      </c>
      <c r="H322">
        <v>76.7</v>
      </c>
    </row>
    <row r="323" spans="1:8" x14ac:dyDescent="0.2">
      <c r="A323">
        <v>2003</v>
      </c>
      <c r="B323" s="1" t="s">
        <v>10</v>
      </c>
      <c r="C323" s="1" t="s">
        <v>12</v>
      </c>
      <c r="D323">
        <v>6535</v>
      </c>
      <c r="E323">
        <v>87000</v>
      </c>
      <c r="F323">
        <v>97074</v>
      </c>
      <c r="G323">
        <v>156532</v>
      </c>
      <c r="H323">
        <v>76.7</v>
      </c>
    </row>
    <row r="324" spans="1:8" x14ac:dyDescent="0.2">
      <c r="A324">
        <v>2003</v>
      </c>
      <c r="B324" s="1" t="s">
        <v>10</v>
      </c>
      <c r="C324" s="1" t="s">
        <v>13</v>
      </c>
      <c r="D324">
        <v>34133</v>
      </c>
      <c r="E324">
        <v>97000</v>
      </c>
      <c r="F324">
        <v>104887</v>
      </c>
      <c r="G324">
        <v>174524</v>
      </c>
      <c r="H324">
        <v>76.7</v>
      </c>
    </row>
    <row r="325" spans="1:8" x14ac:dyDescent="0.2">
      <c r="A325">
        <v>2003</v>
      </c>
      <c r="B325" s="1" t="s">
        <v>10</v>
      </c>
      <c r="C325" s="1" t="s">
        <v>14</v>
      </c>
      <c r="D325">
        <v>29974</v>
      </c>
      <c r="E325">
        <v>78000</v>
      </c>
      <c r="F325">
        <v>84632</v>
      </c>
      <c r="G325">
        <v>140339</v>
      </c>
      <c r="H325">
        <v>76.7</v>
      </c>
    </row>
    <row r="326" spans="1:8" x14ac:dyDescent="0.2">
      <c r="A326">
        <v>2003</v>
      </c>
      <c r="B326" s="1" t="s">
        <v>15</v>
      </c>
      <c r="C326" s="1" t="s">
        <v>11</v>
      </c>
      <c r="D326">
        <v>36703</v>
      </c>
      <c r="E326">
        <v>215000</v>
      </c>
      <c r="F326">
        <v>253245</v>
      </c>
      <c r="G326">
        <v>386832</v>
      </c>
      <c r="H326">
        <v>76.7</v>
      </c>
    </row>
    <row r="327" spans="1:8" x14ac:dyDescent="0.2">
      <c r="A327">
        <v>2003</v>
      </c>
      <c r="B327" s="1" t="s">
        <v>15</v>
      </c>
      <c r="C327" s="1" t="s">
        <v>12</v>
      </c>
      <c r="D327">
        <v>21395</v>
      </c>
      <c r="E327">
        <v>105000</v>
      </c>
      <c r="F327">
        <v>115550</v>
      </c>
      <c r="G327">
        <v>188918</v>
      </c>
      <c r="H327">
        <v>76.7</v>
      </c>
    </row>
    <row r="328" spans="1:8" x14ac:dyDescent="0.2">
      <c r="A328">
        <v>2003</v>
      </c>
      <c r="B328" s="1" t="s">
        <v>15</v>
      </c>
      <c r="C328" s="1" t="s">
        <v>13</v>
      </c>
      <c r="D328">
        <v>36302</v>
      </c>
      <c r="E328">
        <v>148000</v>
      </c>
      <c r="F328">
        <v>161738</v>
      </c>
      <c r="G328">
        <v>266284</v>
      </c>
      <c r="H328">
        <v>76.7</v>
      </c>
    </row>
    <row r="329" spans="1:8" x14ac:dyDescent="0.2">
      <c r="A329">
        <v>2003</v>
      </c>
      <c r="B329" s="1" t="s">
        <v>15</v>
      </c>
      <c r="C329" s="1" t="s">
        <v>14</v>
      </c>
      <c r="D329">
        <v>39076</v>
      </c>
      <c r="E329">
        <v>126000</v>
      </c>
      <c r="F329">
        <v>136179</v>
      </c>
      <c r="G329">
        <v>226701</v>
      </c>
      <c r="H329">
        <v>76.7</v>
      </c>
    </row>
    <row r="330" spans="1:8" x14ac:dyDescent="0.2">
      <c r="A330">
        <v>2003</v>
      </c>
      <c r="B330" s="1" t="s">
        <v>16</v>
      </c>
      <c r="C330" s="1" t="s">
        <v>11</v>
      </c>
      <c r="D330">
        <v>5985</v>
      </c>
      <c r="E330">
        <v>390000</v>
      </c>
      <c r="F330">
        <v>508883</v>
      </c>
      <c r="G330">
        <v>701695</v>
      </c>
      <c r="H330">
        <v>76.7</v>
      </c>
    </row>
    <row r="331" spans="1:8" x14ac:dyDescent="0.2">
      <c r="A331">
        <v>2003</v>
      </c>
      <c r="B331" s="1" t="s">
        <v>16</v>
      </c>
      <c r="C331" s="1" t="s">
        <v>12</v>
      </c>
      <c r="D331">
        <v>74896</v>
      </c>
      <c r="E331">
        <v>173000</v>
      </c>
      <c r="F331">
        <v>216498</v>
      </c>
      <c r="G331">
        <v>311265</v>
      </c>
      <c r="H331">
        <v>76.7</v>
      </c>
    </row>
    <row r="332" spans="1:8" x14ac:dyDescent="0.2">
      <c r="A332">
        <v>2003</v>
      </c>
      <c r="B332" s="1" t="s">
        <v>16</v>
      </c>
      <c r="C332" s="1" t="s">
        <v>13</v>
      </c>
      <c r="D332">
        <v>23716</v>
      </c>
      <c r="E332">
        <v>244997</v>
      </c>
      <c r="F332">
        <v>283746</v>
      </c>
      <c r="G332">
        <v>440803</v>
      </c>
      <c r="H332">
        <v>76.7</v>
      </c>
    </row>
    <row r="333" spans="1:8" x14ac:dyDescent="0.2">
      <c r="A333">
        <v>2003</v>
      </c>
      <c r="B333" s="1" t="s">
        <v>16</v>
      </c>
      <c r="C333" s="1" t="s">
        <v>14</v>
      </c>
      <c r="D333">
        <v>47844</v>
      </c>
      <c r="E333">
        <v>204950</v>
      </c>
      <c r="F333">
        <v>257889</v>
      </c>
      <c r="G333">
        <v>368750</v>
      </c>
      <c r="H333">
        <v>76.7</v>
      </c>
    </row>
    <row r="334" spans="1:8" x14ac:dyDescent="0.2">
      <c r="A334">
        <v>2003</v>
      </c>
      <c r="B334" s="1" t="s">
        <v>17</v>
      </c>
      <c r="C334" s="1" t="s">
        <v>11</v>
      </c>
      <c r="D334">
        <v>10775</v>
      </c>
      <c r="E334">
        <v>155000</v>
      </c>
      <c r="F334">
        <v>174521</v>
      </c>
      <c r="G334">
        <v>278879</v>
      </c>
      <c r="H334">
        <v>76.7</v>
      </c>
    </row>
    <row r="335" spans="1:8" x14ac:dyDescent="0.2">
      <c r="A335">
        <v>2003</v>
      </c>
      <c r="B335" s="1" t="s">
        <v>17</v>
      </c>
      <c r="C335" s="1" t="s">
        <v>12</v>
      </c>
      <c r="D335">
        <v>8703</v>
      </c>
      <c r="E335">
        <v>64000</v>
      </c>
      <c r="F335">
        <v>81092</v>
      </c>
      <c r="G335">
        <v>115150</v>
      </c>
      <c r="H335">
        <v>76.7</v>
      </c>
    </row>
    <row r="336" spans="1:8" x14ac:dyDescent="0.2">
      <c r="A336">
        <v>2003</v>
      </c>
      <c r="B336" s="1" t="s">
        <v>17</v>
      </c>
      <c r="C336" s="1" t="s">
        <v>13</v>
      </c>
      <c r="D336">
        <v>16964</v>
      </c>
      <c r="E336">
        <v>85000</v>
      </c>
      <c r="F336">
        <v>92730</v>
      </c>
      <c r="G336">
        <v>152934</v>
      </c>
      <c r="H336">
        <v>76.7</v>
      </c>
    </row>
    <row r="337" spans="1:8" x14ac:dyDescent="0.2">
      <c r="A337">
        <v>2003</v>
      </c>
      <c r="B337" s="1" t="s">
        <v>17</v>
      </c>
      <c r="C337" s="1" t="s">
        <v>14</v>
      </c>
      <c r="D337">
        <v>24038</v>
      </c>
      <c r="E337">
        <v>53500</v>
      </c>
      <c r="F337">
        <v>65223</v>
      </c>
      <c r="G337">
        <v>96258</v>
      </c>
      <c r="H337">
        <v>76.7</v>
      </c>
    </row>
    <row r="338" spans="1:8" x14ac:dyDescent="0.2">
      <c r="A338">
        <v>2003</v>
      </c>
      <c r="B338" s="1" t="s">
        <v>18</v>
      </c>
      <c r="C338" s="1" t="s">
        <v>11</v>
      </c>
      <c r="D338">
        <v>28740</v>
      </c>
      <c r="E338">
        <v>171000</v>
      </c>
      <c r="F338">
        <v>200196</v>
      </c>
      <c r="G338">
        <v>307666</v>
      </c>
      <c r="H338">
        <v>76.7</v>
      </c>
    </row>
    <row r="339" spans="1:8" x14ac:dyDescent="0.2">
      <c r="A339">
        <v>2003</v>
      </c>
      <c r="B339" s="1" t="s">
        <v>18</v>
      </c>
      <c r="C339" s="1" t="s">
        <v>12</v>
      </c>
      <c r="D339">
        <v>17798</v>
      </c>
      <c r="E339">
        <v>93500</v>
      </c>
      <c r="F339">
        <v>105426</v>
      </c>
      <c r="G339">
        <v>168227</v>
      </c>
      <c r="H339">
        <v>76.7</v>
      </c>
    </row>
    <row r="340" spans="1:8" x14ac:dyDescent="0.2">
      <c r="A340">
        <v>2003</v>
      </c>
      <c r="B340" s="1" t="s">
        <v>18</v>
      </c>
      <c r="C340" s="1" t="s">
        <v>13</v>
      </c>
      <c r="D340">
        <v>53384</v>
      </c>
      <c r="E340">
        <v>94950</v>
      </c>
      <c r="F340">
        <v>105383</v>
      </c>
      <c r="G340">
        <v>170836</v>
      </c>
      <c r="H340">
        <v>76.7</v>
      </c>
    </row>
    <row r="341" spans="1:8" x14ac:dyDescent="0.2">
      <c r="A341">
        <v>2003</v>
      </c>
      <c r="B341" s="1" t="s">
        <v>18</v>
      </c>
      <c r="C341" s="1" t="s">
        <v>14</v>
      </c>
      <c r="D341">
        <v>67239</v>
      </c>
      <c r="E341">
        <v>55000</v>
      </c>
      <c r="F341">
        <v>63757</v>
      </c>
      <c r="G341">
        <v>98957</v>
      </c>
      <c r="H341">
        <v>76.7</v>
      </c>
    </row>
    <row r="342" spans="1:8" x14ac:dyDescent="0.2">
      <c r="A342">
        <v>2003</v>
      </c>
      <c r="B342" s="1" t="s">
        <v>19</v>
      </c>
      <c r="C342" s="1" t="s">
        <v>11</v>
      </c>
      <c r="D342">
        <v>47997</v>
      </c>
      <c r="E342">
        <v>279950</v>
      </c>
      <c r="F342">
        <v>332258</v>
      </c>
      <c r="G342">
        <v>503691</v>
      </c>
      <c r="H342">
        <v>76.7</v>
      </c>
    </row>
    <row r="343" spans="1:8" x14ac:dyDescent="0.2">
      <c r="A343">
        <v>2003</v>
      </c>
      <c r="B343" s="1" t="s">
        <v>19</v>
      </c>
      <c r="C343" s="1" t="s">
        <v>12</v>
      </c>
      <c r="D343">
        <v>40830</v>
      </c>
      <c r="E343">
        <v>120000</v>
      </c>
      <c r="F343">
        <v>132532</v>
      </c>
      <c r="G343">
        <v>215906</v>
      </c>
      <c r="H343">
        <v>76.7</v>
      </c>
    </row>
    <row r="344" spans="1:8" x14ac:dyDescent="0.2">
      <c r="A344">
        <v>2003</v>
      </c>
      <c r="B344" s="1" t="s">
        <v>19</v>
      </c>
      <c r="C344" s="1" t="s">
        <v>13</v>
      </c>
      <c r="D344">
        <v>51940</v>
      </c>
      <c r="E344">
        <v>177500</v>
      </c>
      <c r="F344">
        <v>190462</v>
      </c>
      <c r="G344">
        <v>319361</v>
      </c>
      <c r="H344">
        <v>76.7</v>
      </c>
    </row>
    <row r="345" spans="1:8" x14ac:dyDescent="0.2">
      <c r="A345">
        <v>2003</v>
      </c>
      <c r="B345" s="1" t="s">
        <v>19</v>
      </c>
      <c r="C345" s="1" t="s">
        <v>14</v>
      </c>
      <c r="D345">
        <v>54970</v>
      </c>
      <c r="E345">
        <v>144000</v>
      </c>
      <c r="F345">
        <v>155206</v>
      </c>
      <c r="G345">
        <v>259087</v>
      </c>
      <c r="H345">
        <v>76.7</v>
      </c>
    </row>
    <row r="346" spans="1:8" x14ac:dyDescent="0.2">
      <c r="A346">
        <v>2003</v>
      </c>
      <c r="B346" s="1" t="s">
        <v>20</v>
      </c>
      <c r="C346" s="1" t="s">
        <v>11</v>
      </c>
      <c r="D346">
        <v>34593</v>
      </c>
      <c r="E346">
        <v>225000</v>
      </c>
      <c r="F346">
        <v>252796</v>
      </c>
      <c r="G346">
        <v>404824</v>
      </c>
      <c r="H346">
        <v>76.7</v>
      </c>
    </row>
    <row r="347" spans="1:8" x14ac:dyDescent="0.2">
      <c r="A347">
        <v>2003</v>
      </c>
      <c r="B347" s="1" t="s">
        <v>20</v>
      </c>
      <c r="C347" s="1" t="s">
        <v>12</v>
      </c>
      <c r="D347">
        <v>21317</v>
      </c>
      <c r="E347">
        <v>108000</v>
      </c>
      <c r="F347">
        <v>124753</v>
      </c>
      <c r="G347">
        <v>194316</v>
      </c>
      <c r="H347">
        <v>76.7</v>
      </c>
    </row>
    <row r="348" spans="1:8" x14ac:dyDescent="0.2">
      <c r="A348">
        <v>2003</v>
      </c>
      <c r="B348" s="1" t="s">
        <v>20</v>
      </c>
      <c r="C348" s="1" t="s">
        <v>13</v>
      </c>
      <c r="D348">
        <v>29582</v>
      </c>
      <c r="E348">
        <v>141000</v>
      </c>
      <c r="F348">
        <v>152319</v>
      </c>
      <c r="G348">
        <v>253690</v>
      </c>
      <c r="H348">
        <v>76.7</v>
      </c>
    </row>
    <row r="349" spans="1:8" x14ac:dyDescent="0.2">
      <c r="A349">
        <v>2003</v>
      </c>
      <c r="B349" s="1" t="s">
        <v>20</v>
      </c>
      <c r="C349" s="1" t="s">
        <v>14</v>
      </c>
      <c r="D349">
        <v>38727</v>
      </c>
      <c r="E349">
        <v>120000</v>
      </c>
      <c r="F349">
        <v>131276</v>
      </c>
      <c r="G349">
        <v>215906</v>
      </c>
      <c r="H349">
        <v>76.7</v>
      </c>
    </row>
    <row r="350" spans="1:8" x14ac:dyDescent="0.2">
      <c r="A350">
        <v>2003</v>
      </c>
      <c r="B350" s="1" t="s">
        <v>21</v>
      </c>
      <c r="C350" s="1" t="s">
        <v>11</v>
      </c>
      <c r="D350">
        <v>18432</v>
      </c>
      <c r="E350">
        <v>146858</v>
      </c>
      <c r="F350">
        <v>160230</v>
      </c>
      <c r="G350">
        <v>264229</v>
      </c>
      <c r="H350">
        <v>76.7</v>
      </c>
    </row>
    <row r="351" spans="1:8" x14ac:dyDescent="0.2">
      <c r="A351">
        <v>2003</v>
      </c>
      <c r="B351" s="1" t="s">
        <v>21</v>
      </c>
      <c r="C351" s="1" t="s">
        <v>12</v>
      </c>
      <c r="D351">
        <v>4023</v>
      </c>
      <c r="E351">
        <v>86000</v>
      </c>
      <c r="F351">
        <v>97680</v>
      </c>
      <c r="G351">
        <v>154733</v>
      </c>
      <c r="H351">
        <v>76.7</v>
      </c>
    </row>
    <row r="352" spans="1:8" x14ac:dyDescent="0.2">
      <c r="A352">
        <v>2003</v>
      </c>
      <c r="B352" s="1" t="s">
        <v>21</v>
      </c>
      <c r="C352" s="1" t="s">
        <v>13</v>
      </c>
      <c r="D352">
        <v>18058</v>
      </c>
      <c r="E352">
        <v>85000</v>
      </c>
      <c r="F352">
        <v>91972</v>
      </c>
      <c r="G352">
        <v>152934</v>
      </c>
      <c r="H352">
        <v>76.7</v>
      </c>
    </row>
    <row r="353" spans="1:8" x14ac:dyDescent="0.2">
      <c r="A353">
        <v>2003</v>
      </c>
      <c r="B353" s="1" t="s">
        <v>21</v>
      </c>
      <c r="C353" s="1" t="s">
        <v>14</v>
      </c>
      <c r="D353">
        <v>23477</v>
      </c>
      <c r="E353">
        <v>63000</v>
      </c>
      <c r="F353">
        <v>71619</v>
      </c>
      <c r="G353">
        <v>113351</v>
      </c>
      <c r="H353">
        <v>76.7</v>
      </c>
    </row>
    <row r="354" spans="1:8" x14ac:dyDescent="0.2">
      <c r="A354">
        <v>2003</v>
      </c>
      <c r="B354" s="1" t="s">
        <v>22</v>
      </c>
      <c r="C354" s="1" t="s">
        <v>11</v>
      </c>
      <c r="D354">
        <v>25915</v>
      </c>
      <c r="E354">
        <v>192495</v>
      </c>
      <c r="F354">
        <v>220286</v>
      </c>
      <c r="G354">
        <v>346340</v>
      </c>
      <c r="H354">
        <v>76.7</v>
      </c>
    </row>
    <row r="355" spans="1:8" x14ac:dyDescent="0.2">
      <c r="A355">
        <v>2003</v>
      </c>
      <c r="B355" s="1" t="s">
        <v>22</v>
      </c>
      <c r="C355" s="1" t="s">
        <v>12</v>
      </c>
      <c r="D355">
        <v>12327</v>
      </c>
      <c r="E355">
        <v>88750</v>
      </c>
      <c r="F355">
        <v>102868</v>
      </c>
      <c r="G355">
        <v>159681</v>
      </c>
      <c r="H355">
        <v>76.7</v>
      </c>
    </row>
    <row r="356" spans="1:8" x14ac:dyDescent="0.2">
      <c r="A356">
        <v>2003</v>
      </c>
      <c r="B356" s="1" t="s">
        <v>22</v>
      </c>
      <c r="C356" s="1" t="s">
        <v>13</v>
      </c>
      <c r="D356">
        <v>36821</v>
      </c>
      <c r="E356">
        <v>108000</v>
      </c>
      <c r="F356">
        <v>116401</v>
      </c>
      <c r="G356">
        <v>194316</v>
      </c>
      <c r="H356">
        <v>76.7</v>
      </c>
    </row>
    <row r="357" spans="1:8" x14ac:dyDescent="0.2">
      <c r="A357">
        <v>2003</v>
      </c>
      <c r="B357" s="1" t="s">
        <v>22</v>
      </c>
      <c r="C357" s="1" t="s">
        <v>14</v>
      </c>
      <c r="D357">
        <v>35517</v>
      </c>
      <c r="E357">
        <v>83500</v>
      </c>
      <c r="F357">
        <v>90835</v>
      </c>
      <c r="G357">
        <v>150235</v>
      </c>
      <c r="H357">
        <v>76.7</v>
      </c>
    </row>
    <row r="358" spans="1:8" x14ac:dyDescent="0.2">
      <c r="A358">
        <v>2003</v>
      </c>
      <c r="B358" s="1" t="s">
        <v>23</v>
      </c>
      <c r="C358" s="1" t="s">
        <v>11</v>
      </c>
      <c r="D358">
        <v>25305</v>
      </c>
      <c r="E358">
        <v>161950</v>
      </c>
      <c r="F358">
        <v>184742</v>
      </c>
      <c r="G358">
        <v>291383</v>
      </c>
      <c r="H358">
        <v>76.7</v>
      </c>
    </row>
    <row r="359" spans="1:8" x14ac:dyDescent="0.2">
      <c r="A359">
        <v>2003</v>
      </c>
      <c r="B359" s="1" t="s">
        <v>23</v>
      </c>
      <c r="C359" s="1" t="s">
        <v>12</v>
      </c>
      <c r="D359">
        <v>10283</v>
      </c>
      <c r="E359">
        <v>94000</v>
      </c>
      <c r="F359">
        <v>104845</v>
      </c>
      <c r="G359">
        <v>169126</v>
      </c>
      <c r="H359">
        <v>76.7</v>
      </c>
    </row>
    <row r="360" spans="1:8" x14ac:dyDescent="0.2">
      <c r="A360">
        <v>2003</v>
      </c>
      <c r="B360" s="1" t="s">
        <v>23</v>
      </c>
      <c r="C360" s="1" t="s">
        <v>13</v>
      </c>
      <c r="D360">
        <v>38950</v>
      </c>
      <c r="E360">
        <v>89500</v>
      </c>
      <c r="F360">
        <v>98481</v>
      </c>
      <c r="G360">
        <v>161030</v>
      </c>
      <c r="H360">
        <v>76.7</v>
      </c>
    </row>
    <row r="361" spans="1:8" x14ac:dyDescent="0.2">
      <c r="A361">
        <v>2003</v>
      </c>
      <c r="B361" s="1" t="s">
        <v>23</v>
      </c>
      <c r="C361" s="1" t="s">
        <v>14</v>
      </c>
      <c r="D361">
        <v>47079</v>
      </c>
      <c r="E361">
        <v>59950</v>
      </c>
      <c r="F361">
        <v>70061</v>
      </c>
      <c r="G361">
        <v>107863</v>
      </c>
      <c r="H361">
        <v>76.7</v>
      </c>
    </row>
    <row r="362" spans="1:8" x14ac:dyDescent="0.2">
      <c r="A362">
        <v>2004</v>
      </c>
      <c r="B362" s="1" t="s">
        <v>10</v>
      </c>
      <c r="C362" s="1" t="s">
        <v>11</v>
      </c>
      <c r="D362">
        <v>33067</v>
      </c>
      <c r="E362">
        <v>187000</v>
      </c>
      <c r="F362">
        <v>211278</v>
      </c>
      <c r="G362">
        <v>331697</v>
      </c>
      <c r="H362">
        <v>77.8</v>
      </c>
    </row>
    <row r="363" spans="1:8" x14ac:dyDescent="0.2">
      <c r="A363">
        <v>2004</v>
      </c>
      <c r="B363" s="1" t="s">
        <v>10</v>
      </c>
      <c r="C363" s="1" t="s">
        <v>12</v>
      </c>
      <c r="D363">
        <v>6820</v>
      </c>
      <c r="E363">
        <v>102000</v>
      </c>
      <c r="F363">
        <v>109553</v>
      </c>
      <c r="G363">
        <v>180925</v>
      </c>
      <c r="H363">
        <v>77.8</v>
      </c>
    </row>
    <row r="364" spans="1:8" x14ac:dyDescent="0.2">
      <c r="A364">
        <v>2004</v>
      </c>
      <c r="B364" s="1" t="s">
        <v>10</v>
      </c>
      <c r="C364" s="1" t="s">
        <v>13</v>
      </c>
      <c r="D364">
        <v>34254</v>
      </c>
      <c r="E364">
        <v>118000</v>
      </c>
      <c r="F364">
        <v>123008</v>
      </c>
      <c r="G364">
        <v>209306</v>
      </c>
      <c r="H364">
        <v>77.8</v>
      </c>
    </row>
    <row r="365" spans="1:8" x14ac:dyDescent="0.2">
      <c r="A365">
        <v>2004</v>
      </c>
      <c r="B365" s="1" t="s">
        <v>10</v>
      </c>
      <c r="C365" s="1" t="s">
        <v>14</v>
      </c>
      <c r="D365">
        <v>28426</v>
      </c>
      <c r="E365">
        <v>94000</v>
      </c>
      <c r="F365">
        <v>102093</v>
      </c>
      <c r="G365">
        <v>166735</v>
      </c>
      <c r="H365">
        <v>77.8</v>
      </c>
    </row>
    <row r="366" spans="1:8" x14ac:dyDescent="0.2">
      <c r="A366">
        <v>2004</v>
      </c>
      <c r="B366" s="1" t="s">
        <v>15</v>
      </c>
      <c r="C366" s="1" t="s">
        <v>11</v>
      </c>
      <c r="D366">
        <v>37876</v>
      </c>
      <c r="E366">
        <v>235000</v>
      </c>
      <c r="F366">
        <v>274807</v>
      </c>
      <c r="G366">
        <v>416838</v>
      </c>
      <c r="H366">
        <v>77.8</v>
      </c>
    </row>
    <row r="367" spans="1:8" x14ac:dyDescent="0.2">
      <c r="A367">
        <v>2004</v>
      </c>
      <c r="B367" s="1" t="s">
        <v>15</v>
      </c>
      <c r="C367" s="1" t="s">
        <v>12</v>
      </c>
      <c r="D367">
        <v>21271</v>
      </c>
      <c r="E367">
        <v>120000</v>
      </c>
      <c r="F367">
        <v>128844</v>
      </c>
      <c r="G367">
        <v>212853</v>
      </c>
      <c r="H367">
        <v>77.8</v>
      </c>
    </row>
    <row r="368" spans="1:8" x14ac:dyDescent="0.2">
      <c r="A368">
        <v>2004</v>
      </c>
      <c r="B368" s="1" t="s">
        <v>15</v>
      </c>
      <c r="C368" s="1" t="s">
        <v>13</v>
      </c>
      <c r="D368">
        <v>37703</v>
      </c>
      <c r="E368">
        <v>165000</v>
      </c>
      <c r="F368">
        <v>179743</v>
      </c>
      <c r="G368">
        <v>292674</v>
      </c>
      <c r="H368">
        <v>77.8</v>
      </c>
    </row>
    <row r="369" spans="1:8" x14ac:dyDescent="0.2">
      <c r="A369">
        <v>2004</v>
      </c>
      <c r="B369" s="1" t="s">
        <v>15</v>
      </c>
      <c r="C369" s="1" t="s">
        <v>14</v>
      </c>
      <c r="D369">
        <v>39727</v>
      </c>
      <c r="E369">
        <v>142000</v>
      </c>
      <c r="F369">
        <v>153080</v>
      </c>
      <c r="G369">
        <v>251877</v>
      </c>
      <c r="H369">
        <v>77.8</v>
      </c>
    </row>
    <row r="370" spans="1:8" x14ac:dyDescent="0.2">
      <c r="A370">
        <v>2004</v>
      </c>
      <c r="B370" s="1" t="s">
        <v>16</v>
      </c>
      <c r="C370" s="1" t="s">
        <v>11</v>
      </c>
      <c r="D370">
        <v>6101</v>
      </c>
      <c r="E370">
        <v>430000</v>
      </c>
      <c r="F370">
        <v>558916</v>
      </c>
      <c r="G370">
        <v>762725</v>
      </c>
      <c r="H370">
        <v>77.8</v>
      </c>
    </row>
    <row r="371" spans="1:8" x14ac:dyDescent="0.2">
      <c r="A371">
        <v>2004</v>
      </c>
      <c r="B371" s="1" t="s">
        <v>16</v>
      </c>
      <c r="C371" s="1" t="s">
        <v>12</v>
      </c>
      <c r="D371">
        <v>80951</v>
      </c>
      <c r="E371">
        <v>191000</v>
      </c>
      <c r="F371">
        <v>237976</v>
      </c>
      <c r="G371">
        <v>338792</v>
      </c>
      <c r="H371">
        <v>77.8</v>
      </c>
    </row>
    <row r="372" spans="1:8" x14ac:dyDescent="0.2">
      <c r="A372">
        <v>2004</v>
      </c>
      <c r="B372" s="1" t="s">
        <v>16</v>
      </c>
      <c r="C372" s="1" t="s">
        <v>13</v>
      </c>
      <c r="D372">
        <v>24059</v>
      </c>
      <c r="E372">
        <v>250000</v>
      </c>
      <c r="F372">
        <v>311305</v>
      </c>
      <c r="G372">
        <v>443445</v>
      </c>
      <c r="H372">
        <v>77.8</v>
      </c>
    </row>
    <row r="373" spans="1:8" x14ac:dyDescent="0.2">
      <c r="A373">
        <v>2004</v>
      </c>
      <c r="B373" s="1" t="s">
        <v>16</v>
      </c>
      <c r="C373" s="1" t="s">
        <v>14</v>
      </c>
      <c r="D373">
        <v>48400</v>
      </c>
      <c r="E373">
        <v>225000</v>
      </c>
      <c r="F373">
        <v>285308</v>
      </c>
      <c r="G373">
        <v>399100</v>
      </c>
      <c r="H373">
        <v>77.8</v>
      </c>
    </row>
    <row r="374" spans="1:8" x14ac:dyDescent="0.2">
      <c r="A374">
        <v>2004</v>
      </c>
      <c r="B374" s="1" t="s">
        <v>17</v>
      </c>
      <c r="C374" s="1" t="s">
        <v>11</v>
      </c>
      <c r="D374">
        <v>10300</v>
      </c>
      <c r="E374">
        <v>183500</v>
      </c>
      <c r="F374">
        <v>205011</v>
      </c>
      <c r="G374">
        <v>325488</v>
      </c>
      <c r="H374">
        <v>77.8</v>
      </c>
    </row>
    <row r="375" spans="1:8" x14ac:dyDescent="0.2">
      <c r="A375">
        <v>2004</v>
      </c>
      <c r="B375" s="1" t="s">
        <v>17</v>
      </c>
      <c r="C375" s="1" t="s">
        <v>12</v>
      </c>
      <c r="D375">
        <v>8489</v>
      </c>
      <c r="E375">
        <v>82000</v>
      </c>
      <c r="F375">
        <v>97578</v>
      </c>
      <c r="G375">
        <v>145450</v>
      </c>
      <c r="H375">
        <v>77.8</v>
      </c>
    </row>
    <row r="376" spans="1:8" x14ac:dyDescent="0.2">
      <c r="A376">
        <v>2004</v>
      </c>
      <c r="B376" s="1" t="s">
        <v>17</v>
      </c>
      <c r="C376" s="1" t="s">
        <v>13</v>
      </c>
      <c r="D376">
        <v>15688</v>
      </c>
      <c r="E376">
        <v>110000</v>
      </c>
      <c r="F376">
        <v>116090</v>
      </c>
      <c r="G376">
        <v>195116</v>
      </c>
      <c r="H376">
        <v>77.8</v>
      </c>
    </row>
    <row r="377" spans="1:8" x14ac:dyDescent="0.2">
      <c r="A377">
        <v>2004</v>
      </c>
      <c r="B377" s="1" t="s">
        <v>17</v>
      </c>
      <c r="C377" s="1" t="s">
        <v>14</v>
      </c>
      <c r="D377">
        <v>23659</v>
      </c>
      <c r="E377">
        <v>70000</v>
      </c>
      <c r="F377">
        <v>83125</v>
      </c>
      <c r="G377">
        <v>124165</v>
      </c>
      <c r="H377">
        <v>77.8</v>
      </c>
    </row>
    <row r="378" spans="1:8" x14ac:dyDescent="0.2">
      <c r="A378">
        <v>2004</v>
      </c>
      <c r="B378" s="1" t="s">
        <v>18</v>
      </c>
      <c r="C378" s="1" t="s">
        <v>11</v>
      </c>
      <c r="D378">
        <v>26618</v>
      </c>
      <c r="E378">
        <v>200500</v>
      </c>
      <c r="F378">
        <v>236793</v>
      </c>
      <c r="G378">
        <v>355643</v>
      </c>
      <c r="H378">
        <v>77.8</v>
      </c>
    </row>
    <row r="379" spans="1:8" x14ac:dyDescent="0.2">
      <c r="A379">
        <v>2004</v>
      </c>
      <c r="B379" s="1" t="s">
        <v>18</v>
      </c>
      <c r="C379" s="1" t="s">
        <v>12</v>
      </c>
      <c r="D379">
        <v>19212</v>
      </c>
      <c r="E379">
        <v>114000</v>
      </c>
      <c r="F379">
        <v>124402</v>
      </c>
      <c r="G379">
        <v>202211</v>
      </c>
      <c r="H379">
        <v>77.8</v>
      </c>
    </row>
    <row r="380" spans="1:8" x14ac:dyDescent="0.2">
      <c r="A380">
        <v>2004</v>
      </c>
      <c r="B380" s="1" t="s">
        <v>18</v>
      </c>
      <c r="C380" s="1" t="s">
        <v>13</v>
      </c>
      <c r="D380">
        <v>50174</v>
      </c>
      <c r="E380">
        <v>122000</v>
      </c>
      <c r="F380">
        <v>130377</v>
      </c>
      <c r="G380">
        <v>216401</v>
      </c>
      <c r="H380">
        <v>77.8</v>
      </c>
    </row>
    <row r="381" spans="1:8" x14ac:dyDescent="0.2">
      <c r="A381">
        <v>2004</v>
      </c>
      <c r="B381" s="1" t="s">
        <v>18</v>
      </c>
      <c r="C381" s="1" t="s">
        <v>14</v>
      </c>
      <c r="D381">
        <v>66939</v>
      </c>
      <c r="E381">
        <v>72950</v>
      </c>
      <c r="F381">
        <v>81597</v>
      </c>
      <c r="G381">
        <v>129397</v>
      </c>
      <c r="H381">
        <v>77.8</v>
      </c>
    </row>
    <row r="382" spans="1:8" x14ac:dyDescent="0.2">
      <c r="A382">
        <v>2004</v>
      </c>
      <c r="B382" s="1" t="s">
        <v>19</v>
      </c>
      <c r="C382" s="1" t="s">
        <v>11</v>
      </c>
      <c r="D382">
        <v>51154</v>
      </c>
      <c r="E382">
        <v>300000</v>
      </c>
      <c r="F382">
        <v>358320</v>
      </c>
      <c r="G382">
        <v>532134</v>
      </c>
      <c r="H382">
        <v>77.8</v>
      </c>
    </row>
    <row r="383" spans="1:8" x14ac:dyDescent="0.2">
      <c r="A383">
        <v>2004</v>
      </c>
      <c r="B383" s="1" t="s">
        <v>19</v>
      </c>
      <c r="C383" s="1" t="s">
        <v>12</v>
      </c>
      <c r="D383">
        <v>43071</v>
      </c>
      <c r="E383">
        <v>134950</v>
      </c>
      <c r="F383">
        <v>147162</v>
      </c>
      <c r="G383">
        <v>239371</v>
      </c>
      <c r="H383">
        <v>77.8</v>
      </c>
    </row>
    <row r="384" spans="1:8" x14ac:dyDescent="0.2">
      <c r="A384">
        <v>2004</v>
      </c>
      <c r="B384" s="1" t="s">
        <v>19</v>
      </c>
      <c r="C384" s="1" t="s">
        <v>13</v>
      </c>
      <c r="D384">
        <v>53552</v>
      </c>
      <c r="E384">
        <v>192000</v>
      </c>
      <c r="F384">
        <v>207716</v>
      </c>
      <c r="G384">
        <v>340566</v>
      </c>
      <c r="H384">
        <v>77.8</v>
      </c>
    </row>
    <row r="385" spans="1:8" x14ac:dyDescent="0.2">
      <c r="A385">
        <v>2004</v>
      </c>
      <c r="B385" s="1" t="s">
        <v>19</v>
      </c>
      <c r="C385" s="1" t="s">
        <v>14</v>
      </c>
      <c r="D385">
        <v>55000</v>
      </c>
      <c r="E385">
        <v>158500</v>
      </c>
      <c r="F385">
        <v>171124</v>
      </c>
      <c r="G385">
        <v>281144</v>
      </c>
      <c r="H385">
        <v>77.8</v>
      </c>
    </row>
    <row r="386" spans="1:8" x14ac:dyDescent="0.2">
      <c r="A386">
        <v>2004</v>
      </c>
      <c r="B386" s="1" t="s">
        <v>20</v>
      </c>
      <c r="C386" s="1" t="s">
        <v>11</v>
      </c>
      <c r="D386">
        <v>34587</v>
      </c>
      <c r="E386">
        <v>247000</v>
      </c>
      <c r="F386">
        <v>280794</v>
      </c>
      <c r="G386">
        <v>438123</v>
      </c>
      <c r="H386">
        <v>77.8</v>
      </c>
    </row>
    <row r="387" spans="1:8" x14ac:dyDescent="0.2">
      <c r="A387">
        <v>2004</v>
      </c>
      <c r="B387" s="1" t="s">
        <v>20</v>
      </c>
      <c r="C387" s="1" t="s">
        <v>12</v>
      </c>
      <c r="D387">
        <v>22148</v>
      </c>
      <c r="E387">
        <v>124950</v>
      </c>
      <c r="F387">
        <v>141002</v>
      </c>
      <c r="G387">
        <v>221634</v>
      </c>
      <c r="H387">
        <v>77.8</v>
      </c>
    </row>
    <row r="388" spans="1:8" x14ac:dyDescent="0.2">
      <c r="A388">
        <v>2004</v>
      </c>
      <c r="B388" s="1" t="s">
        <v>20</v>
      </c>
      <c r="C388" s="1" t="s">
        <v>13</v>
      </c>
      <c r="D388">
        <v>29248</v>
      </c>
      <c r="E388">
        <v>160000</v>
      </c>
      <c r="F388">
        <v>173683</v>
      </c>
      <c r="G388">
        <v>283805</v>
      </c>
      <c r="H388">
        <v>77.8</v>
      </c>
    </row>
    <row r="389" spans="1:8" x14ac:dyDescent="0.2">
      <c r="A389">
        <v>2004</v>
      </c>
      <c r="B389" s="1" t="s">
        <v>20</v>
      </c>
      <c r="C389" s="1" t="s">
        <v>14</v>
      </c>
      <c r="D389">
        <v>37325</v>
      </c>
      <c r="E389">
        <v>137500</v>
      </c>
      <c r="F389">
        <v>151372</v>
      </c>
      <c r="G389">
        <v>243895</v>
      </c>
      <c r="H389">
        <v>77.8</v>
      </c>
    </row>
    <row r="390" spans="1:8" x14ac:dyDescent="0.2">
      <c r="A390">
        <v>2004</v>
      </c>
      <c r="B390" s="1" t="s">
        <v>21</v>
      </c>
      <c r="C390" s="1" t="s">
        <v>11</v>
      </c>
      <c r="D390">
        <v>16208</v>
      </c>
      <c r="E390">
        <v>177000</v>
      </c>
      <c r="F390">
        <v>192663</v>
      </c>
      <c r="G390">
        <v>313959</v>
      </c>
      <c r="H390">
        <v>77.8</v>
      </c>
    </row>
    <row r="391" spans="1:8" x14ac:dyDescent="0.2">
      <c r="A391">
        <v>2004</v>
      </c>
      <c r="B391" s="1" t="s">
        <v>21</v>
      </c>
      <c r="C391" s="1" t="s">
        <v>12</v>
      </c>
      <c r="D391">
        <v>4128</v>
      </c>
      <c r="E391">
        <v>110000</v>
      </c>
      <c r="F391">
        <v>117114</v>
      </c>
      <c r="G391">
        <v>195116</v>
      </c>
      <c r="H391">
        <v>77.8</v>
      </c>
    </row>
    <row r="392" spans="1:8" x14ac:dyDescent="0.2">
      <c r="A392">
        <v>2004</v>
      </c>
      <c r="B392" s="1" t="s">
        <v>21</v>
      </c>
      <c r="C392" s="1" t="s">
        <v>13</v>
      </c>
      <c r="D392">
        <v>16004</v>
      </c>
      <c r="E392">
        <v>111950</v>
      </c>
      <c r="F392">
        <v>118731</v>
      </c>
      <c r="G392">
        <v>198575</v>
      </c>
      <c r="H392">
        <v>77.8</v>
      </c>
    </row>
    <row r="393" spans="1:8" x14ac:dyDescent="0.2">
      <c r="A393">
        <v>2004</v>
      </c>
      <c r="B393" s="1" t="s">
        <v>21</v>
      </c>
      <c r="C393" s="1" t="s">
        <v>14</v>
      </c>
      <c r="D393">
        <v>20881</v>
      </c>
      <c r="E393">
        <v>83000</v>
      </c>
      <c r="F393">
        <v>92179</v>
      </c>
      <c r="G393">
        <v>147224</v>
      </c>
      <c r="H393">
        <v>77.8</v>
      </c>
    </row>
    <row r="394" spans="1:8" x14ac:dyDescent="0.2">
      <c r="A394">
        <v>2004</v>
      </c>
      <c r="B394" s="1" t="s">
        <v>22</v>
      </c>
      <c r="C394" s="1" t="s">
        <v>11</v>
      </c>
      <c r="D394">
        <v>25312</v>
      </c>
      <c r="E394">
        <v>220000</v>
      </c>
      <c r="F394">
        <v>247669</v>
      </c>
      <c r="G394">
        <v>390231</v>
      </c>
      <c r="H394">
        <v>77.8</v>
      </c>
    </row>
    <row r="395" spans="1:8" x14ac:dyDescent="0.2">
      <c r="A395">
        <v>2004</v>
      </c>
      <c r="B395" s="1" t="s">
        <v>22</v>
      </c>
      <c r="C395" s="1" t="s">
        <v>12</v>
      </c>
      <c r="D395">
        <v>12889</v>
      </c>
      <c r="E395">
        <v>105000</v>
      </c>
      <c r="F395">
        <v>117323</v>
      </c>
      <c r="G395">
        <v>186247</v>
      </c>
      <c r="H395">
        <v>77.8</v>
      </c>
    </row>
    <row r="396" spans="1:8" x14ac:dyDescent="0.2">
      <c r="A396">
        <v>2004</v>
      </c>
      <c r="B396" s="1" t="s">
        <v>22</v>
      </c>
      <c r="C396" s="1" t="s">
        <v>13</v>
      </c>
      <c r="D396">
        <v>37135</v>
      </c>
      <c r="E396">
        <v>127500</v>
      </c>
      <c r="F396">
        <v>136520</v>
      </c>
      <c r="G396">
        <v>226157</v>
      </c>
      <c r="H396">
        <v>77.8</v>
      </c>
    </row>
    <row r="397" spans="1:8" x14ac:dyDescent="0.2">
      <c r="A397">
        <v>2004</v>
      </c>
      <c r="B397" s="1" t="s">
        <v>22</v>
      </c>
      <c r="C397" s="1" t="s">
        <v>14</v>
      </c>
      <c r="D397">
        <v>34752</v>
      </c>
      <c r="E397">
        <v>100000</v>
      </c>
      <c r="F397">
        <v>109436</v>
      </c>
      <c r="G397">
        <v>177378</v>
      </c>
      <c r="H397">
        <v>77.8</v>
      </c>
    </row>
    <row r="398" spans="1:8" x14ac:dyDescent="0.2">
      <c r="A398">
        <v>2004</v>
      </c>
      <c r="B398" s="1" t="s">
        <v>23</v>
      </c>
      <c r="C398" s="1" t="s">
        <v>11</v>
      </c>
      <c r="D398">
        <v>23913</v>
      </c>
      <c r="E398">
        <v>189950</v>
      </c>
      <c r="F398">
        <v>216376</v>
      </c>
      <c r="G398">
        <v>336929</v>
      </c>
      <c r="H398">
        <v>77.8</v>
      </c>
    </row>
    <row r="399" spans="1:8" x14ac:dyDescent="0.2">
      <c r="A399">
        <v>2004</v>
      </c>
      <c r="B399" s="1" t="s">
        <v>23</v>
      </c>
      <c r="C399" s="1" t="s">
        <v>12</v>
      </c>
      <c r="D399">
        <v>11083</v>
      </c>
      <c r="E399">
        <v>115000</v>
      </c>
      <c r="F399">
        <v>121964</v>
      </c>
      <c r="G399">
        <v>203985</v>
      </c>
      <c r="H399">
        <v>77.8</v>
      </c>
    </row>
    <row r="400" spans="1:8" x14ac:dyDescent="0.2">
      <c r="A400">
        <v>2004</v>
      </c>
      <c r="B400" s="1" t="s">
        <v>23</v>
      </c>
      <c r="C400" s="1" t="s">
        <v>13</v>
      </c>
      <c r="D400">
        <v>37882</v>
      </c>
      <c r="E400">
        <v>115000</v>
      </c>
      <c r="F400">
        <v>120734</v>
      </c>
      <c r="G400">
        <v>203985</v>
      </c>
      <c r="H400">
        <v>77.8</v>
      </c>
    </row>
    <row r="401" spans="1:8" x14ac:dyDescent="0.2">
      <c r="A401">
        <v>2004</v>
      </c>
      <c r="B401" s="1" t="s">
        <v>23</v>
      </c>
      <c r="C401" s="1" t="s">
        <v>14</v>
      </c>
      <c r="D401">
        <v>44986</v>
      </c>
      <c r="E401">
        <v>77000</v>
      </c>
      <c r="F401">
        <v>87849</v>
      </c>
      <c r="G401">
        <v>136581</v>
      </c>
      <c r="H401">
        <v>77.8</v>
      </c>
    </row>
    <row r="402" spans="1:8" x14ac:dyDescent="0.2">
      <c r="A402">
        <v>2005</v>
      </c>
      <c r="B402" s="1" t="s">
        <v>10</v>
      </c>
      <c r="C402" s="1" t="s">
        <v>11</v>
      </c>
      <c r="D402">
        <v>26282</v>
      </c>
      <c r="E402">
        <v>199950</v>
      </c>
      <c r="F402">
        <v>226467</v>
      </c>
      <c r="G402">
        <v>347520</v>
      </c>
      <c r="H402">
        <v>79.400000000000006</v>
      </c>
    </row>
    <row r="403" spans="1:8" x14ac:dyDescent="0.2">
      <c r="A403">
        <v>2005</v>
      </c>
      <c r="B403" s="1" t="s">
        <v>10</v>
      </c>
      <c r="C403" s="1" t="s">
        <v>12</v>
      </c>
      <c r="D403">
        <v>6713</v>
      </c>
      <c r="E403">
        <v>110000</v>
      </c>
      <c r="F403">
        <v>116764</v>
      </c>
      <c r="G403">
        <v>191184</v>
      </c>
      <c r="H403">
        <v>79.400000000000006</v>
      </c>
    </row>
    <row r="404" spans="1:8" x14ac:dyDescent="0.2">
      <c r="A404">
        <v>2005</v>
      </c>
      <c r="B404" s="1" t="s">
        <v>10</v>
      </c>
      <c r="C404" s="1" t="s">
        <v>13</v>
      </c>
      <c r="D404">
        <v>29744</v>
      </c>
      <c r="E404">
        <v>125000</v>
      </c>
      <c r="F404">
        <v>131882</v>
      </c>
      <c r="G404">
        <v>217254</v>
      </c>
      <c r="H404">
        <v>79.400000000000006</v>
      </c>
    </row>
    <row r="405" spans="1:8" x14ac:dyDescent="0.2">
      <c r="A405">
        <v>2005</v>
      </c>
      <c r="B405" s="1" t="s">
        <v>10</v>
      </c>
      <c r="C405" s="1" t="s">
        <v>14</v>
      </c>
      <c r="D405">
        <v>24760</v>
      </c>
      <c r="E405">
        <v>104000</v>
      </c>
      <c r="F405">
        <v>111481</v>
      </c>
      <c r="G405">
        <v>180756</v>
      </c>
      <c r="H405">
        <v>79.400000000000006</v>
      </c>
    </row>
    <row r="406" spans="1:8" x14ac:dyDescent="0.2">
      <c r="A406">
        <v>2005</v>
      </c>
      <c r="B406" s="1" t="s">
        <v>15</v>
      </c>
      <c r="C406" s="1" t="s">
        <v>11</v>
      </c>
      <c r="D406">
        <v>31482</v>
      </c>
      <c r="E406">
        <v>247000</v>
      </c>
      <c r="F406">
        <v>295261</v>
      </c>
      <c r="G406">
        <v>429295</v>
      </c>
      <c r="H406">
        <v>79.400000000000006</v>
      </c>
    </row>
    <row r="407" spans="1:8" x14ac:dyDescent="0.2">
      <c r="A407">
        <v>2005</v>
      </c>
      <c r="B407" s="1" t="s">
        <v>15</v>
      </c>
      <c r="C407" s="1" t="s">
        <v>12</v>
      </c>
      <c r="D407">
        <v>20104</v>
      </c>
      <c r="E407">
        <v>128500</v>
      </c>
      <c r="F407">
        <v>139653</v>
      </c>
      <c r="G407">
        <v>223338</v>
      </c>
      <c r="H407">
        <v>79.400000000000006</v>
      </c>
    </row>
    <row r="408" spans="1:8" x14ac:dyDescent="0.2">
      <c r="A408">
        <v>2005</v>
      </c>
      <c r="B408" s="1" t="s">
        <v>15</v>
      </c>
      <c r="C408" s="1" t="s">
        <v>13</v>
      </c>
      <c r="D408">
        <v>32945</v>
      </c>
      <c r="E408">
        <v>170500</v>
      </c>
      <c r="F408">
        <v>187310</v>
      </c>
      <c r="G408">
        <v>296335</v>
      </c>
      <c r="H408">
        <v>79.400000000000006</v>
      </c>
    </row>
    <row r="409" spans="1:8" x14ac:dyDescent="0.2">
      <c r="A409">
        <v>2005</v>
      </c>
      <c r="B409" s="1" t="s">
        <v>15</v>
      </c>
      <c r="C409" s="1" t="s">
        <v>14</v>
      </c>
      <c r="D409">
        <v>34034</v>
      </c>
      <c r="E409">
        <v>148000</v>
      </c>
      <c r="F409">
        <v>159668</v>
      </c>
      <c r="G409">
        <v>257229</v>
      </c>
      <c r="H409">
        <v>79.400000000000006</v>
      </c>
    </row>
    <row r="410" spans="1:8" x14ac:dyDescent="0.2">
      <c r="A410">
        <v>2005</v>
      </c>
      <c r="B410" s="1" t="s">
        <v>16</v>
      </c>
      <c r="C410" s="1" t="s">
        <v>11</v>
      </c>
      <c r="D410">
        <v>5333</v>
      </c>
      <c r="E410">
        <v>450000</v>
      </c>
      <c r="F410">
        <v>582844</v>
      </c>
      <c r="G410">
        <v>782116</v>
      </c>
      <c r="H410">
        <v>79.400000000000006</v>
      </c>
    </row>
    <row r="411" spans="1:8" x14ac:dyDescent="0.2">
      <c r="A411">
        <v>2005</v>
      </c>
      <c r="B411" s="1" t="s">
        <v>16</v>
      </c>
      <c r="C411" s="1" t="s">
        <v>12</v>
      </c>
      <c r="D411">
        <v>70553</v>
      </c>
      <c r="E411">
        <v>200000</v>
      </c>
      <c r="F411">
        <v>248539</v>
      </c>
      <c r="G411">
        <v>347607</v>
      </c>
      <c r="H411">
        <v>79.400000000000006</v>
      </c>
    </row>
    <row r="412" spans="1:8" x14ac:dyDescent="0.2">
      <c r="A412">
        <v>2005</v>
      </c>
      <c r="B412" s="1" t="s">
        <v>16</v>
      </c>
      <c r="C412" s="1" t="s">
        <v>13</v>
      </c>
      <c r="D412">
        <v>20806</v>
      </c>
      <c r="E412">
        <v>266000</v>
      </c>
      <c r="F412">
        <v>330520</v>
      </c>
      <c r="G412">
        <v>462317</v>
      </c>
      <c r="H412">
        <v>79.400000000000006</v>
      </c>
    </row>
    <row r="413" spans="1:8" x14ac:dyDescent="0.2">
      <c r="A413">
        <v>2005</v>
      </c>
      <c r="B413" s="1" t="s">
        <v>16</v>
      </c>
      <c r="C413" s="1" t="s">
        <v>14</v>
      </c>
      <c r="D413">
        <v>41912</v>
      </c>
      <c r="E413">
        <v>235000</v>
      </c>
      <c r="F413">
        <v>304152</v>
      </c>
      <c r="G413">
        <v>408438</v>
      </c>
      <c r="H413">
        <v>79.400000000000006</v>
      </c>
    </row>
    <row r="414" spans="1:8" x14ac:dyDescent="0.2">
      <c r="A414">
        <v>2005</v>
      </c>
      <c r="B414" s="1" t="s">
        <v>17</v>
      </c>
      <c r="C414" s="1" t="s">
        <v>11</v>
      </c>
      <c r="D414">
        <v>7693</v>
      </c>
      <c r="E414">
        <v>199950</v>
      </c>
      <c r="F414">
        <v>227043</v>
      </c>
      <c r="G414">
        <v>347520</v>
      </c>
      <c r="H414">
        <v>79.400000000000006</v>
      </c>
    </row>
    <row r="415" spans="1:8" x14ac:dyDescent="0.2">
      <c r="A415">
        <v>2005</v>
      </c>
      <c r="B415" s="1" t="s">
        <v>17</v>
      </c>
      <c r="C415" s="1" t="s">
        <v>12</v>
      </c>
      <c r="D415">
        <v>8357</v>
      </c>
      <c r="E415">
        <v>91950</v>
      </c>
      <c r="F415">
        <v>104846</v>
      </c>
      <c r="G415">
        <v>159812</v>
      </c>
      <c r="H415">
        <v>79.400000000000006</v>
      </c>
    </row>
    <row r="416" spans="1:8" x14ac:dyDescent="0.2">
      <c r="A416">
        <v>2005</v>
      </c>
      <c r="B416" s="1" t="s">
        <v>17</v>
      </c>
      <c r="C416" s="1" t="s">
        <v>13</v>
      </c>
      <c r="D416">
        <v>13958</v>
      </c>
      <c r="E416">
        <v>120000</v>
      </c>
      <c r="F416">
        <v>127625</v>
      </c>
      <c r="G416">
        <v>208564</v>
      </c>
      <c r="H416">
        <v>79.400000000000006</v>
      </c>
    </row>
    <row r="417" spans="1:8" x14ac:dyDescent="0.2">
      <c r="A417">
        <v>2005</v>
      </c>
      <c r="B417" s="1" t="s">
        <v>17</v>
      </c>
      <c r="C417" s="1" t="s">
        <v>14</v>
      </c>
      <c r="D417">
        <v>20159</v>
      </c>
      <c r="E417">
        <v>82950</v>
      </c>
      <c r="F417">
        <v>95588</v>
      </c>
      <c r="G417">
        <v>144170</v>
      </c>
      <c r="H417">
        <v>79.400000000000006</v>
      </c>
    </row>
    <row r="418" spans="1:8" x14ac:dyDescent="0.2">
      <c r="A418">
        <v>2005</v>
      </c>
      <c r="B418" s="1" t="s">
        <v>18</v>
      </c>
      <c r="C418" s="1" t="s">
        <v>11</v>
      </c>
      <c r="D418">
        <v>19720</v>
      </c>
      <c r="E418">
        <v>224000</v>
      </c>
      <c r="F418">
        <v>261109</v>
      </c>
      <c r="G418">
        <v>389320</v>
      </c>
      <c r="H418">
        <v>79.400000000000006</v>
      </c>
    </row>
    <row r="419" spans="1:8" x14ac:dyDescent="0.2">
      <c r="A419">
        <v>2005</v>
      </c>
      <c r="B419" s="1" t="s">
        <v>18</v>
      </c>
      <c r="C419" s="1" t="s">
        <v>12</v>
      </c>
      <c r="D419">
        <v>19197</v>
      </c>
      <c r="E419">
        <v>121035</v>
      </c>
      <c r="F419">
        <v>133081</v>
      </c>
      <c r="G419">
        <v>210363</v>
      </c>
      <c r="H419">
        <v>79.400000000000006</v>
      </c>
    </row>
    <row r="420" spans="1:8" x14ac:dyDescent="0.2">
      <c r="A420">
        <v>2005</v>
      </c>
      <c r="B420" s="1" t="s">
        <v>18</v>
      </c>
      <c r="C420" s="1" t="s">
        <v>13</v>
      </c>
      <c r="D420">
        <v>40290</v>
      </c>
      <c r="E420">
        <v>133000</v>
      </c>
      <c r="F420">
        <v>143454</v>
      </c>
      <c r="G420">
        <v>231159</v>
      </c>
      <c r="H420">
        <v>79.400000000000006</v>
      </c>
    </row>
    <row r="421" spans="1:8" x14ac:dyDescent="0.2">
      <c r="A421">
        <v>2005</v>
      </c>
      <c r="B421" s="1" t="s">
        <v>18</v>
      </c>
      <c r="C421" s="1" t="s">
        <v>14</v>
      </c>
      <c r="D421">
        <v>55608</v>
      </c>
      <c r="E421">
        <v>84000</v>
      </c>
      <c r="F421">
        <v>93059</v>
      </c>
      <c r="G421">
        <v>145995</v>
      </c>
      <c r="H421">
        <v>79.400000000000006</v>
      </c>
    </row>
    <row r="422" spans="1:8" x14ac:dyDescent="0.2">
      <c r="A422">
        <v>2005</v>
      </c>
      <c r="B422" s="1" t="s">
        <v>19</v>
      </c>
      <c r="C422" s="1" t="s">
        <v>11</v>
      </c>
      <c r="D422">
        <v>42499</v>
      </c>
      <c r="E422">
        <v>315000</v>
      </c>
      <c r="F422">
        <v>377151</v>
      </c>
      <c r="G422">
        <v>547481</v>
      </c>
      <c r="H422">
        <v>79.400000000000006</v>
      </c>
    </row>
    <row r="423" spans="1:8" x14ac:dyDescent="0.2">
      <c r="A423">
        <v>2005</v>
      </c>
      <c r="B423" s="1" t="s">
        <v>19</v>
      </c>
      <c r="C423" s="1" t="s">
        <v>12</v>
      </c>
      <c r="D423">
        <v>39158</v>
      </c>
      <c r="E423">
        <v>141500</v>
      </c>
      <c r="F423">
        <v>155572</v>
      </c>
      <c r="G423">
        <v>245932</v>
      </c>
      <c r="H423">
        <v>79.400000000000006</v>
      </c>
    </row>
    <row r="424" spans="1:8" x14ac:dyDescent="0.2">
      <c r="A424">
        <v>2005</v>
      </c>
      <c r="B424" s="1" t="s">
        <v>19</v>
      </c>
      <c r="C424" s="1" t="s">
        <v>13</v>
      </c>
      <c r="D424">
        <v>45530</v>
      </c>
      <c r="E424">
        <v>200000</v>
      </c>
      <c r="F424">
        <v>216088</v>
      </c>
      <c r="G424">
        <v>347607</v>
      </c>
      <c r="H424">
        <v>79.400000000000006</v>
      </c>
    </row>
    <row r="425" spans="1:8" x14ac:dyDescent="0.2">
      <c r="A425">
        <v>2005</v>
      </c>
      <c r="B425" s="1" t="s">
        <v>19</v>
      </c>
      <c r="C425" s="1" t="s">
        <v>14</v>
      </c>
      <c r="D425">
        <v>48354</v>
      </c>
      <c r="E425">
        <v>165000</v>
      </c>
      <c r="F425">
        <v>179965</v>
      </c>
      <c r="G425">
        <v>286776</v>
      </c>
      <c r="H425">
        <v>79.400000000000006</v>
      </c>
    </row>
    <row r="426" spans="1:8" x14ac:dyDescent="0.2">
      <c r="A426">
        <v>2005</v>
      </c>
      <c r="B426" s="1" t="s">
        <v>20</v>
      </c>
      <c r="C426" s="1" t="s">
        <v>11</v>
      </c>
      <c r="D426">
        <v>28766</v>
      </c>
      <c r="E426">
        <v>250000</v>
      </c>
      <c r="F426">
        <v>295128</v>
      </c>
      <c r="G426">
        <v>434509</v>
      </c>
      <c r="H426">
        <v>79.400000000000006</v>
      </c>
    </row>
    <row r="427" spans="1:8" x14ac:dyDescent="0.2">
      <c r="A427">
        <v>2005</v>
      </c>
      <c r="B427" s="1" t="s">
        <v>20</v>
      </c>
      <c r="C427" s="1" t="s">
        <v>12</v>
      </c>
      <c r="D427">
        <v>20014</v>
      </c>
      <c r="E427">
        <v>128500</v>
      </c>
      <c r="F427">
        <v>145386</v>
      </c>
      <c r="G427">
        <v>223338</v>
      </c>
      <c r="H427">
        <v>79.400000000000006</v>
      </c>
    </row>
    <row r="428" spans="1:8" x14ac:dyDescent="0.2">
      <c r="A428">
        <v>2005</v>
      </c>
      <c r="B428" s="1" t="s">
        <v>20</v>
      </c>
      <c r="C428" s="1" t="s">
        <v>13</v>
      </c>
      <c r="D428">
        <v>25898</v>
      </c>
      <c r="E428">
        <v>168500</v>
      </c>
      <c r="F428">
        <v>183318</v>
      </c>
      <c r="G428">
        <v>292859</v>
      </c>
      <c r="H428">
        <v>79.400000000000006</v>
      </c>
    </row>
    <row r="429" spans="1:8" x14ac:dyDescent="0.2">
      <c r="A429">
        <v>2005</v>
      </c>
      <c r="B429" s="1" t="s">
        <v>20</v>
      </c>
      <c r="C429" s="1" t="s">
        <v>14</v>
      </c>
      <c r="D429">
        <v>33909</v>
      </c>
      <c r="E429">
        <v>145000</v>
      </c>
      <c r="F429">
        <v>158682</v>
      </c>
      <c r="G429">
        <v>252015</v>
      </c>
      <c r="H429">
        <v>79.400000000000006</v>
      </c>
    </row>
    <row r="430" spans="1:8" x14ac:dyDescent="0.2">
      <c r="A430">
        <v>2005</v>
      </c>
      <c r="B430" s="1" t="s">
        <v>21</v>
      </c>
      <c r="C430" s="1" t="s">
        <v>11</v>
      </c>
      <c r="D430">
        <v>12557</v>
      </c>
      <c r="E430">
        <v>195000</v>
      </c>
      <c r="F430">
        <v>213475</v>
      </c>
      <c r="G430">
        <v>338917</v>
      </c>
      <c r="H430">
        <v>79.400000000000006</v>
      </c>
    </row>
    <row r="431" spans="1:8" x14ac:dyDescent="0.2">
      <c r="A431">
        <v>2005</v>
      </c>
      <c r="B431" s="1" t="s">
        <v>21</v>
      </c>
      <c r="C431" s="1" t="s">
        <v>12</v>
      </c>
      <c r="D431">
        <v>3966</v>
      </c>
      <c r="E431">
        <v>124125</v>
      </c>
      <c r="F431">
        <v>131638</v>
      </c>
      <c r="G431">
        <v>215734</v>
      </c>
      <c r="H431">
        <v>79.400000000000006</v>
      </c>
    </row>
    <row r="432" spans="1:8" x14ac:dyDescent="0.2">
      <c r="A432">
        <v>2005</v>
      </c>
      <c r="B432" s="1" t="s">
        <v>21</v>
      </c>
      <c r="C432" s="1" t="s">
        <v>13</v>
      </c>
      <c r="D432">
        <v>13762</v>
      </c>
      <c r="E432">
        <v>123000</v>
      </c>
      <c r="F432">
        <v>130442</v>
      </c>
      <c r="G432">
        <v>213778</v>
      </c>
      <c r="H432">
        <v>79.400000000000006</v>
      </c>
    </row>
    <row r="433" spans="1:8" x14ac:dyDescent="0.2">
      <c r="A433">
        <v>2005</v>
      </c>
      <c r="B433" s="1" t="s">
        <v>21</v>
      </c>
      <c r="C433" s="1" t="s">
        <v>14</v>
      </c>
      <c r="D433">
        <v>18019</v>
      </c>
      <c r="E433">
        <v>94000</v>
      </c>
      <c r="F433">
        <v>104133</v>
      </c>
      <c r="G433">
        <v>163375</v>
      </c>
      <c r="H433">
        <v>79.400000000000006</v>
      </c>
    </row>
    <row r="434" spans="1:8" x14ac:dyDescent="0.2">
      <c r="A434">
        <v>2005</v>
      </c>
      <c r="B434" s="1" t="s">
        <v>22</v>
      </c>
      <c r="C434" s="1" t="s">
        <v>11</v>
      </c>
      <c r="D434">
        <v>19710</v>
      </c>
      <c r="E434">
        <v>235000</v>
      </c>
      <c r="F434">
        <v>265043</v>
      </c>
      <c r="G434">
        <v>408438</v>
      </c>
      <c r="H434">
        <v>79.400000000000006</v>
      </c>
    </row>
    <row r="435" spans="1:8" x14ac:dyDescent="0.2">
      <c r="A435">
        <v>2005</v>
      </c>
      <c r="B435" s="1" t="s">
        <v>22</v>
      </c>
      <c r="C435" s="1" t="s">
        <v>12</v>
      </c>
      <c r="D435">
        <v>13129</v>
      </c>
      <c r="E435">
        <v>116000</v>
      </c>
      <c r="F435">
        <v>124969</v>
      </c>
      <c r="G435">
        <v>201612</v>
      </c>
      <c r="H435">
        <v>79.400000000000006</v>
      </c>
    </row>
    <row r="436" spans="1:8" x14ac:dyDescent="0.2">
      <c r="A436">
        <v>2005</v>
      </c>
      <c r="B436" s="1" t="s">
        <v>22</v>
      </c>
      <c r="C436" s="1" t="s">
        <v>13</v>
      </c>
      <c r="D436">
        <v>32029</v>
      </c>
      <c r="E436">
        <v>135000</v>
      </c>
      <c r="F436">
        <v>145749</v>
      </c>
      <c r="G436">
        <v>234635</v>
      </c>
      <c r="H436">
        <v>79.400000000000006</v>
      </c>
    </row>
    <row r="437" spans="1:8" x14ac:dyDescent="0.2">
      <c r="A437">
        <v>2005</v>
      </c>
      <c r="B437" s="1" t="s">
        <v>22</v>
      </c>
      <c r="C437" s="1" t="s">
        <v>14</v>
      </c>
      <c r="D437">
        <v>31124</v>
      </c>
      <c r="E437">
        <v>110000</v>
      </c>
      <c r="F437">
        <v>118022</v>
      </c>
      <c r="G437">
        <v>191184</v>
      </c>
      <c r="H437">
        <v>79.400000000000006</v>
      </c>
    </row>
    <row r="438" spans="1:8" x14ac:dyDescent="0.2">
      <c r="A438">
        <v>2005</v>
      </c>
      <c r="B438" s="1" t="s">
        <v>23</v>
      </c>
      <c r="C438" s="1" t="s">
        <v>11</v>
      </c>
      <c r="D438">
        <v>18936</v>
      </c>
      <c r="E438">
        <v>208500</v>
      </c>
      <c r="F438">
        <v>236640</v>
      </c>
      <c r="G438">
        <v>362380</v>
      </c>
      <c r="H438">
        <v>79.400000000000006</v>
      </c>
    </row>
    <row r="439" spans="1:8" x14ac:dyDescent="0.2">
      <c r="A439">
        <v>2005</v>
      </c>
      <c r="B439" s="1" t="s">
        <v>23</v>
      </c>
      <c r="C439" s="1" t="s">
        <v>12</v>
      </c>
      <c r="D439">
        <v>10567</v>
      </c>
      <c r="E439">
        <v>119500</v>
      </c>
      <c r="F439">
        <v>127814</v>
      </c>
      <c r="G439">
        <v>207695</v>
      </c>
      <c r="H439">
        <v>79.400000000000006</v>
      </c>
    </row>
    <row r="440" spans="1:8" x14ac:dyDescent="0.2">
      <c r="A440">
        <v>2005</v>
      </c>
      <c r="B440" s="1" t="s">
        <v>23</v>
      </c>
      <c r="C440" s="1" t="s">
        <v>13</v>
      </c>
      <c r="D440">
        <v>32890</v>
      </c>
      <c r="E440">
        <v>124950</v>
      </c>
      <c r="F440">
        <v>133226</v>
      </c>
      <c r="G440">
        <v>217168</v>
      </c>
      <c r="H440">
        <v>79.400000000000006</v>
      </c>
    </row>
    <row r="441" spans="1:8" x14ac:dyDescent="0.2">
      <c r="A441">
        <v>2005</v>
      </c>
      <c r="B441" s="1" t="s">
        <v>23</v>
      </c>
      <c r="C441" s="1" t="s">
        <v>14</v>
      </c>
      <c r="D441">
        <v>40459</v>
      </c>
      <c r="E441">
        <v>89000</v>
      </c>
      <c r="F441">
        <v>100678</v>
      </c>
      <c r="G441">
        <v>154685</v>
      </c>
      <c r="H441">
        <v>79.400000000000006</v>
      </c>
    </row>
    <row r="442" spans="1:8" x14ac:dyDescent="0.2">
      <c r="A442">
        <v>2006</v>
      </c>
      <c r="B442" s="1" t="s">
        <v>10</v>
      </c>
      <c r="C442" s="1" t="s">
        <v>11</v>
      </c>
      <c r="D442">
        <v>33083</v>
      </c>
      <c r="E442">
        <v>205000</v>
      </c>
      <c r="F442">
        <v>232597</v>
      </c>
      <c r="G442">
        <v>347543</v>
      </c>
      <c r="H442">
        <v>81.400000000000006</v>
      </c>
    </row>
    <row r="443" spans="1:8" x14ac:dyDescent="0.2">
      <c r="A443">
        <v>2006</v>
      </c>
      <c r="B443" s="1" t="s">
        <v>10</v>
      </c>
      <c r="C443" s="1" t="s">
        <v>12</v>
      </c>
      <c r="D443">
        <v>9390</v>
      </c>
      <c r="E443">
        <v>115000</v>
      </c>
      <c r="F443">
        <v>118787</v>
      </c>
      <c r="G443">
        <v>194963</v>
      </c>
      <c r="H443">
        <v>81.400000000000006</v>
      </c>
    </row>
    <row r="444" spans="1:8" x14ac:dyDescent="0.2">
      <c r="A444">
        <v>2006</v>
      </c>
      <c r="B444" s="1" t="s">
        <v>10</v>
      </c>
      <c r="C444" s="1" t="s">
        <v>13</v>
      </c>
      <c r="D444">
        <v>36545</v>
      </c>
      <c r="E444">
        <v>130000</v>
      </c>
      <c r="F444">
        <v>138626</v>
      </c>
      <c r="G444">
        <v>220393</v>
      </c>
      <c r="H444">
        <v>81.400000000000006</v>
      </c>
    </row>
    <row r="445" spans="1:8" x14ac:dyDescent="0.2">
      <c r="A445">
        <v>2006</v>
      </c>
      <c r="B445" s="1" t="s">
        <v>10</v>
      </c>
      <c r="C445" s="1" t="s">
        <v>14</v>
      </c>
      <c r="D445">
        <v>29792</v>
      </c>
      <c r="E445">
        <v>110000</v>
      </c>
      <c r="F445">
        <v>117082</v>
      </c>
      <c r="G445">
        <v>186486</v>
      </c>
      <c r="H445">
        <v>81.400000000000006</v>
      </c>
    </row>
    <row r="446" spans="1:8" x14ac:dyDescent="0.2">
      <c r="A446">
        <v>2006</v>
      </c>
      <c r="B446" s="1" t="s">
        <v>15</v>
      </c>
      <c r="C446" s="1" t="s">
        <v>11</v>
      </c>
      <c r="D446">
        <v>40498</v>
      </c>
      <c r="E446">
        <v>250000</v>
      </c>
      <c r="F446">
        <v>309130</v>
      </c>
      <c r="G446">
        <v>423833</v>
      </c>
      <c r="H446">
        <v>81.400000000000006</v>
      </c>
    </row>
    <row r="447" spans="1:8" x14ac:dyDescent="0.2">
      <c r="A447">
        <v>2006</v>
      </c>
      <c r="B447" s="1" t="s">
        <v>15</v>
      </c>
      <c r="C447" s="1" t="s">
        <v>12</v>
      </c>
      <c r="D447">
        <v>25661</v>
      </c>
      <c r="E447">
        <v>135000</v>
      </c>
      <c r="F447">
        <v>148323</v>
      </c>
      <c r="G447">
        <v>228870</v>
      </c>
      <c r="H447">
        <v>81.400000000000006</v>
      </c>
    </row>
    <row r="448" spans="1:8" x14ac:dyDescent="0.2">
      <c r="A448">
        <v>2006</v>
      </c>
      <c r="B448" s="1" t="s">
        <v>15</v>
      </c>
      <c r="C448" s="1" t="s">
        <v>13</v>
      </c>
      <c r="D448">
        <v>41073</v>
      </c>
      <c r="E448">
        <v>178500</v>
      </c>
      <c r="F448">
        <v>197914</v>
      </c>
      <c r="G448">
        <v>302617</v>
      </c>
      <c r="H448">
        <v>81.400000000000006</v>
      </c>
    </row>
    <row r="449" spans="1:8" x14ac:dyDescent="0.2">
      <c r="A449">
        <v>2006</v>
      </c>
      <c r="B449" s="1" t="s">
        <v>15</v>
      </c>
      <c r="C449" s="1" t="s">
        <v>14</v>
      </c>
      <c r="D449">
        <v>41887</v>
      </c>
      <c r="E449">
        <v>155500</v>
      </c>
      <c r="F449">
        <v>170338</v>
      </c>
      <c r="G449">
        <v>263624</v>
      </c>
      <c r="H449">
        <v>81.400000000000006</v>
      </c>
    </row>
    <row r="450" spans="1:8" x14ac:dyDescent="0.2">
      <c r="A450">
        <v>2006</v>
      </c>
      <c r="B450" s="1" t="s">
        <v>16</v>
      </c>
      <c r="C450" s="1" t="s">
        <v>11</v>
      </c>
      <c r="D450">
        <v>7352</v>
      </c>
      <c r="E450">
        <v>480000</v>
      </c>
      <c r="F450">
        <v>634931</v>
      </c>
      <c r="G450">
        <v>813759</v>
      </c>
      <c r="H450">
        <v>81.400000000000006</v>
      </c>
    </row>
    <row r="451" spans="1:8" x14ac:dyDescent="0.2">
      <c r="A451">
        <v>2006</v>
      </c>
      <c r="B451" s="1" t="s">
        <v>16</v>
      </c>
      <c r="C451" s="1" t="s">
        <v>12</v>
      </c>
      <c r="D451">
        <v>88402</v>
      </c>
      <c r="E451">
        <v>217500</v>
      </c>
      <c r="F451">
        <v>267697</v>
      </c>
      <c r="G451">
        <v>368735</v>
      </c>
      <c r="H451">
        <v>81.400000000000006</v>
      </c>
    </row>
    <row r="452" spans="1:8" x14ac:dyDescent="0.2">
      <c r="A452">
        <v>2006</v>
      </c>
      <c r="B452" s="1" t="s">
        <v>16</v>
      </c>
      <c r="C452" s="1" t="s">
        <v>13</v>
      </c>
      <c r="D452">
        <v>26260</v>
      </c>
      <c r="E452">
        <v>285000</v>
      </c>
      <c r="F452">
        <v>355975</v>
      </c>
      <c r="G452">
        <v>483170</v>
      </c>
      <c r="H452">
        <v>81.400000000000006</v>
      </c>
    </row>
    <row r="453" spans="1:8" x14ac:dyDescent="0.2">
      <c r="A453">
        <v>2006</v>
      </c>
      <c r="B453" s="1" t="s">
        <v>16</v>
      </c>
      <c r="C453" s="1" t="s">
        <v>14</v>
      </c>
      <c r="D453">
        <v>51557</v>
      </c>
      <c r="E453">
        <v>245500</v>
      </c>
      <c r="F453">
        <v>333611</v>
      </c>
      <c r="G453">
        <v>416204</v>
      </c>
      <c r="H453">
        <v>81.400000000000006</v>
      </c>
    </row>
    <row r="454" spans="1:8" x14ac:dyDescent="0.2">
      <c r="A454">
        <v>2006</v>
      </c>
      <c r="B454" s="1" t="s">
        <v>17</v>
      </c>
      <c r="C454" s="1" t="s">
        <v>11</v>
      </c>
      <c r="D454">
        <v>9623</v>
      </c>
      <c r="E454">
        <v>205000</v>
      </c>
      <c r="F454">
        <v>233584</v>
      </c>
      <c r="G454">
        <v>347543</v>
      </c>
      <c r="H454">
        <v>81.400000000000006</v>
      </c>
    </row>
    <row r="455" spans="1:8" x14ac:dyDescent="0.2">
      <c r="A455">
        <v>2006</v>
      </c>
      <c r="B455" s="1" t="s">
        <v>17</v>
      </c>
      <c r="C455" s="1" t="s">
        <v>12</v>
      </c>
      <c r="D455">
        <v>9433</v>
      </c>
      <c r="E455">
        <v>102500</v>
      </c>
      <c r="F455">
        <v>112243</v>
      </c>
      <c r="G455">
        <v>173771</v>
      </c>
      <c r="H455">
        <v>81.400000000000006</v>
      </c>
    </row>
    <row r="456" spans="1:8" x14ac:dyDescent="0.2">
      <c r="A456">
        <v>2006</v>
      </c>
      <c r="B456" s="1" t="s">
        <v>17</v>
      </c>
      <c r="C456" s="1" t="s">
        <v>13</v>
      </c>
      <c r="D456">
        <v>17999</v>
      </c>
      <c r="E456">
        <v>127000</v>
      </c>
      <c r="F456">
        <v>136485</v>
      </c>
      <c r="G456">
        <v>215307</v>
      </c>
      <c r="H456">
        <v>81.400000000000006</v>
      </c>
    </row>
    <row r="457" spans="1:8" x14ac:dyDescent="0.2">
      <c r="A457">
        <v>2006</v>
      </c>
      <c r="B457" s="1" t="s">
        <v>17</v>
      </c>
      <c r="C457" s="1" t="s">
        <v>14</v>
      </c>
      <c r="D457">
        <v>23337</v>
      </c>
      <c r="E457">
        <v>90000</v>
      </c>
      <c r="F457">
        <v>106286</v>
      </c>
      <c r="G457">
        <v>152580</v>
      </c>
      <c r="H457">
        <v>81.400000000000006</v>
      </c>
    </row>
    <row r="458" spans="1:8" x14ac:dyDescent="0.2">
      <c r="A458">
        <v>2006</v>
      </c>
      <c r="B458" s="1" t="s">
        <v>18</v>
      </c>
      <c r="C458" s="1" t="s">
        <v>11</v>
      </c>
      <c r="D458">
        <v>24919</v>
      </c>
      <c r="E458">
        <v>232500</v>
      </c>
      <c r="F458">
        <v>272977</v>
      </c>
      <c r="G458">
        <v>394165</v>
      </c>
      <c r="H458">
        <v>81.400000000000006</v>
      </c>
    </row>
    <row r="459" spans="1:8" x14ac:dyDescent="0.2">
      <c r="A459">
        <v>2006</v>
      </c>
      <c r="B459" s="1" t="s">
        <v>18</v>
      </c>
      <c r="C459" s="1" t="s">
        <v>12</v>
      </c>
      <c r="D459">
        <v>23699</v>
      </c>
      <c r="E459">
        <v>127000</v>
      </c>
      <c r="F459">
        <v>139244</v>
      </c>
      <c r="G459">
        <v>215307</v>
      </c>
      <c r="H459">
        <v>81.400000000000006</v>
      </c>
    </row>
    <row r="460" spans="1:8" x14ac:dyDescent="0.2">
      <c r="A460">
        <v>2006</v>
      </c>
      <c r="B460" s="1" t="s">
        <v>18</v>
      </c>
      <c r="C460" s="1" t="s">
        <v>13</v>
      </c>
      <c r="D460">
        <v>51553</v>
      </c>
      <c r="E460">
        <v>140000</v>
      </c>
      <c r="F460">
        <v>153164</v>
      </c>
      <c r="G460">
        <v>237346</v>
      </c>
      <c r="H460">
        <v>81.400000000000006</v>
      </c>
    </row>
    <row r="461" spans="1:8" x14ac:dyDescent="0.2">
      <c r="A461">
        <v>2006</v>
      </c>
      <c r="B461" s="1" t="s">
        <v>18</v>
      </c>
      <c r="C461" s="1" t="s">
        <v>14</v>
      </c>
      <c r="D461">
        <v>64050</v>
      </c>
      <c r="E461">
        <v>93000</v>
      </c>
      <c r="F461">
        <v>104516</v>
      </c>
      <c r="G461">
        <v>157666</v>
      </c>
      <c r="H461">
        <v>81.400000000000006</v>
      </c>
    </row>
    <row r="462" spans="1:8" x14ac:dyDescent="0.2">
      <c r="A462">
        <v>2006</v>
      </c>
      <c r="B462" s="1" t="s">
        <v>19</v>
      </c>
      <c r="C462" s="1" t="s">
        <v>11</v>
      </c>
      <c r="D462">
        <v>55947</v>
      </c>
      <c r="E462">
        <v>334000</v>
      </c>
      <c r="F462">
        <v>402464</v>
      </c>
      <c r="G462">
        <v>566241</v>
      </c>
      <c r="H462">
        <v>81.400000000000006</v>
      </c>
    </row>
    <row r="463" spans="1:8" x14ac:dyDescent="0.2">
      <c r="A463">
        <v>2006</v>
      </c>
      <c r="B463" s="1" t="s">
        <v>19</v>
      </c>
      <c r="C463" s="1" t="s">
        <v>12</v>
      </c>
      <c r="D463">
        <v>50460</v>
      </c>
      <c r="E463">
        <v>148000</v>
      </c>
      <c r="F463">
        <v>162797</v>
      </c>
      <c r="G463">
        <v>250909</v>
      </c>
      <c r="H463">
        <v>81.400000000000006</v>
      </c>
    </row>
    <row r="464" spans="1:8" x14ac:dyDescent="0.2">
      <c r="A464">
        <v>2006</v>
      </c>
      <c r="B464" s="1" t="s">
        <v>19</v>
      </c>
      <c r="C464" s="1" t="s">
        <v>13</v>
      </c>
      <c r="D464">
        <v>58008</v>
      </c>
      <c r="E464">
        <v>213000</v>
      </c>
      <c r="F464">
        <v>228829</v>
      </c>
      <c r="G464">
        <v>361106</v>
      </c>
      <c r="H464">
        <v>81.400000000000006</v>
      </c>
    </row>
    <row r="465" spans="1:8" x14ac:dyDescent="0.2">
      <c r="A465">
        <v>2006</v>
      </c>
      <c r="B465" s="1" t="s">
        <v>19</v>
      </c>
      <c r="C465" s="1" t="s">
        <v>14</v>
      </c>
      <c r="D465">
        <v>60494</v>
      </c>
      <c r="E465">
        <v>173000</v>
      </c>
      <c r="F465">
        <v>190400</v>
      </c>
      <c r="G465">
        <v>293292</v>
      </c>
      <c r="H465">
        <v>81.400000000000006</v>
      </c>
    </row>
    <row r="466" spans="1:8" x14ac:dyDescent="0.2">
      <c r="A466">
        <v>2006</v>
      </c>
      <c r="B466" s="1" t="s">
        <v>20</v>
      </c>
      <c r="C466" s="1" t="s">
        <v>11</v>
      </c>
      <c r="D466">
        <v>38125</v>
      </c>
      <c r="E466">
        <v>267000</v>
      </c>
      <c r="F466">
        <v>308774</v>
      </c>
      <c r="G466">
        <v>452654</v>
      </c>
      <c r="H466">
        <v>81.400000000000006</v>
      </c>
    </row>
    <row r="467" spans="1:8" x14ac:dyDescent="0.2">
      <c r="A467">
        <v>2006</v>
      </c>
      <c r="B467" s="1" t="s">
        <v>20</v>
      </c>
      <c r="C467" s="1" t="s">
        <v>12</v>
      </c>
      <c r="D467">
        <v>26762</v>
      </c>
      <c r="E467">
        <v>136000</v>
      </c>
      <c r="F467">
        <v>153426</v>
      </c>
      <c r="G467">
        <v>230565</v>
      </c>
      <c r="H467">
        <v>81.400000000000006</v>
      </c>
    </row>
    <row r="468" spans="1:8" x14ac:dyDescent="0.2">
      <c r="A468">
        <v>2006</v>
      </c>
      <c r="B468" s="1" t="s">
        <v>20</v>
      </c>
      <c r="C468" s="1" t="s">
        <v>13</v>
      </c>
      <c r="D468">
        <v>33100</v>
      </c>
      <c r="E468">
        <v>176000</v>
      </c>
      <c r="F468">
        <v>192579</v>
      </c>
      <c r="G468">
        <v>298378</v>
      </c>
      <c r="H468">
        <v>81.400000000000006</v>
      </c>
    </row>
    <row r="469" spans="1:8" x14ac:dyDescent="0.2">
      <c r="A469">
        <v>2006</v>
      </c>
      <c r="B469" s="1" t="s">
        <v>20</v>
      </c>
      <c r="C469" s="1" t="s">
        <v>14</v>
      </c>
      <c r="D469">
        <v>43047</v>
      </c>
      <c r="E469">
        <v>154000</v>
      </c>
      <c r="F469">
        <v>170023</v>
      </c>
      <c r="G469">
        <v>261081</v>
      </c>
      <c r="H469">
        <v>81.400000000000006</v>
      </c>
    </row>
    <row r="470" spans="1:8" x14ac:dyDescent="0.2">
      <c r="A470">
        <v>2006</v>
      </c>
      <c r="B470" s="1" t="s">
        <v>21</v>
      </c>
      <c r="C470" s="1" t="s">
        <v>11</v>
      </c>
      <c r="D470">
        <v>15825</v>
      </c>
      <c r="E470">
        <v>202500</v>
      </c>
      <c r="F470">
        <v>226041</v>
      </c>
      <c r="G470">
        <v>343305</v>
      </c>
      <c r="H470">
        <v>81.400000000000006</v>
      </c>
    </row>
    <row r="471" spans="1:8" x14ac:dyDescent="0.2">
      <c r="A471">
        <v>2006</v>
      </c>
      <c r="B471" s="1" t="s">
        <v>21</v>
      </c>
      <c r="C471" s="1" t="s">
        <v>12</v>
      </c>
      <c r="D471">
        <v>4870</v>
      </c>
      <c r="E471">
        <v>120773</v>
      </c>
      <c r="F471">
        <v>132153</v>
      </c>
      <c r="G471">
        <v>204750</v>
      </c>
      <c r="H471">
        <v>81.400000000000006</v>
      </c>
    </row>
    <row r="472" spans="1:8" x14ac:dyDescent="0.2">
      <c r="A472">
        <v>2006</v>
      </c>
      <c r="B472" s="1" t="s">
        <v>21</v>
      </c>
      <c r="C472" s="1" t="s">
        <v>13</v>
      </c>
      <c r="D472">
        <v>17836</v>
      </c>
      <c r="E472">
        <v>131000</v>
      </c>
      <c r="F472">
        <v>141054</v>
      </c>
      <c r="G472">
        <v>222088</v>
      </c>
      <c r="H472">
        <v>81.400000000000006</v>
      </c>
    </row>
    <row r="473" spans="1:8" x14ac:dyDescent="0.2">
      <c r="A473">
        <v>2006</v>
      </c>
      <c r="B473" s="1" t="s">
        <v>21</v>
      </c>
      <c r="C473" s="1" t="s">
        <v>14</v>
      </c>
      <c r="D473">
        <v>21715</v>
      </c>
      <c r="E473">
        <v>104000</v>
      </c>
      <c r="F473">
        <v>112291</v>
      </c>
      <c r="G473">
        <v>176314</v>
      </c>
      <c r="H473">
        <v>81.400000000000006</v>
      </c>
    </row>
    <row r="474" spans="1:8" x14ac:dyDescent="0.2">
      <c r="A474">
        <v>2006</v>
      </c>
      <c r="B474" s="1" t="s">
        <v>22</v>
      </c>
      <c r="C474" s="1" t="s">
        <v>11</v>
      </c>
      <c r="D474">
        <v>25164</v>
      </c>
      <c r="E474">
        <v>245000</v>
      </c>
      <c r="F474">
        <v>278489</v>
      </c>
      <c r="G474">
        <v>415356</v>
      </c>
      <c r="H474">
        <v>81.400000000000006</v>
      </c>
    </row>
    <row r="475" spans="1:8" x14ac:dyDescent="0.2">
      <c r="A475">
        <v>2006</v>
      </c>
      <c r="B475" s="1" t="s">
        <v>22</v>
      </c>
      <c r="C475" s="1" t="s">
        <v>12</v>
      </c>
      <c r="D475">
        <v>16011</v>
      </c>
      <c r="E475">
        <v>119000</v>
      </c>
      <c r="F475">
        <v>128871</v>
      </c>
      <c r="G475">
        <v>201744</v>
      </c>
      <c r="H475">
        <v>81.400000000000006</v>
      </c>
    </row>
    <row r="476" spans="1:8" x14ac:dyDescent="0.2">
      <c r="A476">
        <v>2006</v>
      </c>
      <c r="B476" s="1" t="s">
        <v>22</v>
      </c>
      <c r="C476" s="1" t="s">
        <v>13</v>
      </c>
      <c r="D476">
        <v>39266</v>
      </c>
      <c r="E476">
        <v>143000</v>
      </c>
      <c r="F476">
        <v>153935</v>
      </c>
      <c r="G476">
        <v>242432</v>
      </c>
      <c r="H476">
        <v>81.400000000000006</v>
      </c>
    </row>
    <row r="477" spans="1:8" x14ac:dyDescent="0.2">
      <c r="A477">
        <v>2006</v>
      </c>
      <c r="B477" s="1" t="s">
        <v>22</v>
      </c>
      <c r="C477" s="1" t="s">
        <v>14</v>
      </c>
      <c r="D477">
        <v>36880</v>
      </c>
      <c r="E477">
        <v>118000</v>
      </c>
      <c r="F477">
        <v>126561</v>
      </c>
      <c r="G477">
        <v>200049</v>
      </c>
      <c r="H477">
        <v>81.400000000000006</v>
      </c>
    </row>
    <row r="478" spans="1:8" x14ac:dyDescent="0.2">
      <c r="A478">
        <v>2006</v>
      </c>
      <c r="B478" s="1" t="s">
        <v>23</v>
      </c>
      <c r="C478" s="1" t="s">
        <v>11</v>
      </c>
      <c r="D478">
        <v>23875</v>
      </c>
      <c r="E478">
        <v>220000</v>
      </c>
      <c r="F478">
        <v>250932</v>
      </c>
      <c r="G478">
        <v>372973</v>
      </c>
      <c r="H478">
        <v>81.400000000000006</v>
      </c>
    </row>
    <row r="479" spans="1:8" x14ac:dyDescent="0.2">
      <c r="A479">
        <v>2006</v>
      </c>
      <c r="B479" s="1" t="s">
        <v>23</v>
      </c>
      <c r="C479" s="1" t="s">
        <v>12</v>
      </c>
      <c r="D479">
        <v>13808</v>
      </c>
      <c r="E479">
        <v>123000</v>
      </c>
      <c r="F479">
        <v>133330</v>
      </c>
      <c r="G479">
        <v>208526</v>
      </c>
      <c r="H479">
        <v>81.400000000000006</v>
      </c>
    </row>
    <row r="480" spans="1:8" x14ac:dyDescent="0.2">
      <c r="A480">
        <v>2006</v>
      </c>
      <c r="B480" s="1" t="s">
        <v>23</v>
      </c>
      <c r="C480" s="1" t="s">
        <v>13</v>
      </c>
      <c r="D480">
        <v>41232</v>
      </c>
      <c r="E480">
        <v>132000</v>
      </c>
      <c r="F480">
        <v>142456</v>
      </c>
      <c r="G480">
        <v>223784</v>
      </c>
      <c r="H480">
        <v>81.400000000000006</v>
      </c>
    </row>
    <row r="481" spans="1:8" x14ac:dyDescent="0.2">
      <c r="A481">
        <v>2006</v>
      </c>
      <c r="B481" s="1" t="s">
        <v>23</v>
      </c>
      <c r="C481" s="1" t="s">
        <v>14</v>
      </c>
      <c r="D481">
        <v>46778</v>
      </c>
      <c r="E481">
        <v>99000</v>
      </c>
      <c r="F481">
        <v>111478</v>
      </c>
      <c r="G481">
        <v>167838</v>
      </c>
      <c r="H481">
        <v>81.400000000000006</v>
      </c>
    </row>
    <row r="482" spans="1:8" x14ac:dyDescent="0.2">
      <c r="A482">
        <v>2007</v>
      </c>
      <c r="B482" s="1" t="s">
        <v>10</v>
      </c>
      <c r="C482" s="1" t="s">
        <v>11</v>
      </c>
      <c r="D482">
        <v>31257</v>
      </c>
      <c r="E482">
        <v>218000</v>
      </c>
      <c r="F482">
        <v>247990</v>
      </c>
      <c r="G482">
        <v>361152</v>
      </c>
      <c r="H482">
        <v>83.3</v>
      </c>
    </row>
    <row r="483" spans="1:8" x14ac:dyDescent="0.2">
      <c r="A483">
        <v>2007</v>
      </c>
      <c r="B483" s="1" t="s">
        <v>10</v>
      </c>
      <c r="C483" s="1" t="s">
        <v>12</v>
      </c>
      <c r="D483">
        <v>9353</v>
      </c>
      <c r="E483">
        <v>117000</v>
      </c>
      <c r="F483">
        <v>122194</v>
      </c>
      <c r="G483">
        <v>193830</v>
      </c>
      <c r="H483">
        <v>83.3</v>
      </c>
    </row>
    <row r="484" spans="1:8" x14ac:dyDescent="0.2">
      <c r="A484">
        <v>2007</v>
      </c>
      <c r="B484" s="1" t="s">
        <v>10</v>
      </c>
      <c r="C484" s="1" t="s">
        <v>13</v>
      </c>
      <c r="D484">
        <v>35279</v>
      </c>
      <c r="E484">
        <v>137000</v>
      </c>
      <c r="F484">
        <v>146274</v>
      </c>
      <c r="G484">
        <v>226963</v>
      </c>
      <c r="H484">
        <v>83.3</v>
      </c>
    </row>
    <row r="485" spans="1:8" x14ac:dyDescent="0.2">
      <c r="A485">
        <v>2007</v>
      </c>
      <c r="B485" s="1" t="s">
        <v>10</v>
      </c>
      <c r="C485" s="1" t="s">
        <v>14</v>
      </c>
      <c r="D485">
        <v>28361</v>
      </c>
      <c r="E485">
        <v>117000</v>
      </c>
      <c r="F485">
        <v>123965</v>
      </c>
      <c r="G485">
        <v>193830</v>
      </c>
      <c r="H485">
        <v>83.3</v>
      </c>
    </row>
    <row r="486" spans="1:8" x14ac:dyDescent="0.2">
      <c r="A486">
        <v>2007</v>
      </c>
      <c r="B486" s="1" t="s">
        <v>15</v>
      </c>
      <c r="C486" s="1" t="s">
        <v>11</v>
      </c>
      <c r="D486">
        <v>37315</v>
      </c>
      <c r="E486">
        <v>280000</v>
      </c>
      <c r="F486">
        <v>338952</v>
      </c>
      <c r="G486">
        <v>463866</v>
      </c>
      <c r="H486">
        <v>83.3</v>
      </c>
    </row>
    <row r="487" spans="1:8" x14ac:dyDescent="0.2">
      <c r="A487">
        <v>2007</v>
      </c>
      <c r="B487" s="1" t="s">
        <v>15</v>
      </c>
      <c r="C487" s="1" t="s">
        <v>12</v>
      </c>
      <c r="D487">
        <v>27034</v>
      </c>
      <c r="E487">
        <v>144500</v>
      </c>
      <c r="F487">
        <v>156734</v>
      </c>
      <c r="G487">
        <v>239388</v>
      </c>
      <c r="H487">
        <v>83.3</v>
      </c>
    </row>
    <row r="488" spans="1:8" x14ac:dyDescent="0.2">
      <c r="A488">
        <v>2007</v>
      </c>
      <c r="B488" s="1" t="s">
        <v>15</v>
      </c>
      <c r="C488" s="1" t="s">
        <v>13</v>
      </c>
      <c r="D488">
        <v>39306</v>
      </c>
      <c r="E488">
        <v>194000</v>
      </c>
      <c r="F488">
        <v>214646</v>
      </c>
      <c r="G488">
        <v>321393</v>
      </c>
      <c r="H488">
        <v>83.3</v>
      </c>
    </row>
    <row r="489" spans="1:8" x14ac:dyDescent="0.2">
      <c r="A489">
        <v>2007</v>
      </c>
      <c r="B489" s="1" t="s">
        <v>15</v>
      </c>
      <c r="C489" s="1" t="s">
        <v>14</v>
      </c>
      <c r="D489">
        <v>39372</v>
      </c>
      <c r="E489">
        <v>168000</v>
      </c>
      <c r="F489">
        <v>183645</v>
      </c>
      <c r="G489">
        <v>278319</v>
      </c>
      <c r="H489">
        <v>83.3</v>
      </c>
    </row>
    <row r="490" spans="1:8" x14ac:dyDescent="0.2">
      <c r="A490">
        <v>2007</v>
      </c>
      <c r="B490" s="1" t="s">
        <v>16</v>
      </c>
      <c r="C490" s="1" t="s">
        <v>11</v>
      </c>
      <c r="D490">
        <v>7137</v>
      </c>
      <c r="E490">
        <v>522000</v>
      </c>
      <c r="F490">
        <v>710836</v>
      </c>
      <c r="G490">
        <v>864778</v>
      </c>
      <c r="H490">
        <v>83.3</v>
      </c>
    </row>
    <row r="491" spans="1:8" x14ac:dyDescent="0.2">
      <c r="A491">
        <v>2007</v>
      </c>
      <c r="B491" s="1" t="s">
        <v>16</v>
      </c>
      <c r="C491" s="1" t="s">
        <v>12</v>
      </c>
      <c r="D491">
        <v>88241</v>
      </c>
      <c r="E491">
        <v>240000</v>
      </c>
      <c r="F491">
        <v>298623</v>
      </c>
      <c r="G491">
        <v>397599</v>
      </c>
      <c r="H491">
        <v>83.3</v>
      </c>
    </row>
    <row r="492" spans="1:8" x14ac:dyDescent="0.2">
      <c r="A492">
        <v>2007</v>
      </c>
      <c r="B492" s="1" t="s">
        <v>16</v>
      </c>
      <c r="C492" s="1" t="s">
        <v>13</v>
      </c>
      <c r="D492">
        <v>24298</v>
      </c>
      <c r="E492">
        <v>317000</v>
      </c>
      <c r="F492">
        <v>397524</v>
      </c>
      <c r="G492">
        <v>525162</v>
      </c>
      <c r="H492">
        <v>83.3</v>
      </c>
    </row>
    <row r="493" spans="1:8" x14ac:dyDescent="0.2">
      <c r="A493">
        <v>2007</v>
      </c>
      <c r="B493" s="1" t="s">
        <v>16</v>
      </c>
      <c r="C493" s="1" t="s">
        <v>14</v>
      </c>
      <c r="D493">
        <v>47906</v>
      </c>
      <c r="E493">
        <v>267000</v>
      </c>
      <c r="F493">
        <v>377104</v>
      </c>
      <c r="G493">
        <v>442329</v>
      </c>
      <c r="H493">
        <v>83.3</v>
      </c>
    </row>
    <row r="494" spans="1:8" x14ac:dyDescent="0.2">
      <c r="A494">
        <v>2007</v>
      </c>
      <c r="B494" s="1" t="s">
        <v>17</v>
      </c>
      <c r="C494" s="1" t="s">
        <v>11</v>
      </c>
      <c r="D494">
        <v>9395</v>
      </c>
      <c r="E494">
        <v>215000</v>
      </c>
      <c r="F494">
        <v>247371</v>
      </c>
      <c r="G494">
        <v>356182</v>
      </c>
      <c r="H494">
        <v>83.3</v>
      </c>
    </row>
    <row r="495" spans="1:8" x14ac:dyDescent="0.2">
      <c r="A495">
        <v>2007</v>
      </c>
      <c r="B495" s="1" t="s">
        <v>17</v>
      </c>
      <c r="C495" s="1" t="s">
        <v>12</v>
      </c>
      <c r="D495">
        <v>9538</v>
      </c>
      <c r="E495">
        <v>106207</v>
      </c>
      <c r="F495">
        <v>116258</v>
      </c>
      <c r="G495">
        <v>175949</v>
      </c>
      <c r="H495">
        <v>83.3</v>
      </c>
    </row>
    <row r="496" spans="1:8" x14ac:dyDescent="0.2">
      <c r="A496">
        <v>2007</v>
      </c>
      <c r="B496" s="1" t="s">
        <v>17</v>
      </c>
      <c r="C496" s="1" t="s">
        <v>13</v>
      </c>
      <c r="D496">
        <v>18475</v>
      </c>
      <c r="E496">
        <v>132000</v>
      </c>
      <c r="F496">
        <v>140765</v>
      </c>
      <c r="G496">
        <v>218679</v>
      </c>
      <c r="H496">
        <v>83.3</v>
      </c>
    </row>
    <row r="497" spans="1:8" x14ac:dyDescent="0.2">
      <c r="A497">
        <v>2007</v>
      </c>
      <c r="B497" s="1" t="s">
        <v>17</v>
      </c>
      <c r="C497" s="1" t="s">
        <v>14</v>
      </c>
      <c r="D497">
        <v>23908</v>
      </c>
      <c r="E497">
        <v>97000</v>
      </c>
      <c r="F497">
        <v>113125</v>
      </c>
      <c r="G497">
        <v>160696</v>
      </c>
      <c r="H497">
        <v>83.3</v>
      </c>
    </row>
    <row r="498" spans="1:8" x14ac:dyDescent="0.2">
      <c r="A498">
        <v>2007</v>
      </c>
      <c r="B498" s="1" t="s">
        <v>18</v>
      </c>
      <c r="C498" s="1" t="s">
        <v>11</v>
      </c>
      <c r="D498">
        <v>23650</v>
      </c>
      <c r="E498">
        <v>245000</v>
      </c>
      <c r="F498">
        <v>292628</v>
      </c>
      <c r="G498">
        <v>405882</v>
      </c>
      <c r="H498">
        <v>83.3</v>
      </c>
    </row>
    <row r="499" spans="1:8" x14ac:dyDescent="0.2">
      <c r="A499">
        <v>2007</v>
      </c>
      <c r="B499" s="1" t="s">
        <v>18</v>
      </c>
      <c r="C499" s="1" t="s">
        <v>12</v>
      </c>
      <c r="D499">
        <v>24966</v>
      </c>
      <c r="E499">
        <v>127995</v>
      </c>
      <c r="F499">
        <v>140909</v>
      </c>
      <c r="G499">
        <v>212045</v>
      </c>
      <c r="H499">
        <v>83.3</v>
      </c>
    </row>
    <row r="500" spans="1:8" x14ac:dyDescent="0.2">
      <c r="A500">
        <v>2007</v>
      </c>
      <c r="B500" s="1" t="s">
        <v>18</v>
      </c>
      <c r="C500" s="1" t="s">
        <v>13</v>
      </c>
      <c r="D500">
        <v>49631</v>
      </c>
      <c r="E500">
        <v>149000</v>
      </c>
      <c r="F500">
        <v>162664</v>
      </c>
      <c r="G500">
        <v>246843</v>
      </c>
      <c r="H500">
        <v>83.3</v>
      </c>
    </row>
    <row r="501" spans="1:8" x14ac:dyDescent="0.2">
      <c r="A501">
        <v>2007</v>
      </c>
      <c r="B501" s="1" t="s">
        <v>18</v>
      </c>
      <c r="C501" s="1" t="s">
        <v>14</v>
      </c>
      <c r="D501">
        <v>62072</v>
      </c>
      <c r="E501">
        <v>103000</v>
      </c>
      <c r="F501">
        <v>114335</v>
      </c>
      <c r="G501">
        <v>170636</v>
      </c>
      <c r="H501">
        <v>83.3</v>
      </c>
    </row>
    <row r="502" spans="1:8" x14ac:dyDescent="0.2">
      <c r="A502">
        <v>2007</v>
      </c>
      <c r="B502" s="1" t="s">
        <v>19</v>
      </c>
      <c r="C502" s="1" t="s">
        <v>11</v>
      </c>
      <c r="D502">
        <v>51443</v>
      </c>
      <c r="E502">
        <v>365000</v>
      </c>
      <c r="F502">
        <v>448556</v>
      </c>
      <c r="G502">
        <v>604682</v>
      </c>
      <c r="H502">
        <v>83.3</v>
      </c>
    </row>
    <row r="503" spans="1:8" x14ac:dyDescent="0.2">
      <c r="A503">
        <v>2007</v>
      </c>
      <c r="B503" s="1" t="s">
        <v>19</v>
      </c>
      <c r="C503" s="1" t="s">
        <v>12</v>
      </c>
      <c r="D503">
        <v>53098</v>
      </c>
      <c r="E503">
        <v>160000</v>
      </c>
      <c r="F503">
        <v>174044</v>
      </c>
      <c r="G503">
        <v>265066</v>
      </c>
      <c r="H503">
        <v>83.3</v>
      </c>
    </row>
    <row r="504" spans="1:8" x14ac:dyDescent="0.2">
      <c r="A504">
        <v>2007</v>
      </c>
      <c r="B504" s="1" t="s">
        <v>19</v>
      </c>
      <c r="C504" s="1" t="s">
        <v>13</v>
      </c>
      <c r="D504">
        <v>53539</v>
      </c>
      <c r="E504">
        <v>232995</v>
      </c>
      <c r="F504">
        <v>251358</v>
      </c>
      <c r="G504">
        <v>385994</v>
      </c>
      <c r="H504">
        <v>83.3</v>
      </c>
    </row>
    <row r="505" spans="1:8" x14ac:dyDescent="0.2">
      <c r="A505">
        <v>2007</v>
      </c>
      <c r="B505" s="1" t="s">
        <v>19</v>
      </c>
      <c r="C505" s="1" t="s">
        <v>14</v>
      </c>
      <c r="D505">
        <v>57074</v>
      </c>
      <c r="E505">
        <v>188000</v>
      </c>
      <c r="F505">
        <v>206872</v>
      </c>
      <c r="G505">
        <v>311453</v>
      </c>
      <c r="H505">
        <v>83.3</v>
      </c>
    </row>
    <row r="506" spans="1:8" x14ac:dyDescent="0.2">
      <c r="A506">
        <v>2007</v>
      </c>
      <c r="B506" s="1" t="s">
        <v>20</v>
      </c>
      <c r="C506" s="1" t="s">
        <v>11</v>
      </c>
      <c r="D506">
        <v>34817</v>
      </c>
      <c r="E506">
        <v>290500</v>
      </c>
      <c r="F506">
        <v>340772</v>
      </c>
      <c r="G506">
        <v>481261</v>
      </c>
      <c r="H506">
        <v>83.3</v>
      </c>
    </row>
    <row r="507" spans="1:8" x14ac:dyDescent="0.2">
      <c r="A507">
        <v>2007</v>
      </c>
      <c r="B507" s="1" t="s">
        <v>20</v>
      </c>
      <c r="C507" s="1" t="s">
        <v>12</v>
      </c>
      <c r="D507">
        <v>27434</v>
      </c>
      <c r="E507">
        <v>144105</v>
      </c>
      <c r="F507">
        <v>164275</v>
      </c>
      <c r="G507">
        <v>238733</v>
      </c>
      <c r="H507">
        <v>83.3</v>
      </c>
    </row>
    <row r="508" spans="1:8" x14ac:dyDescent="0.2">
      <c r="A508">
        <v>2007</v>
      </c>
      <c r="B508" s="1" t="s">
        <v>20</v>
      </c>
      <c r="C508" s="1" t="s">
        <v>13</v>
      </c>
      <c r="D508">
        <v>29876</v>
      </c>
      <c r="E508">
        <v>190000</v>
      </c>
      <c r="F508">
        <v>211678</v>
      </c>
      <c r="G508">
        <v>314766</v>
      </c>
      <c r="H508">
        <v>83.3</v>
      </c>
    </row>
    <row r="509" spans="1:8" x14ac:dyDescent="0.2">
      <c r="A509">
        <v>2007</v>
      </c>
      <c r="B509" s="1" t="s">
        <v>20</v>
      </c>
      <c r="C509" s="1" t="s">
        <v>14</v>
      </c>
      <c r="D509">
        <v>38621</v>
      </c>
      <c r="E509">
        <v>167500</v>
      </c>
      <c r="F509">
        <v>185185</v>
      </c>
      <c r="G509">
        <v>277491</v>
      </c>
      <c r="H509">
        <v>83.3</v>
      </c>
    </row>
    <row r="510" spans="1:8" x14ac:dyDescent="0.2">
      <c r="A510">
        <v>2007</v>
      </c>
      <c r="B510" s="1" t="s">
        <v>21</v>
      </c>
      <c r="C510" s="1" t="s">
        <v>11</v>
      </c>
      <c r="D510">
        <v>15287</v>
      </c>
      <c r="E510">
        <v>218000</v>
      </c>
      <c r="F510">
        <v>239630</v>
      </c>
      <c r="G510">
        <v>361152</v>
      </c>
      <c r="H510">
        <v>83.3</v>
      </c>
    </row>
    <row r="511" spans="1:8" x14ac:dyDescent="0.2">
      <c r="A511">
        <v>2007</v>
      </c>
      <c r="B511" s="1" t="s">
        <v>21</v>
      </c>
      <c r="C511" s="1" t="s">
        <v>12</v>
      </c>
      <c r="D511">
        <v>6104</v>
      </c>
      <c r="E511">
        <v>125000</v>
      </c>
      <c r="F511">
        <v>137285</v>
      </c>
      <c r="G511">
        <v>207083</v>
      </c>
      <c r="H511">
        <v>83.3</v>
      </c>
    </row>
    <row r="512" spans="1:8" x14ac:dyDescent="0.2">
      <c r="A512">
        <v>2007</v>
      </c>
      <c r="B512" s="1" t="s">
        <v>21</v>
      </c>
      <c r="C512" s="1" t="s">
        <v>13</v>
      </c>
      <c r="D512">
        <v>16979</v>
      </c>
      <c r="E512">
        <v>138000</v>
      </c>
      <c r="F512">
        <v>148528</v>
      </c>
      <c r="G512">
        <v>228619</v>
      </c>
      <c r="H512">
        <v>83.3</v>
      </c>
    </row>
    <row r="513" spans="1:8" x14ac:dyDescent="0.2">
      <c r="A513">
        <v>2007</v>
      </c>
      <c r="B513" s="1" t="s">
        <v>21</v>
      </c>
      <c r="C513" s="1" t="s">
        <v>14</v>
      </c>
      <c r="D513">
        <v>19977</v>
      </c>
      <c r="E513">
        <v>110000</v>
      </c>
      <c r="F513">
        <v>119374</v>
      </c>
      <c r="G513">
        <v>182233</v>
      </c>
      <c r="H513">
        <v>83.3</v>
      </c>
    </row>
    <row r="514" spans="1:8" x14ac:dyDescent="0.2">
      <c r="A514">
        <v>2007</v>
      </c>
      <c r="B514" s="1" t="s">
        <v>22</v>
      </c>
      <c r="C514" s="1" t="s">
        <v>11</v>
      </c>
      <c r="D514">
        <v>23004</v>
      </c>
      <c r="E514">
        <v>250000</v>
      </c>
      <c r="F514">
        <v>294212</v>
      </c>
      <c r="G514">
        <v>414166</v>
      </c>
      <c r="H514">
        <v>83.3</v>
      </c>
    </row>
    <row r="515" spans="1:8" x14ac:dyDescent="0.2">
      <c r="A515">
        <v>2007</v>
      </c>
      <c r="B515" s="1" t="s">
        <v>22</v>
      </c>
      <c r="C515" s="1" t="s">
        <v>12</v>
      </c>
      <c r="D515">
        <v>15622</v>
      </c>
      <c r="E515">
        <v>120835</v>
      </c>
      <c r="F515">
        <v>131180</v>
      </c>
      <c r="G515">
        <v>200183</v>
      </c>
      <c r="H515">
        <v>83.3</v>
      </c>
    </row>
    <row r="516" spans="1:8" x14ac:dyDescent="0.2">
      <c r="A516">
        <v>2007</v>
      </c>
      <c r="B516" s="1" t="s">
        <v>22</v>
      </c>
      <c r="C516" s="1" t="s">
        <v>13</v>
      </c>
      <c r="D516">
        <v>36755</v>
      </c>
      <c r="E516">
        <v>149000</v>
      </c>
      <c r="F516">
        <v>160958</v>
      </c>
      <c r="G516">
        <v>246843</v>
      </c>
      <c r="H516">
        <v>83.3</v>
      </c>
    </row>
    <row r="517" spans="1:8" x14ac:dyDescent="0.2">
      <c r="A517">
        <v>2007</v>
      </c>
      <c r="B517" s="1" t="s">
        <v>22</v>
      </c>
      <c r="C517" s="1" t="s">
        <v>14</v>
      </c>
      <c r="D517">
        <v>35451</v>
      </c>
      <c r="E517">
        <v>122950</v>
      </c>
      <c r="F517">
        <v>132284</v>
      </c>
      <c r="G517">
        <v>203687</v>
      </c>
      <c r="H517">
        <v>83.3</v>
      </c>
    </row>
    <row r="518" spans="1:8" x14ac:dyDescent="0.2">
      <c r="A518">
        <v>2007</v>
      </c>
      <c r="B518" s="1" t="s">
        <v>23</v>
      </c>
      <c r="C518" s="1" t="s">
        <v>11</v>
      </c>
      <c r="D518">
        <v>22192</v>
      </c>
      <c r="E518">
        <v>230000</v>
      </c>
      <c r="F518">
        <v>266360</v>
      </c>
      <c r="G518">
        <v>381032</v>
      </c>
      <c r="H518">
        <v>83.3</v>
      </c>
    </row>
    <row r="519" spans="1:8" x14ac:dyDescent="0.2">
      <c r="A519">
        <v>2007</v>
      </c>
      <c r="B519" s="1" t="s">
        <v>23</v>
      </c>
      <c r="C519" s="1" t="s">
        <v>12</v>
      </c>
      <c r="D519">
        <v>14910</v>
      </c>
      <c r="E519">
        <v>125000</v>
      </c>
      <c r="F519">
        <v>135608</v>
      </c>
      <c r="G519">
        <v>207083</v>
      </c>
      <c r="H519">
        <v>83.3</v>
      </c>
    </row>
    <row r="520" spans="1:8" x14ac:dyDescent="0.2">
      <c r="A520">
        <v>2007</v>
      </c>
      <c r="B520" s="1" t="s">
        <v>23</v>
      </c>
      <c r="C520" s="1" t="s">
        <v>13</v>
      </c>
      <c r="D520">
        <v>39587</v>
      </c>
      <c r="E520">
        <v>138500</v>
      </c>
      <c r="F520">
        <v>150354</v>
      </c>
      <c r="G520">
        <v>229448</v>
      </c>
      <c r="H520">
        <v>83.3</v>
      </c>
    </row>
    <row r="521" spans="1:8" x14ac:dyDescent="0.2">
      <c r="A521">
        <v>2007</v>
      </c>
      <c r="B521" s="1" t="s">
        <v>23</v>
      </c>
      <c r="C521" s="1" t="s">
        <v>14</v>
      </c>
      <c r="D521">
        <v>43285</v>
      </c>
      <c r="E521">
        <v>109000</v>
      </c>
      <c r="F521">
        <v>120113</v>
      </c>
      <c r="G521">
        <v>180576</v>
      </c>
      <c r="H521">
        <v>83.3</v>
      </c>
    </row>
    <row r="522" spans="1:8" x14ac:dyDescent="0.2">
      <c r="A522">
        <v>2008</v>
      </c>
      <c r="B522" s="1" t="s">
        <v>10</v>
      </c>
      <c r="C522" s="1" t="s">
        <v>11</v>
      </c>
      <c r="D522">
        <v>16254</v>
      </c>
      <c r="E522">
        <v>210000</v>
      </c>
      <c r="F522">
        <v>242996</v>
      </c>
      <c r="G522">
        <v>336195</v>
      </c>
      <c r="H522">
        <v>86.2</v>
      </c>
    </row>
    <row r="523" spans="1:8" x14ac:dyDescent="0.2">
      <c r="A523">
        <v>2008</v>
      </c>
      <c r="B523" s="1" t="s">
        <v>10</v>
      </c>
      <c r="C523" s="1" t="s">
        <v>12</v>
      </c>
      <c r="D523">
        <v>5328</v>
      </c>
      <c r="E523">
        <v>105000</v>
      </c>
      <c r="F523">
        <v>111995</v>
      </c>
      <c r="G523">
        <v>168097</v>
      </c>
      <c r="H523">
        <v>86.2</v>
      </c>
    </row>
    <row r="524" spans="1:8" x14ac:dyDescent="0.2">
      <c r="A524">
        <v>2008</v>
      </c>
      <c r="B524" s="1" t="s">
        <v>10</v>
      </c>
      <c r="C524" s="1" t="s">
        <v>13</v>
      </c>
      <c r="D524">
        <v>18463</v>
      </c>
      <c r="E524">
        <v>132000</v>
      </c>
      <c r="F524">
        <v>141168</v>
      </c>
      <c r="G524">
        <v>211323</v>
      </c>
      <c r="H524">
        <v>86.2</v>
      </c>
    </row>
    <row r="525" spans="1:8" x14ac:dyDescent="0.2">
      <c r="A525">
        <v>2008</v>
      </c>
      <c r="B525" s="1" t="s">
        <v>10</v>
      </c>
      <c r="C525" s="1" t="s">
        <v>14</v>
      </c>
      <c r="D525">
        <v>14609</v>
      </c>
      <c r="E525">
        <v>113500</v>
      </c>
      <c r="F525">
        <v>119712</v>
      </c>
      <c r="G525">
        <v>181705</v>
      </c>
      <c r="H525">
        <v>86.2</v>
      </c>
    </row>
    <row r="526" spans="1:8" x14ac:dyDescent="0.2">
      <c r="A526">
        <v>2008</v>
      </c>
      <c r="B526" s="1" t="s">
        <v>15</v>
      </c>
      <c r="C526" s="1" t="s">
        <v>11</v>
      </c>
      <c r="D526">
        <v>18812</v>
      </c>
      <c r="E526">
        <v>275000</v>
      </c>
      <c r="F526">
        <v>339723</v>
      </c>
      <c r="G526">
        <v>440255</v>
      </c>
      <c r="H526">
        <v>86.2</v>
      </c>
    </row>
    <row r="527" spans="1:8" x14ac:dyDescent="0.2">
      <c r="A527">
        <v>2008</v>
      </c>
      <c r="B527" s="1" t="s">
        <v>15</v>
      </c>
      <c r="C527" s="1" t="s">
        <v>12</v>
      </c>
      <c r="D527">
        <v>13821</v>
      </c>
      <c r="E527">
        <v>138000</v>
      </c>
      <c r="F527">
        <v>152607</v>
      </c>
      <c r="G527">
        <v>220928</v>
      </c>
      <c r="H527">
        <v>86.2</v>
      </c>
    </row>
    <row r="528" spans="1:8" x14ac:dyDescent="0.2">
      <c r="A528">
        <v>2008</v>
      </c>
      <c r="B528" s="1" t="s">
        <v>15</v>
      </c>
      <c r="C528" s="1" t="s">
        <v>13</v>
      </c>
      <c r="D528">
        <v>19738</v>
      </c>
      <c r="E528">
        <v>190000</v>
      </c>
      <c r="F528">
        <v>211745</v>
      </c>
      <c r="G528">
        <v>304176</v>
      </c>
      <c r="H528">
        <v>86.2</v>
      </c>
    </row>
    <row r="529" spans="1:8" x14ac:dyDescent="0.2">
      <c r="A529">
        <v>2008</v>
      </c>
      <c r="B529" s="1" t="s">
        <v>15</v>
      </c>
      <c r="C529" s="1" t="s">
        <v>14</v>
      </c>
      <c r="D529">
        <v>19223</v>
      </c>
      <c r="E529">
        <v>166000</v>
      </c>
      <c r="F529">
        <v>182246</v>
      </c>
      <c r="G529">
        <v>265754</v>
      </c>
      <c r="H529">
        <v>86.2</v>
      </c>
    </row>
    <row r="530" spans="1:8" x14ac:dyDescent="0.2">
      <c r="A530">
        <v>2008</v>
      </c>
      <c r="B530" s="1" t="s">
        <v>16</v>
      </c>
      <c r="C530" s="1" t="s">
        <v>11</v>
      </c>
      <c r="D530">
        <v>3312</v>
      </c>
      <c r="E530">
        <v>539475</v>
      </c>
      <c r="F530">
        <v>776815</v>
      </c>
      <c r="G530">
        <v>863661</v>
      </c>
      <c r="H530">
        <v>86.2</v>
      </c>
    </row>
    <row r="531" spans="1:8" x14ac:dyDescent="0.2">
      <c r="A531">
        <v>2008</v>
      </c>
      <c r="B531" s="1" t="s">
        <v>16</v>
      </c>
      <c r="C531" s="1" t="s">
        <v>12</v>
      </c>
      <c r="D531">
        <v>44553</v>
      </c>
      <c r="E531">
        <v>243000</v>
      </c>
      <c r="F531">
        <v>308603</v>
      </c>
      <c r="G531">
        <v>389026</v>
      </c>
      <c r="H531">
        <v>86.2</v>
      </c>
    </row>
    <row r="532" spans="1:8" x14ac:dyDescent="0.2">
      <c r="A532">
        <v>2008</v>
      </c>
      <c r="B532" s="1" t="s">
        <v>16</v>
      </c>
      <c r="C532" s="1" t="s">
        <v>13</v>
      </c>
      <c r="D532">
        <v>11650</v>
      </c>
      <c r="E532">
        <v>312000</v>
      </c>
      <c r="F532">
        <v>407743</v>
      </c>
      <c r="G532">
        <v>499490</v>
      </c>
      <c r="H532">
        <v>86.2</v>
      </c>
    </row>
    <row r="533" spans="1:8" x14ac:dyDescent="0.2">
      <c r="A533">
        <v>2008</v>
      </c>
      <c r="B533" s="1" t="s">
        <v>16</v>
      </c>
      <c r="C533" s="1" t="s">
        <v>14</v>
      </c>
      <c r="D533">
        <v>22635</v>
      </c>
      <c r="E533">
        <v>264000</v>
      </c>
      <c r="F533">
        <v>382890</v>
      </c>
      <c r="G533">
        <v>422645</v>
      </c>
      <c r="H533">
        <v>86.2</v>
      </c>
    </row>
    <row r="534" spans="1:8" x14ac:dyDescent="0.2">
      <c r="A534">
        <v>2008</v>
      </c>
      <c r="B534" s="1" t="s">
        <v>17</v>
      </c>
      <c r="C534" s="1" t="s">
        <v>11</v>
      </c>
      <c r="D534">
        <v>4609</v>
      </c>
      <c r="E534">
        <v>213000</v>
      </c>
      <c r="F534">
        <v>251745</v>
      </c>
      <c r="G534">
        <v>340998</v>
      </c>
      <c r="H534">
        <v>86.2</v>
      </c>
    </row>
    <row r="535" spans="1:8" x14ac:dyDescent="0.2">
      <c r="A535">
        <v>2008</v>
      </c>
      <c r="B535" s="1" t="s">
        <v>17</v>
      </c>
      <c r="C535" s="1" t="s">
        <v>12</v>
      </c>
      <c r="D535">
        <v>4817</v>
      </c>
      <c r="E535">
        <v>100400</v>
      </c>
      <c r="F535">
        <v>115177</v>
      </c>
      <c r="G535">
        <v>160733</v>
      </c>
      <c r="H535">
        <v>86.2</v>
      </c>
    </row>
    <row r="536" spans="1:8" x14ac:dyDescent="0.2">
      <c r="A536">
        <v>2008</v>
      </c>
      <c r="B536" s="1" t="s">
        <v>17</v>
      </c>
      <c r="C536" s="1" t="s">
        <v>13</v>
      </c>
      <c r="D536">
        <v>9144</v>
      </c>
      <c r="E536">
        <v>127975</v>
      </c>
      <c r="F536">
        <v>139277</v>
      </c>
      <c r="G536">
        <v>204879</v>
      </c>
      <c r="H536">
        <v>86.2</v>
      </c>
    </row>
    <row r="537" spans="1:8" x14ac:dyDescent="0.2">
      <c r="A537">
        <v>2008</v>
      </c>
      <c r="B537" s="1" t="s">
        <v>17</v>
      </c>
      <c r="C537" s="1" t="s">
        <v>14</v>
      </c>
      <c r="D537">
        <v>11837</v>
      </c>
      <c r="E537">
        <v>95000</v>
      </c>
      <c r="F537">
        <v>112150</v>
      </c>
      <c r="G537">
        <v>152088</v>
      </c>
      <c r="H537">
        <v>86.2</v>
      </c>
    </row>
    <row r="538" spans="1:8" x14ac:dyDescent="0.2">
      <c r="A538">
        <v>2008</v>
      </c>
      <c r="B538" s="1" t="s">
        <v>18</v>
      </c>
      <c r="C538" s="1" t="s">
        <v>11</v>
      </c>
      <c r="D538">
        <v>11988</v>
      </c>
      <c r="E538">
        <v>240472</v>
      </c>
      <c r="F538">
        <v>292325</v>
      </c>
      <c r="G538">
        <v>384979</v>
      </c>
      <c r="H538">
        <v>86.2</v>
      </c>
    </row>
    <row r="539" spans="1:8" x14ac:dyDescent="0.2">
      <c r="A539">
        <v>2008</v>
      </c>
      <c r="B539" s="1" t="s">
        <v>18</v>
      </c>
      <c r="C539" s="1" t="s">
        <v>12</v>
      </c>
      <c r="D539">
        <v>12598</v>
      </c>
      <c r="E539">
        <v>120000</v>
      </c>
      <c r="F539">
        <v>131789</v>
      </c>
      <c r="G539">
        <v>192111</v>
      </c>
      <c r="H539">
        <v>86.2</v>
      </c>
    </row>
    <row r="540" spans="1:8" x14ac:dyDescent="0.2">
      <c r="A540">
        <v>2008</v>
      </c>
      <c r="B540" s="1" t="s">
        <v>18</v>
      </c>
      <c r="C540" s="1" t="s">
        <v>13</v>
      </c>
      <c r="D540">
        <v>24540</v>
      </c>
      <c r="E540">
        <v>143000</v>
      </c>
      <c r="F540">
        <v>157586</v>
      </c>
      <c r="G540">
        <v>228933</v>
      </c>
      <c r="H540">
        <v>86.2</v>
      </c>
    </row>
    <row r="541" spans="1:8" x14ac:dyDescent="0.2">
      <c r="A541">
        <v>2008</v>
      </c>
      <c r="B541" s="1" t="s">
        <v>18</v>
      </c>
      <c r="C541" s="1" t="s">
        <v>14</v>
      </c>
      <c r="D541">
        <v>30517</v>
      </c>
      <c r="E541">
        <v>100000</v>
      </c>
      <c r="F541">
        <v>113347</v>
      </c>
      <c r="G541">
        <v>160093</v>
      </c>
      <c r="H541">
        <v>86.2</v>
      </c>
    </row>
    <row r="542" spans="1:8" x14ac:dyDescent="0.2">
      <c r="A542">
        <v>2008</v>
      </c>
      <c r="B542" s="1" t="s">
        <v>19</v>
      </c>
      <c r="C542" s="1" t="s">
        <v>11</v>
      </c>
      <c r="D542">
        <v>26227</v>
      </c>
      <c r="E542">
        <v>360000</v>
      </c>
      <c r="F542">
        <v>456509</v>
      </c>
      <c r="G542">
        <v>576334</v>
      </c>
      <c r="H542">
        <v>86.2</v>
      </c>
    </row>
    <row r="543" spans="1:8" x14ac:dyDescent="0.2">
      <c r="A543">
        <v>2008</v>
      </c>
      <c r="B543" s="1" t="s">
        <v>19</v>
      </c>
      <c r="C543" s="1" t="s">
        <v>12</v>
      </c>
      <c r="D543">
        <v>27897</v>
      </c>
      <c r="E543">
        <v>159950</v>
      </c>
      <c r="F543">
        <v>173197</v>
      </c>
      <c r="G543">
        <v>256068</v>
      </c>
      <c r="H543">
        <v>86.2</v>
      </c>
    </row>
    <row r="544" spans="1:8" x14ac:dyDescent="0.2">
      <c r="A544">
        <v>2008</v>
      </c>
      <c r="B544" s="1" t="s">
        <v>19</v>
      </c>
      <c r="C544" s="1" t="s">
        <v>13</v>
      </c>
      <c r="D544">
        <v>27485</v>
      </c>
      <c r="E544">
        <v>228000</v>
      </c>
      <c r="F544">
        <v>247347</v>
      </c>
      <c r="G544">
        <v>365012</v>
      </c>
      <c r="H544">
        <v>86.2</v>
      </c>
    </row>
    <row r="545" spans="1:8" x14ac:dyDescent="0.2">
      <c r="A545">
        <v>2008</v>
      </c>
      <c r="B545" s="1" t="s">
        <v>19</v>
      </c>
      <c r="C545" s="1" t="s">
        <v>14</v>
      </c>
      <c r="D545">
        <v>28276</v>
      </c>
      <c r="E545">
        <v>187000</v>
      </c>
      <c r="F545">
        <v>205573</v>
      </c>
      <c r="G545">
        <v>299374</v>
      </c>
      <c r="H545">
        <v>86.2</v>
      </c>
    </row>
    <row r="546" spans="1:8" x14ac:dyDescent="0.2">
      <c r="A546">
        <v>2008</v>
      </c>
      <c r="B546" s="1" t="s">
        <v>20</v>
      </c>
      <c r="C546" s="1" t="s">
        <v>11</v>
      </c>
      <c r="D546">
        <v>18179</v>
      </c>
      <c r="E546">
        <v>280000</v>
      </c>
      <c r="F546">
        <v>334654</v>
      </c>
      <c r="G546">
        <v>448260</v>
      </c>
      <c r="H546">
        <v>86.2</v>
      </c>
    </row>
    <row r="547" spans="1:8" x14ac:dyDescent="0.2">
      <c r="A547">
        <v>2008</v>
      </c>
      <c r="B547" s="1" t="s">
        <v>20</v>
      </c>
      <c r="C547" s="1" t="s">
        <v>12</v>
      </c>
      <c r="D547">
        <v>14956</v>
      </c>
      <c r="E547">
        <v>139950</v>
      </c>
      <c r="F547">
        <v>160759</v>
      </c>
      <c r="G547">
        <v>224050</v>
      </c>
      <c r="H547">
        <v>86.2</v>
      </c>
    </row>
    <row r="548" spans="1:8" x14ac:dyDescent="0.2">
      <c r="A548">
        <v>2008</v>
      </c>
      <c r="B548" s="1" t="s">
        <v>20</v>
      </c>
      <c r="C548" s="1" t="s">
        <v>13</v>
      </c>
      <c r="D548">
        <v>14962</v>
      </c>
      <c r="E548">
        <v>185000</v>
      </c>
      <c r="F548">
        <v>204964</v>
      </c>
      <c r="G548">
        <v>296172</v>
      </c>
      <c r="H548">
        <v>86.2</v>
      </c>
    </row>
    <row r="549" spans="1:8" x14ac:dyDescent="0.2">
      <c r="A549">
        <v>2008</v>
      </c>
      <c r="B549" s="1" t="s">
        <v>20</v>
      </c>
      <c r="C549" s="1" t="s">
        <v>14</v>
      </c>
      <c r="D549">
        <v>20037</v>
      </c>
      <c r="E549">
        <v>160950</v>
      </c>
      <c r="F549">
        <v>179417</v>
      </c>
      <c r="G549">
        <v>257669</v>
      </c>
      <c r="H549">
        <v>86.2</v>
      </c>
    </row>
    <row r="550" spans="1:8" x14ac:dyDescent="0.2">
      <c r="A550">
        <v>2008</v>
      </c>
      <c r="B550" s="1" t="s">
        <v>21</v>
      </c>
      <c r="C550" s="1" t="s">
        <v>11</v>
      </c>
      <c r="D550">
        <v>8049</v>
      </c>
      <c r="E550">
        <v>210000</v>
      </c>
      <c r="F550">
        <v>233737</v>
      </c>
      <c r="G550">
        <v>336195</v>
      </c>
      <c r="H550">
        <v>86.2</v>
      </c>
    </row>
    <row r="551" spans="1:8" x14ac:dyDescent="0.2">
      <c r="A551">
        <v>2008</v>
      </c>
      <c r="B551" s="1" t="s">
        <v>21</v>
      </c>
      <c r="C551" s="1" t="s">
        <v>12</v>
      </c>
      <c r="D551">
        <v>3762</v>
      </c>
      <c r="E551">
        <v>120000</v>
      </c>
      <c r="F551">
        <v>130720</v>
      </c>
      <c r="G551">
        <v>192111</v>
      </c>
      <c r="H551">
        <v>86.2</v>
      </c>
    </row>
    <row r="552" spans="1:8" x14ac:dyDescent="0.2">
      <c r="A552">
        <v>2008</v>
      </c>
      <c r="B552" s="1" t="s">
        <v>21</v>
      </c>
      <c r="C552" s="1" t="s">
        <v>13</v>
      </c>
      <c r="D552">
        <v>9057</v>
      </c>
      <c r="E552">
        <v>135000</v>
      </c>
      <c r="F552">
        <v>144201</v>
      </c>
      <c r="G552">
        <v>216125</v>
      </c>
      <c r="H552">
        <v>86.2</v>
      </c>
    </row>
    <row r="553" spans="1:8" x14ac:dyDescent="0.2">
      <c r="A553">
        <v>2008</v>
      </c>
      <c r="B553" s="1" t="s">
        <v>21</v>
      </c>
      <c r="C553" s="1" t="s">
        <v>14</v>
      </c>
      <c r="D553">
        <v>10577</v>
      </c>
      <c r="E553">
        <v>105000</v>
      </c>
      <c r="F553">
        <v>114515</v>
      </c>
      <c r="G553">
        <v>168097</v>
      </c>
      <c r="H553">
        <v>86.2</v>
      </c>
    </row>
    <row r="554" spans="1:8" x14ac:dyDescent="0.2">
      <c r="A554">
        <v>2008</v>
      </c>
      <c r="B554" s="1" t="s">
        <v>22</v>
      </c>
      <c r="C554" s="1" t="s">
        <v>11</v>
      </c>
      <c r="D554">
        <v>12083</v>
      </c>
      <c r="E554">
        <v>248950</v>
      </c>
      <c r="F554">
        <v>291191</v>
      </c>
      <c r="G554">
        <v>398551</v>
      </c>
      <c r="H554">
        <v>86.2</v>
      </c>
    </row>
    <row r="555" spans="1:8" x14ac:dyDescent="0.2">
      <c r="A555">
        <v>2008</v>
      </c>
      <c r="B555" s="1" t="s">
        <v>22</v>
      </c>
      <c r="C555" s="1" t="s">
        <v>12</v>
      </c>
      <c r="D555">
        <v>8846</v>
      </c>
      <c r="E555">
        <v>115000</v>
      </c>
      <c r="F555">
        <v>123687</v>
      </c>
      <c r="G555">
        <v>184107</v>
      </c>
      <c r="H555">
        <v>86.2</v>
      </c>
    </row>
    <row r="556" spans="1:8" x14ac:dyDescent="0.2">
      <c r="A556">
        <v>2008</v>
      </c>
      <c r="B556" s="1" t="s">
        <v>22</v>
      </c>
      <c r="C556" s="1" t="s">
        <v>13</v>
      </c>
      <c r="D556">
        <v>18927</v>
      </c>
      <c r="E556">
        <v>145000</v>
      </c>
      <c r="F556">
        <v>157573</v>
      </c>
      <c r="G556">
        <v>232135</v>
      </c>
      <c r="H556">
        <v>86.2</v>
      </c>
    </row>
    <row r="557" spans="1:8" x14ac:dyDescent="0.2">
      <c r="A557">
        <v>2008</v>
      </c>
      <c r="B557" s="1" t="s">
        <v>22</v>
      </c>
      <c r="C557" s="1" t="s">
        <v>14</v>
      </c>
      <c r="D557">
        <v>18309</v>
      </c>
      <c r="E557">
        <v>120000</v>
      </c>
      <c r="F557">
        <v>129692</v>
      </c>
      <c r="G557">
        <v>192111</v>
      </c>
      <c r="H557">
        <v>86.2</v>
      </c>
    </row>
    <row r="558" spans="1:8" x14ac:dyDescent="0.2">
      <c r="A558">
        <v>2008</v>
      </c>
      <c r="B558" s="1" t="s">
        <v>23</v>
      </c>
      <c r="C558" s="1" t="s">
        <v>11</v>
      </c>
      <c r="D558">
        <v>11449</v>
      </c>
      <c r="E558">
        <v>230000</v>
      </c>
      <c r="F558">
        <v>267805</v>
      </c>
      <c r="G558">
        <v>368213</v>
      </c>
      <c r="H558">
        <v>86.2</v>
      </c>
    </row>
    <row r="559" spans="1:8" x14ac:dyDescent="0.2">
      <c r="A559">
        <v>2008</v>
      </c>
      <c r="B559" s="1" t="s">
        <v>23</v>
      </c>
      <c r="C559" s="1" t="s">
        <v>12</v>
      </c>
      <c r="D559">
        <v>8551</v>
      </c>
      <c r="E559">
        <v>119950</v>
      </c>
      <c r="F559">
        <v>128161</v>
      </c>
      <c r="G559">
        <v>192031</v>
      </c>
      <c r="H559">
        <v>86.2</v>
      </c>
    </row>
    <row r="560" spans="1:8" x14ac:dyDescent="0.2">
      <c r="A560">
        <v>2008</v>
      </c>
      <c r="B560" s="1" t="s">
        <v>23</v>
      </c>
      <c r="C560" s="1" t="s">
        <v>13</v>
      </c>
      <c r="D560">
        <v>20456</v>
      </c>
      <c r="E560">
        <v>135000</v>
      </c>
      <c r="F560">
        <v>146719</v>
      </c>
      <c r="G560">
        <v>216125</v>
      </c>
      <c r="H560">
        <v>86.2</v>
      </c>
    </row>
    <row r="561" spans="1:8" x14ac:dyDescent="0.2">
      <c r="A561">
        <v>2008</v>
      </c>
      <c r="B561" s="1" t="s">
        <v>23</v>
      </c>
      <c r="C561" s="1" t="s">
        <v>14</v>
      </c>
      <c r="D561">
        <v>22425</v>
      </c>
      <c r="E561">
        <v>105000</v>
      </c>
      <c r="F561">
        <v>117631</v>
      </c>
      <c r="G561">
        <v>168097</v>
      </c>
      <c r="H561">
        <v>86.2</v>
      </c>
    </row>
    <row r="562" spans="1:8" x14ac:dyDescent="0.2">
      <c r="A562">
        <v>2009</v>
      </c>
      <c r="B562" s="1" t="s">
        <v>10</v>
      </c>
      <c r="C562" s="1" t="s">
        <v>11</v>
      </c>
      <c r="D562">
        <v>18361</v>
      </c>
      <c r="E562">
        <v>191500</v>
      </c>
      <c r="F562">
        <v>222863</v>
      </c>
      <c r="G562">
        <v>300648</v>
      </c>
      <c r="H562">
        <v>87.9</v>
      </c>
    </row>
    <row r="563" spans="1:8" x14ac:dyDescent="0.2">
      <c r="A563">
        <v>2009</v>
      </c>
      <c r="B563" s="1" t="s">
        <v>10</v>
      </c>
      <c r="C563" s="1" t="s">
        <v>12</v>
      </c>
      <c r="D563">
        <v>3672</v>
      </c>
      <c r="E563">
        <v>95000</v>
      </c>
      <c r="F563">
        <v>106576</v>
      </c>
      <c r="G563">
        <v>149147</v>
      </c>
      <c r="H563">
        <v>87.9</v>
      </c>
    </row>
    <row r="564" spans="1:8" x14ac:dyDescent="0.2">
      <c r="A564">
        <v>2009</v>
      </c>
      <c r="B564" s="1" t="s">
        <v>10</v>
      </c>
      <c r="C564" s="1" t="s">
        <v>13</v>
      </c>
      <c r="D564">
        <v>17774</v>
      </c>
      <c r="E564">
        <v>125000</v>
      </c>
      <c r="F564">
        <v>133461</v>
      </c>
      <c r="G564">
        <v>196246</v>
      </c>
      <c r="H564">
        <v>87.9</v>
      </c>
    </row>
    <row r="565" spans="1:8" x14ac:dyDescent="0.2">
      <c r="A565">
        <v>2009</v>
      </c>
      <c r="B565" s="1" t="s">
        <v>10</v>
      </c>
      <c r="C565" s="1" t="s">
        <v>14</v>
      </c>
      <c r="D565">
        <v>12357</v>
      </c>
      <c r="E565">
        <v>105000</v>
      </c>
      <c r="F565">
        <v>112128</v>
      </c>
      <c r="G565">
        <v>164846</v>
      </c>
      <c r="H565">
        <v>87.9</v>
      </c>
    </row>
    <row r="566" spans="1:8" x14ac:dyDescent="0.2">
      <c r="A566">
        <v>2009</v>
      </c>
      <c r="B566" s="1" t="s">
        <v>15</v>
      </c>
      <c r="C566" s="1" t="s">
        <v>11</v>
      </c>
      <c r="D566">
        <v>22683</v>
      </c>
      <c r="E566">
        <v>249995</v>
      </c>
      <c r="F566">
        <v>309757</v>
      </c>
      <c r="G566">
        <v>392484</v>
      </c>
      <c r="H566">
        <v>87.9</v>
      </c>
    </row>
    <row r="567" spans="1:8" x14ac:dyDescent="0.2">
      <c r="A567">
        <v>2009</v>
      </c>
      <c r="B567" s="1" t="s">
        <v>15</v>
      </c>
      <c r="C567" s="1" t="s">
        <v>12</v>
      </c>
      <c r="D567">
        <v>11432</v>
      </c>
      <c r="E567">
        <v>130000</v>
      </c>
      <c r="F567">
        <v>142377</v>
      </c>
      <c r="G567">
        <v>204096</v>
      </c>
      <c r="H567">
        <v>87.9</v>
      </c>
    </row>
    <row r="568" spans="1:8" x14ac:dyDescent="0.2">
      <c r="A568">
        <v>2009</v>
      </c>
      <c r="B568" s="1" t="s">
        <v>15</v>
      </c>
      <c r="C568" s="1" t="s">
        <v>13</v>
      </c>
      <c r="D568">
        <v>22209</v>
      </c>
      <c r="E568">
        <v>174950</v>
      </c>
      <c r="F568">
        <v>196846</v>
      </c>
      <c r="G568">
        <v>274666</v>
      </c>
      <c r="H568">
        <v>87.9</v>
      </c>
    </row>
    <row r="569" spans="1:8" x14ac:dyDescent="0.2">
      <c r="A569">
        <v>2009</v>
      </c>
      <c r="B569" s="1" t="s">
        <v>15</v>
      </c>
      <c r="C569" s="1" t="s">
        <v>14</v>
      </c>
      <c r="D569">
        <v>20003</v>
      </c>
      <c r="E569">
        <v>155000</v>
      </c>
      <c r="F569">
        <v>169406</v>
      </c>
      <c r="G569">
        <v>243345</v>
      </c>
      <c r="H569">
        <v>87.9</v>
      </c>
    </row>
    <row r="570" spans="1:8" x14ac:dyDescent="0.2">
      <c r="A570">
        <v>2009</v>
      </c>
      <c r="B570" s="1" t="s">
        <v>16</v>
      </c>
      <c r="C570" s="1" t="s">
        <v>11</v>
      </c>
      <c r="D570">
        <v>3656</v>
      </c>
      <c r="E570">
        <v>491000</v>
      </c>
      <c r="F570">
        <v>683234</v>
      </c>
      <c r="G570">
        <v>770853</v>
      </c>
      <c r="H570">
        <v>87.9</v>
      </c>
    </row>
    <row r="571" spans="1:8" x14ac:dyDescent="0.2">
      <c r="A571">
        <v>2009</v>
      </c>
      <c r="B571" s="1" t="s">
        <v>16</v>
      </c>
      <c r="C571" s="1" t="s">
        <v>12</v>
      </c>
      <c r="D571">
        <v>37860</v>
      </c>
      <c r="E571">
        <v>240000</v>
      </c>
      <c r="F571">
        <v>309822</v>
      </c>
      <c r="G571">
        <v>376792</v>
      </c>
      <c r="H571">
        <v>87.9</v>
      </c>
    </row>
    <row r="572" spans="1:8" x14ac:dyDescent="0.2">
      <c r="A572">
        <v>2009</v>
      </c>
      <c r="B572" s="1" t="s">
        <v>16</v>
      </c>
      <c r="C572" s="1" t="s">
        <v>13</v>
      </c>
      <c r="D572">
        <v>12248</v>
      </c>
      <c r="E572">
        <v>295000</v>
      </c>
      <c r="F572">
        <v>385361</v>
      </c>
      <c r="G572">
        <v>463140</v>
      </c>
      <c r="H572">
        <v>87.9</v>
      </c>
    </row>
    <row r="573" spans="1:8" x14ac:dyDescent="0.2">
      <c r="A573">
        <v>2009</v>
      </c>
      <c r="B573" s="1" t="s">
        <v>16</v>
      </c>
      <c r="C573" s="1" t="s">
        <v>14</v>
      </c>
      <c r="D573">
        <v>22398</v>
      </c>
      <c r="E573">
        <v>250000</v>
      </c>
      <c r="F573">
        <v>387796</v>
      </c>
      <c r="G573">
        <v>392491</v>
      </c>
      <c r="H573">
        <v>87.9</v>
      </c>
    </row>
    <row r="574" spans="1:8" x14ac:dyDescent="0.2">
      <c r="A574">
        <v>2009</v>
      </c>
      <c r="B574" s="1" t="s">
        <v>17</v>
      </c>
      <c r="C574" s="1" t="s">
        <v>11</v>
      </c>
      <c r="D574">
        <v>4529</v>
      </c>
      <c r="E574">
        <v>195000</v>
      </c>
      <c r="F574">
        <v>228778</v>
      </c>
      <c r="G574">
        <v>306143</v>
      </c>
      <c r="H574">
        <v>87.9</v>
      </c>
    </row>
    <row r="575" spans="1:8" x14ac:dyDescent="0.2">
      <c r="A575">
        <v>2009</v>
      </c>
      <c r="B575" s="1" t="s">
        <v>17</v>
      </c>
      <c r="C575" s="1" t="s">
        <v>12</v>
      </c>
      <c r="D575">
        <v>2971</v>
      </c>
      <c r="E575">
        <v>99500</v>
      </c>
      <c r="F575">
        <v>108978</v>
      </c>
      <c r="G575">
        <v>156212</v>
      </c>
      <c r="H575">
        <v>87.9</v>
      </c>
    </row>
    <row r="576" spans="1:8" x14ac:dyDescent="0.2">
      <c r="A576">
        <v>2009</v>
      </c>
      <c r="B576" s="1" t="s">
        <v>17</v>
      </c>
      <c r="C576" s="1" t="s">
        <v>13</v>
      </c>
      <c r="D576">
        <v>8300</v>
      </c>
      <c r="E576">
        <v>123500</v>
      </c>
      <c r="F576">
        <v>133349</v>
      </c>
      <c r="G576">
        <v>193891</v>
      </c>
      <c r="H576">
        <v>87.9</v>
      </c>
    </row>
    <row r="577" spans="1:8" x14ac:dyDescent="0.2">
      <c r="A577">
        <v>2009</v>
      </c>
      <c r="B577" s="1" t="s">
        <v>17</v>
      </c>
      <c r="C577" s="1" t="s">
        <v>14</v>
      </c>
      <c r="D577">
        <v>8567</v>
      </c>
      <c r="E577">
        <v>95000</v>
      </c>
      <c r="F577">
        <v>110244</v>
      </c>
      <c r="G577">
        <v>149147</v>
      </c>
      <c r="H577">
        <v>87.9</v>
      </c>
    </row>
    <row r="578" spans="1:8" x14ac:dyDescent="0.2">
      <c r="A578">
        <v>2009</v>
      </c>
      <c r="B578" s="1" t="s">
        <v>18</v>
      </c>
      <c r="C578" s="1" t="s">
        <v>11</v>
      </c>
      <c r="D578">
        <v>12292</v>
      </c>
      <c r="E578">
        <v>226000</v>
      </c>
      <c r="F578">
        <v>270957</v>
      </c>
      <c r="G578">
        <v>354812</v>
      </c>
      <c r="H578">
        <v>87.9</v>
      </c>
    </row>
    <row r="579" spans="1:8" x14ac:dyDescent="0.2">
      <c r="A579">
        <v>2009</v>
      </c>
      <c r="B579" s="1" t="s">
        <v>18</v>
      </c>
      <c r="C579" s="1" t="s">
        <v>12</v>
      </c>
      <c r="D579">
        <v>8749</v>
      </c>
      <c r="E579">
        <v>110000</v>
      </c>
      <c r="F579">
        <v>123710</v>
      </c>
      <c r="G579">
        <v>172696</v>
      </c>
      <c r="H579">
        <v>87.9</v>
      </c>
    </row>
    <row r="580" spans="1:8" x14ac:dyDescent="0.2">
      <c r="A580">
        <v>2009</v>
      </c>
      <c r="B580" s="1" t="s">
        <v>18</v>
      </c>
      <c r="C580" s="1" t="s">
        <v>13</v>
      </c>
      <c r="D580">
        <v>23710</v>
      </c>
      <c r="E580">
        <v>137702</v>
      </c>
      <c r="F580">
        <v>150640</v>
      </c>
      <c r="G580">
        <v>216187</v>
      </c>
      <c r="H580">
        <v>87.9</v>
      </c>
    </row>
    <row r="581" spans="1:8" x14ac:dyDescent="0.2">
      <c r="A581">
        <v>2009</v>
      </c>
      <c r="B581" s="1" t="s">
        <v>18</v>
      </c>
      <c r="C581" s="1" t="s">
        <v>14</v>
      </c>
      <c r="D581">
        <v>22698</v>
      </c>
      <c r="E581">
        <v>95000</v>
      </c>
      <c r="F581">
        <v>107931</v>
      </c>
      <c r="G581">
        <v>149147</v>
      </c>
      <c r="H581">
        <v>87.9</v>
      </c>
    </row>
    <row r="582" spans="1:8" x14ac:dyDescent="0.2">
      <c r="A582">
        <v>2009</v>
      </c>
      <c r="B582" s="1" t="s">
        <v>19</v>
      </c>
      <c r="C582" s="1" t="s">
        <v>11</v>
      </c>
      <c r="D582">
        <v>31656</v>
      </c>
      <c r="E582">
        <v>330000</v>
      </c>
      <c r="F582">
        <v>410708</v>
      </c>
      <c r="G582">
        <v>518089</v>
      </c>
      <c r="H582">
        <v>87.9</v>
      </c>
    </row>
    <row r="583" spans="1:8" x14ac:dyDescent="0.2">
      <c r="A583">
        <v>2009</v>
      </c>
      <c r="B583" s="1" t="s">
        <v>19</v>
      </c>
      <c r="C583" s="1" t="s">
        <v>12</v>
      </c>
      <c r="D583">
        <v>23928</v>
      </c>
      <c r="E583">
        <v>146000</v>
      </c>
      <c r="F583">
        <v>159358</v>
      </c>
      <c r="G583">
        <v>229215</v>
      </c>
      <c r="H583">
        <v>87.9</v>
      </c>
    </row>
    <row r="584" spans="1:8" x14ac:dyDescent="0.2">
      <c r="A584">
        <v>2009</v>
      </c>
      <c r="B584" s="1" t="s">
        <v>19</v>
      </c>
      <c r="C584" s="1" t="s">
        <v>13</v>
      </c>
      <c r="D584">
        <v>31646</v>
      </c>
      <c r="E584">
        <v>209325</v>
      </c>
      <c r="F584">
        <v>228487</v>
      </c>
      <c r="G584">
        <v>328633</v>
      </c>
      <c r="H584">
        <v>87.9</v>
      </c>
    </row>
    <row r="585" spans="1:8" x14ac:dyDescent="0.2">
      <c r="A585">
        <v>2009</v>
      </c>
      <c r="B585" s="1" t="s">
        <v>19</v>
      </c>
      <c r="C585" s="1" t="s">
        <v>14</v>
      </c>
      <c r="D585">
        <v>29931</v>
      </c>
      <c r="E585">
        <v>173500</v>
      </c>
      <c r="F585">
        <v>191334</v>
      </c>
      <c r="G585">
        <v>272389</v>
      </c>
      <c r="H585">
        <v>87.9</v>
      </c>
    </row>
    <row r="586" spans="1:8" x14ac:dyDescent="0.2">
      <c r="A586">
        <v>2009</v>
      </c>
      <c r="B586" s="1" t="s">
        <v>20</v>
      </c>
      <c r="C586" s="1" t="s">
        <v>11</v>
      </c>
      <c r="D586">
        <v>22517</v>
      </c>
      <c r="E586">
        <v>250000</v>
      </c>
      <c r="F586">
        <v>304149</v>
      </c>
      <c r="G586">
        <v>392491</v>
      </c>
      <c r="H586">
        <v>87.9</v>
      </c>
    </row>
    <row r="587" spans="1:8" x14ac:dyDescent="0.2">
      <c r="A587">
        <v>2009</v>
      </c>
      <c r="B587" s="1" t="s">
        <v>20</v>
      </c>
      <c r="C587" s="1" t="s">
        <v>12</v>
      </c>
      <c r="D587">
        <v>13130</v>
      </c>
      <c r="E587">
        <v>133700</v>
      </c>
      <c r="F587">
        <v>152881</v>
      </c>
      <c r="G587">
        <v>209904</v>
      </c>
      <c r="H587">
        <v>87.9</v>
      </c>
    </row>
    <row r="588" spans="1:8" x14ac:dyDescent="0.2">
      <c r="A588">
        <v>2009</v>
      </c>
      <c r="B588" s="1" t="s">
        <v>20</v>
      </c>
      <c r="C588" s="1" t="s">
        <v>13</v>
      </c>
      <c r="D588">
        <v>18110</v>
      </c>
      <c r="E588">
        <v>170000</v>
      </c>
      <c r="F588">
        <v>188196</v>
      </c>
      <c r="G588">
        <v>266894</v>
      </c>
      <c r="H588">
        <v>87.9</v>
      </c>
    </row>
    <row r="589" spans="1:8" x14ac:dyDescent="0.2">
      <c r="A589">
        <v>2009</v>
      </c>
      <c r="B589" s="1" t="s">
        <v>20</v>
      </c>
      <c r="C589" s="1" t="s">
        <v>14</v>
      </c>
      <c r="D589">
        <v>21908</v>
      </c>
      <c r="E589">
        <v>150000</v>
      </c>
      <c r="F589">
        <v>168254</v>
      </c>
      <c r="G589">
        <v>235495</v>
      </c>
      <c r="H589">
        <v>87.9</v>
      </c>
    </row>
    <row r="590" spans="1:8" x14ac:dyDescent="0.2">
      <c r="A590">
        <v>2009</v>
      </c>
      <c r="B590" s="1" t="s">
        <v>21</v>
      </c>
      <c r="C590" s="1" t="s">
        <v>11</v>
      </c>
      <c r="D590">
        <v>8491</v>
      </c>
      <c r="E590">
        <v>195000</v>
      </c>
      <c r="F590">
        <v>220867</v>
      </c>
      <c r="G590">
        <v>306143</v>
      </c>
      <c r="H590">
        <v>87.9</v>
      </c>
    </row>
    <row r="591" spans="1:8" x14ac:dyDescent="0.2">
      <c r="A591">
        <v>2009</v>
      </c>
      <c r="B591" s="1" t="s">
        <v>21</v>
      </c>
      <c r="C591" s="1" t="s">
        <v>12</v>
      </c>
      <c r="D591">
        <v>3074</v>
      </c>
      <c r="E591">
        <v>114000</v>
      </c>
      <c r="F591">
        <v>126343</v>
      </c>
      <c r="G591">
        <v>178976</v>
      </c>
      <c r="H591">
        <v>87.9</v>
      </c>
    </row>
    <row r="592" spans="1:8" x14ac:dyDescent="0.2">
      <c r="A592">
        <v>2009</v>
      </c>
      <c r="B592" s="1" t="s">
        <v>21</v>
      </c>
      <c r="C592" s="1" t="s">
        <v>13</v>
      </c>
      <c r="D592">
        <v>8632</v>
      </c>
      <c r="E592">
        <v>130000</v>
      </c>
      <c r="F592">
        <v>138498</v>
      </c>
      <c r="G592">
        <v>204096</v>
      </c>
      <c r="H592">
        <v>87.9</v>
      </c>
    </row>
    <row r="593" spans="1:8" x14ac:dyDescent="0.2">
      <c r="A593">
        <v>2009</v>
      </c>
      <c r="B593" s="1" t="s">
        <v>21</v>
      </c>
      <c r="C593" s="1" t="s">
        <v>14</v>
      </c>
      <c r="D593">
        <v>8923</v>
      </c>
      <c r="E593">
        <v>100000</v>
      </c>
      <c r="F593">
        <v>108460</v>
      </c>
      <c r="G593">
        <v>156997</v>
      </c>
      <c r="H593">
        <v>87.9</v>
      </c>
    </row>
    <row r="594" spans="1:8" x14ac:dyDescent="0.2">
      <c r="A594">
        <v>2009</v>
      </c>
      <c r="B594" s="1" t="s">
        <v>22</v>
      </c>
      <c r="C594" s="1" t="s">
        <v>11</v>
      </c>
      <c r="D594">
        <v>13100</v>
      </c>
      <c r="E594">
        <v>233000</v>
      </c>
      <c r="F594">
        <v>266456</v>
      </c>
      <c r="G594">
        <v>365802</v>
      </c>
      <c r="H594">
        <v>87.9</v>
      </c>
    </row>
    <row r="595" spans="1:8" x14ac:dyDescent="0.2">
      <c r="A595">
        <v>2009</v>
      </c>
      <c r="B595" s="1" t="s">
        <v>22</v>
      </c>
      <c r="C595" s="1" t="s">
        <v>12</v>
      </c>
      <c r="D595">
        <v>6133</v>
      </c>
      <c r="E595">
        <v>105000</v>
      </c>
      <c r="F595">
        <v>114756</v>
      </c>
      <c r="G595">
        <v>164846</v>
      </c>
      <c r="H595">
        <v>87.9</v>
      </c>
    </row>
    <row r="596" spans="1:8" x14ac:dyDescent="0.2">
      <c r="A596">
        <v>2009</v>
      </c>
      <c r="B596" s="1" t="s">
        <v>22</v>
      </c>
      <c r="C596" s="1" t="s">
        <v>13</v>
      </c>
      <c r="D596">
        <v>17806</v>
      </c>
      <c r="E596">
        <v>139995</v>
      </c>
      <c r="F596">
        <v>149999</v>
      </c>
      <c r="G596">
        <v>219787</v>
      </c>
      <c r="H596">
        <v>87.9</v>
      </c>
    </row>
    <row r="597" spans="1:8" x14ac:dyDescent="0.2">
      <c r="A597">
        <v>2009</v>
      </c>
      <c r="B597" s="1" t="s">
        <v>22</v>
      </c>
      <c r="C597" s="1" t="s">
        <v>14</v>
      </c>
      <c r="D597">
        <v>15373</v>
      </c>
      <c r="E597">
        <v>116000</v>
      </c>
      <c r="F597">
        <v>124283</v>
      </c>
      <c r="G597">
        <v>182116</v>
      </c>
      <c r="H597">
        <v>87.9</v>
      </c>
    </row>
    <row r="598" spans="1:8" x14ac:dyDescent="0.2">
      <c r="A598">
        <v>2009</v>
      </c>
      <c r="B598" s="1" t="s">
        <v>23</v>
      </c>
      <c r="C598" s="1" t="s">
        <v>11</v>
      </c>
      <c r="D598">
        <v>11664</v>
      </c>
      <c r="E598">
        <v>215000</v>
      </c>
      <c r="F598">
        <v>250786</v>
      </c>
      <c r="G598">
        <v>337543</v>
      </c>
      <c r="H598">
        <v>87.9</v>
      </c>
    </row>
    <row r="599" spans="1:8" x14ac:dyDescent="0.2">
      <c r="A599">
        <v>2009</v>
      </c>
      <c r="B599" s="1" t="s">
        <v>23</v>
      </c>
      <c r="C599" s="1" t="s">
        <v>12</v>
      </c>
      <c r="D599">
        <v>5859</v>
      </c>
      <c r="E599">
        <v>108500</v>
      </c>
      <c r="F599">
        <v>119585</v>
      </c>
      <c r="G599">
        <v>170341</v>
      </c>
      <c r="H599">
        <v>87.9</v>
      </c>
    </row>
    <row r="600" spans="1:8" x14ac:dyDescent="0.2">
      <c r="A600">
        <v>2009</v>
      </c>
      <c r="B600" s="1" t="s">
        <v>23</v>
      </c>
      <c r="C600" s="1" t="s">
        <v>13</v>
      </c>
      <c r="D600">
        <v>19022</v>
      </c>
      <c r="E600">
        <v>130000</v>
      </c>
      <c r="F600">
        <v>140909</v>
      </c>
      <c r="G600">
        <v>204096</v>
      </c>
      <c r="H600">
        <v>87.9</v>
      </c>
    </row>
    <row r="601" spans="1:8" x14ac:dyDescent="0.2">
      <c r="A601">
        <v>2009</v>
      </c>
      <c r="B601" s="1" t="s">
        <v>23</v>
      </c>
      <c r="C601" s="1" t="s">
        <v>14</v>
      </c>
      <c r="D601">
        <v>17440</v>
      </c>
      <c r="E601">
        <v>100000</v>
      </c>
      <c r="F601">
        <v>113920</v>
      </c>
      <c r="G601">
        <v>156997</v>
      </c>
      <c r="H601">
        <v>87.9</v>
      </c>
    </row>
    <row r="602" spans="1:8" x14ac:dyDescent="0.2">
      <c r="A602">
        <v>2010</v>
      </c>
      <c r="B602" s="1" t="s">
        <v>10</v>
      </c>
      <c r="C602" s="1" t="s">
        <v>11</v>
      </c>
      <c r="D602">
        <v>19192</v>
      </c>
      <c r="E602">
        <v>205000</v>
      </c>
      <c r="F602">
        <v>236368</v>
      </c>
      <c r="G602">
        <v>313984</v>
      </c>
      <c r="H602">
        <v>90.1</v>
      </c>
    </row>
    <row r="603" spans="1:8" x14ac:dyDescent="0.2">
      <c r="A603">
        <v>2010</v>
      </c>
      <c r="B603" s="1" t="s">
        <v>10</v>
      </c>
      <c r="C603" s="1" t="s">
        <v>12</v>
      </c>
      <c r="D603">
        <v>3437</v>
      </c>
      <c r="E603">
        <v>92000</v>
      </c>
      <c r="F603">
        <v>103705</v>
      </c>
      <c r="G603">
        <v>140910</v>
      </c>
      <c r="H603">
        <v>90.1</v>
      </c>
    </row>
    <row r="604" spans="1:8" x14ac:dyDescent="0.2">
      <c r="A604">
        <v>2010</v>
      </c>
      <c r="B604" s="1" t="s">
        <v>10</v>
      </c>
      <c r="C604" s="1" t="s">
        <v>13</v>
      </c>
      <c r="D604">
        <v>18346</v>
      </c>
      <c r="E604">
        <v>125000</v>
      </c>
      <c r="F604">
        <v>137383</v>
      </c>
      <c r="G604">
        <v>191454</v>
      </c>
      <c r="H604">
        <v>90.1</v>
      </c>
    </row>
    <row r="605" spans="1:8" x14ac:dyDescent="0.2">
      <c r="A605">
        <v>2010</v>
      </c>
      <c r="B605" s="1" t="s">
        <v>10</v>
      </c>
      <c r="C605" s="1" t="s">
        <v>14</v>
      </c>
      <c r="D605">
        <v>13105</v>
      </c>
      <c r="E605">
        <v>106500</v>
      </c>
      <c r="F605">
        <v>114708</v>
      </c>
      <c r="G605">
        <v>163119</v>
      </c>
      <c r="H605">
        <v>90.1</v>
      </c>
    </row>
    <row r="606" spans="1:8" x14ac:dyDescent="0.2">
      <c r="A606">
        <v>2010</v>
      </c>
      <c r="B606" s="1" t="s">
        <v>15</v>
      </c>
      <c r="C606" s="1" t="s">
        <v>11</v>
      </c>
      <c r="D606">
        <v>24471</v>
      </c>
      <c r="E606">
        <v>280000</v>
      </c>
      <c r="F606">
        <v>347173</v>
      </c>
      <c r="G606">
        <v>428857</v>
      </c>
      <c r="H606">
        <v>90.1</v>
      </c>
    </row>
    <row r="607" spans="1:8" x14ac:dyDescent="0.2">
      <c r="A607">
        <v>2010</v>
      </c>
      <c r="B607" s="1" t="s">
        <v>15</v>
      </c>
      <c r="C607" s="1" t="s">
        <v>12</v>
      </c>
      <c r="D607">
        <v>11931</v>
      </c>
      <c r="E607">
        <v>134995</v>
      </c>
      <c r="F607">
        <v>149066</v>
      </c>
      <c r="G607">
        <v>206763</v>
      </c>
      <c r="H607">
        <v>90.1</v>
      </c>
    </row>
    <row r="608" spans="1:8" x14ac:dyDescent="0.2">
      <c r="A608">
        <v>2010</v>
      </c>
      <c r="B608" s="1" t="s">
        <v>15</v>
      </c>
      <c r="C608" s="1" t="s">
        <v>13</v>
      </c>
      <c r="D608">
        <v>22916</v>
      </c>
      <c r="E608">
        <v>190000</v>
      </c>
      <c r="F608">
        <v>216282</v>
      </c>
      <c r="G608">
        <v>291010</v>
      </c>
      <c r="H608">
        <v>90.1</v>
      </c>
    </row>
    <row r="609" spans="1:8" x14ac:dyDescent="0.2">
      <c r="A609">
        <v>2010</v>
      </c>
      <c r="B609" s="1" t="s">
        <v>15</v>
      </c>
      <c r="C609" s="1" t="s">
        <v>14</v>
      </c>
      <c r="D609">
        <v>20573</v>
      </c>
      <c r="E609">
        <v>165000</v>
      </c>
      <c r="F609">
        <v>183454</v>
      </c>
      <c r="G609">
        <v>252719</v>
      </c>
      <c r="H609">
        <v>90.1</v>
      </c>
    </row>
    <row r="610" spans="1:8" x14ac:dyDescent="0.2">
      <c r="A610">
        <v>2010</v>
      </c>
      <c r="B610" s="1" t="s">
        <v>16</v>
      </c>
      <c r="C610" s="1" t="s">
        <v>11</v>
      </c>
      <c r="D610">
        <v>4625</v>
      </c>
      <c r="E610">
        <v>530000</v>
      </c>
      <c r="F610">
        <v>791030</v>
      </c>
      <c r="G610">
        <v>811765</v>
      </c>
      <c r="H610">
        <v>90.1</v>
      </c>
    </row>
    <row r="611" spans="1:8" x14ac:dyDescent="0.2">
      <c r="A611">
        <v>2010</v>
      </c>
      <c r="B611" s="1" t="s">
        <v>16</v>
      </c>
      <c r="C611" s="1" t="s">
        <v>12</v>
      </c>
      <c r="D611">
        <v>47311</v>
      </c>
      <c r="E611">
        <v>250000</v>
      </c>
      <c r="F611">
        <v>340076</v>
      </c>
      <c r="G611">
        <v>382908</v>
      </c>
      <c r="H611">
        <v>90.1</v>
      </c>
    </row>
    <row r="612" spans="1:8" x14ac:dyDescent="0.2">
      <c r="A612">
        <v>2010</v>
      </c>
      <c r="B612" s="1" t="s">
        <v>16</v>
      </c>
      <c r="C612" s="1" t="s">
        <v>13</v>
      </c>
      <c r="D612">
        <v>14676</v>
      </c>
      <c r="E612">
        <v>325000</v>
      </c>
      <c r="F612">
        <v>433563</v>
      </c>
      <c r="G612">
        <v>497780</v>
      </c>
      <c r="H612">
        <v>90.1</v>
      </c>
    </row>
    <row r="613" spans="1:8" x14ac:dyDescent="0.2">
      <c r="A613">
        <v>2010</v>
      </c>
      <c r="B613" s="1" t="s">
        <v>16</v>
      </c>
      <c r="C613" s="1" t="s">
        <v>14</v>
      </c>
      <c r="D613">
        <v>26161</v>
      </c>
      <c r="E613">
        <v>290000</v>
      </c>
      <c r="F613">
        <v>449796</v>
      </c>
      <c r="G613">
        <v>444173</v>
      </c>
      <c r="H613">
        <v>90.1</v>
      </c>
    </row>
    <row r="614" spans="1:8" x14ac:dyDescent="0.2">
      <c r="A614">
        <v>2010</v>
      </c>
      <c r="B614" s="1" t="s">
        <v>17</v>
      </c>
      <c r="C614" s="1" t="s">
        <v>11</v>
      </c>
      <c r="D614">
        <v>4768</v>
      </c>
      <c r="E614">
        <v>210000</v>
      </c>
      <c r="F614">
        <v>240955</v>
      </c>
      <c r="G614">
        <v>321643</v>
      </c>
      <c r="H614">
        <v>90.1</v>
      </c>
    </row>
    <row r="615" spans="1:8" x14ac:dyDescent="0.2">
      <c r="A615">
        <v>2010</v>
      </c>
      <c r="B615" s="1" t="s">
        <v>17</v>
      </c>
      <c r="C615" s="1" t="s">
        <v>12</v>
      </c>
      <c r="D615">
        <v>2832</v>
      </c>
      <c r="E615">
        <v>95000</v>
      </c>
      <c r="F615">
        <v>107439</v>
      </c>
      <c r="G615">
        <v>145505</v>
      </c>
      <c r="H615">
        <v>90.1</v>
      </c>
    </row>
    <row r="616" spans="1:8" x14ac:dyDescent="0.2">
      <c r="A616">
        <v>2010</v>
      </c>
      <c r="B616" s="1" t="s">
        <v>17</v>
      </c>
      <c r="C616" s="1" t="s">
        <v>13</v>
      </c>
      <c r="D616">
        <v>8721</v>
      </c>
      <c r="E616">
        <v>124950</v>
      </c>
      <c r="F616">
        <v>136430</v>
      </c>
      <c r="G616">
        <v>191377</v>
      </c>
      <c r="H616">
        <v>90.1</v>
      </c>
    </row>
    <row r="617" spans="1:8" x14ac:dyDescent="0.2">
      <c r="A617">
        <v>2010</v>
      </c>
      <c r="B617" s="1" t="s">
        <v>17</v>
      </c>
      <c r="C617" s="1" t="s">
        <v>14</v>
      </c>
      <c r="D617">
        <v>9345</v>
      </c>
      <c r="E617">
        <v>95000</v>
      </c>
      <c r="F617">
        <v>112666</v>
      </c>
      <c r="G617">
        <v>145505</v>
      </c>
      <c r="H617">
        <v>90.1</v>
      </c>
    </row>
    <row r="618" spans="1:8" x14ac:dyDescent="0.2">
      <c r="A618">
        <v>2010</v>
      </c>
      <c r="B618" s="1" t="s">
        <v>18</v>
      </c>
      <c r="C618" s="1" t="s">
        <v>11</v>
      </c>
      <c r="D618">
        <v>13341</v>
      </c>
      <c r="E618">
        <v>237000</v>
      </c>
      <c r="F618">
        <v>284921</v>
      </c>
      <c r="G618">
        <v>362997</v>
      </c>
      <c r="H618">
        <v>90.1</v>
      </c>
    </row>
    <row r="619" spans="1:8" x14ac:dyDescent="0.2">
      <c r="A619">
        <v>2010</v>
      </c>
      <c r="B619" s="1" t="s">
        <v>18</v>
      </c>
      <c r="C619" s="1" t="s">
        <v>12</v>
      </c>
      <c r="D619">
        <v>8546</v>
      </c>
      <c r="E619">
        <v>106000</v>
      </c>
      <c r="F619">
        <v>121758</v>
      </c>
      <c r="G619">
        <v>162353</v>
      </c>
      <c r="H619">
        <v>90.1</v>
      </c>
    </row>
    <row r="620" spans="1:8" x14ac:dyDescent="0.2">
      <c r="A620">
        <v>2010</v>
      </c>
      <c r="B620" s="1" t="s">
        <v>18</v>
      </c>
      <c r="C620" s="1" t="s">
        <v>13</v>
      </c>
      <c r="D620">
        <v>24332</v>
      </c>
      <c r="E620">
        <v>140000</v>
      </c>
      <c r="F620">
        <v>156501</v>
      </c>
      <c r="G620">
        <v>214428</v>
      </c>
      <c r="H620">
        <v>90.1</v>
      </c>
    </row>
    <row r="621" spans="1:8" x14ac:dyDescent="0.2">
      <c r="A621">
        <v>2010</v>
      </c>
      <c r="B621" s="1" t="s">
        <v>18</v>
      </c>
      <c r="C621" s="1" t="s">
        <v>14</v>
      </c>
      <c r="D621">
        <v>24792</v>
      </c>
      <c r="E621">
        <v>95000</v>
      </c>
      <c r="F621">
        <v>108824</v>
      </c>
      <c r="G621">
        <v>145505</v>
      </c>
      <c r="H621">
        <v>90.1</v>
      </c>
    </row>
    <row r="622" spans="1:8" x14ac:dyDescent="0.2">
      <c r="A622">
        <v>2010</v>
      </c>
      <c r="B622" s="1" t="s">
        <v>19</v>
      </c>
      <c r="C622" s="1" t="s">
        <v>11</v>
      </c>
      <c r="D622">
        <v>34605</v>
      </c>
      <c r="E622">
        <v>370000</v>
      </c>
      <c r="F622">
        <v>456600</v>
      </c>
      <c r="G622">
        <v>566704</v>
      </c>
      <c r="H622">
        <v>90.1</v>
      </c>
    </row>
    <row r="623" spans="1:8" x14ac:dyDescent="0.2">
      <c r="A623">
        <v>2010</v>
      </c>
      <c r="B623" s="1" t="s">
        <v>19</v>
      </c>
      <c r="C623" s="1" t="s">
        <v>12</v>
      </c>
      <c r="D623">
        <v>23659</v>
      </c>
      <c r="E623">
        <v>154950</v>
      </c>
      <c r="F623">
        <v>172039</v>
      </c>
      <c r="G623">
        <v>237326</v>
      </c>
      <c r="H623">
        <v>90.1</v>
      </c>
    </row>
    <row r="624" spans="1:8" x14ac:dyDescent="0.2">
      <c r="A624">
        <v>2010</v>
      </c>
      <c r="B624" s="1" t="s">
        <v>19</v>
      </c>
      <c r="C624" s="1" t="s">
        <v>13</v>
      </c>
      <c r="D624">
        <v>32553</v>
      </c>
      <c r="E624">
        <v>230000</v>
      </c>
      <c r="F624">
        <v>254727</v>
      </c>
      <c r="G624">
        <v>352275</v>
      </c>
      <c r="H624">
        <v>90.1</v>
      </c>
    </row>
    <row r="625" spans="1:8" x14ac:dyDescent="0.2">
      <c r="A625">
        <v>2010</v>
      </c>
      <c r="B625" s="1" t="s">
        <v>19</v>
      </c>
      <c r="C625" s="1" t="s">
        <v>14</v>
      </c>
      <c r="D625">
        <v>30745</v>
      </c>
      <c r="E625">
        <v>189000</v>
      </c>
      <c r="F625">
        <v>210112</v>
      </c>
      <c r="G625">
        <v>289478</v>
      </c>
      <c r="H625">
        <v>90.1</v>
      </c>
    </row>
    <row r="626" spans="1:8" x14ac:dyDescent="0.2">
      <c r="A626">
        <v>2010</v>
      </c>
      <c r="B626" s="1" t="s">
        <v>20</v>
      </c>
      <c r="C626" s="1" t="s">
        <v>11</v>
      </c>
      <c r="D626">
        <v>23331</v>
      </c>
      <c r="E626">
        <v>277500</v>
      </c>
      <c r="F626">
        <v>328311</v>
      </c>
      <c r="G626">
        <v>425028</v>
      </c>
      <c r="H626">
        <v>90.1</v>
      </c>
    </row>
    <row r="627" spans="1:8" x14ac:dyDescent="0.2">
      <c r="A627">
        <v>2010</v>
      </c>
      <c r="B627" s="1" t="s">
        <v>20</v>
      </c>
      <c r="C627" s="1" t="s">
        <v>12</v>
      </c>
      <c r="D627">
        <v>12957</v>
      </c>
      <c r="E627">
        <v>135000</v>
      </c>
      <c r="F627">
        <v>160689</v>
      </c>
      <c r="G627">
        <v>206770</v>
      </c>
      <c r="H627">
        <v>90.1</v>
      </c>
    </row>
    <row r="628" spans="1:8" x14ac:dyDescent="0.2">
      <c r="A628">
        <v>2010</v>
      </c>
      <c r="B628" s="1" t="s">
        <v>20</v>
      </c>
      <c r="C628" s="1" t="s">
        <v>13</v>
      </c>
      <c r="D628">
        <v>18088</v>
      </c>
      <c r="E628">
        <v>183000</v>
      </c>
      <c r="F628">
        <v>205500</v>
      </c>
      <c r="G628">
        <v>280289</v>
      </c>
      <c r="H628">
        <v>90.1</v>
      </c>
    </row>
    <row r="629" spans="1:8" x14ac:dyDescent="0.2">
      <c r="A629">
        <v>2010</v>
      </c>
      <c r="B629" s="1" t="s">
        <v>20</v>
      </c>
      <c r="C629" s="1" t="s">
        <v>14</v>
      </c>
      <c r="D629">
        <v>22079</v>
      </c>
      <c r="E629">
        <v>162000</v>
      </c>
      <c r="F629">
        <v>182400</v>
      </c>
      <c r="G629">
        <v>248124</v>
      </c>
      <c r="H629">
        <v>90.1</v>
      </c>
    </row>
    <row r="630" spans="1:8" x14ac:dyDescent="0.2">
      <c r="A630">
        <v>2010</v>
      </c>
      <c r="B630" s="1" t="s">
        <v>21</v>
      </c>
      <c r="C630" s="1" t="s">
        <v>11</v>
      </c>
      <c r="D630">
        <v>9118</v>
      </c>
      <c r="E630">
        <v>205000</v>
      </c>
      <c r="F630">
        <v>225525</v>
      </c>
      <c r="G630">
        <v>313984</v>
      </c>
      <c r="H630">
        <v>90.1</v>
      </c>
    </row>
    <row r="631" spans="1:8" x14ac:dyDescent="0.2">
      <c r="A631">
        <v>2010</v>
      </c>
      <c r="B631" s="1" t="s">
        <v>21</v>
      </c>
      <c r="C631" s="1" t="s">
        <v>12</v>
      </c>
      <c r="D631">
        <v>2576</v>
      </c>
      <c r="E631">
        <v>110000</v>
      </c>
      <c r="F631">
        <v>124455</v>
      </c>
      <c r="G631">
        <v>168479</v>
      </c>
      <c r="H631">
        <v>90.1</v>
      </c>
    </row>
    <row r="632" spans="1:8" x14ac:dyDescent="0.2">
      <c r="A632">
        <v>2010</v>
      </c>
      <c r="B632" s="1" t="s">
        <v>21</v>
      </c>
      <c r="C632" s="1" t="s">
        <v>13</v>
      </c>
      <c r="D632">
        <v>9225</v>
      </c>
      <c r="E632">
        <v>130000</v>
      </c>
      <c r="F632">
        <v>141673</v>
      </c>
      <c r="G632">
        <v>199112</v>
      </c>
      <c r="H632">
        <v>90.1</v>
      </c>
    </row>
    <row r="633" spans="1:8" x14ac:dyDescent="0.2">
      <c r="A633">
        <v>2010</v>
      </c>
      <c r="B633" s="1" t="s">
        <v>21</v>
      </c>
      <c r="C633" s="1" t="s">
        <v>14</v>
      </c>
      <c r="D633">
        <v>9996</v>
      </c>
      <c r="E633">
        <v>100000</v>
      </c>
      <c r="F633">
        <v>111145</v>
      </c>
      <c r="G633">
        <v>153163</v>
      </c>
      <c r="H633">
        <v>90.1</v>
      </c>
    </row>
    <row r="634" spans="1:8" x14ac:dyDescent="0.2">
      <c r="A634">
        <v>2010</v>
      </c>
      <c r="B634" s="1" t="s">
        <v>22</v>
      </c>
      <c r="C634" s="1" t="s">
        <v>11</v>
      </c>
      <c r="D634">
        <v>14369</v>
      </c>
      <c r="E634">
        <v>245000</v>
      </c>
      <c r="F634">
        <v>287674</v>
      </c>
      <c r="G634">
        <v>375250</v>
      </c>
      <c r="H634">
        <v>90.1</v>
      </c>
    </row>
    <row r="635" spans="1:8" x14ac:dyDescent="0.2">
      <c r="A635">
        <v>2010</v>
      </c>
      <c r="B635" s="1" t="s">
        <v>22</v>
      </c>
      <c r="C635" s="1" t="s">
        <v>12</v>
      </c>
      <c r="D635">
        <v>6442</v>
      </c>
      <c r="E635">
        <v>104000</v>
      </c>
      <c r="F635">
        <v>114832</v>
      </c>
      <c r="G635">
        <v>159290</v>
      </c>
      <c r="H635">
        <v>90.1</v>
      </c>
    </row>
    <row r="636" spans="1:8" x14ac:dyDescent="0.2">
      <c r="A636">
        <v>2010</v>
      </c>
      <c r="B636" s="1" t="s">
        <v>22</v>
      </c>
      <c r="C636" s="1" t="s">
        <v>13</v>
      </c>
      <c r="D636">
        <v>18540</v>
      </c>
      <c r="E636">
        <v>142500</v>
      </c>
      <c r="F636">
        <v>157008</v>
      </c>
      <c r="G636">
        <v>218257</v>
      </c>
      <c r="H636">
        <v>90.1</v>
      </c>
    </row>
    <row r="637" spans="1:8" x14ac:dyDescent="0.2">
      <c r="A637">
        <v>2010</v>
      </c>
      <c r="B637" s="1" t="s">
        <v>22</v>
      </c>
      <c r="C637" s="1" t="s">
        <v>14</v>
      </c>
      <c r="D637">
        <v>16102</v>
      </c>
      <c r="E637">
        <v>119000</v>
      </c>
      <c r="F637">
        <v>129411</v>
      </c>
      <c r="G637">
        <v>182264</v>
      </c>
      <c r="H637">
        <v>90.1</v>
      </c>
    </row>
    <row r="638" spans="1:8" x14ac:dyDescent="0.2">
      <c r="A638">
        <v>2010</v>
      </c>
      <c r="B638" s="1" t="s">
        <v>23</v>
      </c>
      <c r="C638" s="1" t="s">
        <v>11</v>
      </c>
      <c r="D638">
        <v>12502</v>
      </c>
      <c r="E638">
        <v>228500</v>
      </c>
      <c r="F638">
        <v>263226</v>
      </c>
      <c r="G638">
        <v>349978</v>
      </c>
      <c r="H638">
        <v>90.1</v>
      </c>
    </row>
    <row r="639" spans="1:8" x14ac:dyDescent="0.2">
      <c r="A639">
        <v>2010</v>
      </c>
      <c r="B639" s="1" t="s">
        <v>23</v>
      </c>
      <c r="C639" s="1" t="s">
        <v>12</v>
      </c>
      <c r="D639">
        <v>5147</v>
      </c>
      <c r="E639">
        <v>109950</v>
      </c>
      <c r="F639">
        <v>121937</v>
      </c>
      <c r="G639">
        <v>168403</v>
      </c>
      <c r="H639">
        <v>90.1</v>
      </c>
    </row>
    <row r="640" spans="1:8" x14ac:dyDescent="0.2">
      <c r="A640">
        <v>2010</v>
      </c>
      <c r="B640" s="1" t="s">
        <v>23</v>
      </c>
      <c r="C640" s="1" t="s">
        <v>13</v>
      </c>
      <c r="D640">
        <v>19223</v>
      </c>
      <c r="E640">
        <v>130000</v>
      </c>
      <c r="F640">
        <v>145505</v>
      </c>
      <c r="G640">
        <v>199112</v>
      </c>
      <c r="H640">
        <v>90.1</v>
      </c>
    </row>
    <row r="641" spans="1:8" x14ac:dyDescent="0.2">
      <c r="A641">
        <v>2010</v>
      </c>
      <c r="B641" s="1" t="s">
        <v>23</v>
      </c>
      <c r="C641" s="1" t="s">
        <v>14</v>
      </c>
      <c r="D641">
        <v>18107</v>
      </c>
      <c r="E641">
        <v>105000</v>
      </c>
      <c r="F641">
        <v>119029</v>
      </c>
      <c r="G641">
        <v>160821</v>
      </c>
      <c r="H641">
        <v>90.1</v>
      </c>
    </row>
    <row r="642" spans="1:8" x14ac:dyDescent="0.2">
      <c r="A642">
        <v>2011</v>
      </c>
      <c r="B642" s="1" t="s">
        <v>10</v>
      </c>
      <c r="C642" s="1" t="s">
        <v>11</v>
      </c>
      <c r="D642">
        <v>19108</v>
      </c>
      <c r="E642">
        <v>199950</v>
      </c>
      <c r="F642">
        <v>229583</v>
      </c>
      <c r="G642">
        <v>294798</v>
      </c>
      <c r="H642">
        <v>93.6</v>
      </c>
    </row>
    <row r="643" spans="1:8" x14ac:dyDescent="0.2">
      <c r="A643">
        <v>2011</v>
      </c>
      <c r="B643" s="1" t="s">
        <v>10</v>
      </c>
      <c r="C643" s="1" t="s">
        <v>12</v>
      </c>
      <c r="D643">
        <v>2993</v>
      </c>
      <c r="E643">
        <v>90250</v>
      </c>
      <c r="F643">
        <v>103478</v>
      </c>
      <c r="G643">
        <v>133061</v>
      </c>
      <c r="H643">
        <v>93.6</v>
      </c>
    </row>
    <row r="644" spans="1:8" x14ac:dyDescent="0.2">
      <c r="A644">
        <v>2011</v>
      </c>
      <c r="B644" s="1" t="s">
        <v>10</v>
      </c>
      <c r="C644" s="1" t="s">
        <v>13</v>
      </c>
      <c r="D644">
        <v>18393</v>
      </c>
      <c r="E644">
        <v>125000</v>
      </c>
      <c r="F644">
        <v>134539</v>
      </c>
      <c r="G644">
        <v>184295</v>
      </c>
      <c r="H644">
        <v>93.6</v>
      </c>
    </row>
    <row r="645" spans="1:8" x14ac:dyDescent="0.2">
      <c r="A645">
        <v>2011</v>
      </c>
      <c r="B645" s="1" t="s">
        <v>10</v>
      </c>
      <c r="C645" s="1" t="s">
        <v>14</v>
      </c>
      <c r="D645">
        <v>13492</v>
      </c>
      <c r="E645">
        <v>105000</v>
      </c>
      <c r="F645">
        <v>112888</v>
      </c>
      <c r="G645">
        <v>154808</v>
      </c>
      <c r="H645">
        <v>93.6</v>
      </c>
    </row>
    <row r="646" spans="1:8" x14ac:dyDescent="0.2">
      <c r="A646">
        <v>2011</v>
      </c>
      <c r="B646" s="1" t="s">
        <v>15</v>
      </c>
      <c r="C646" s="1" t="s">
        <v>11</v>
      </c>
      <c r="D646">
        <v>24168</v>
      </c>
      <c r="E646">
        <v>265500</v>
      </c>
      <c r="F646">
        <v>335820</v>
      </c>
      <c r="G646">
        <v>391442</v>
      </c>
      <c r="H646">
        <v>93.6</v>
      </c>
    </row>
    <row r="647" spans="1:8" x14ac:dyDescent="0.2">
      <c r="A647">
        <v>2011</v>
      </c>
      <c r="B647" s="1" t="s">
        <v>15</v>
      </c>
      <c r="C647" s="1" t="s">
        <v>12</v>
      </c>
      <c r="D647">
        <v>11633</v>
      </c>
      <c r="E647">
        <v>135000</v>
      </c>
      <c r="F647">
        <v>150035</v>
      </c>
      <c r="G647">
        <v>199038</v>
      </c>
      <c r="H647">
        <v>93.6</v>
      </c>
    </row>
    <row r="648" spans="1:8" x14ac:dyDescent="0.2">
      <c r="A648">
        <v>2011</v>
      </c>
      <c r="B648" s="1" t="s">
        <v>15</v>
      </c>
      <c r="C648" s="1" t="s">
        <v>13</v>
      </c>
      <c r="D648">
        <v>23040</v>
      </c>
      <c r="E648">
        <v>186500</v>
      </c>
      <c r="F648">
        <v>213526</v>
      </c>
      <c r="G648">
        <v>274968</v>
      </c>
      <c r="H648">
        <v>93.6</v>
      </c>
    </row>
    <row r="649" spans="1:8" x14ac:dyDescent="0.2">
      <c r="A649">
        <v>2011</v>
      </c>
      <c r="B649" s="1" t="s">
        <v>15</v>
      </c>
      <c r="C649" s="1" t="s">
        <v>14</v>
      </c>
      <c r="D649">
        <v>21623</v>
      </c>
      <c r="E649">
        <v>165000</v>
      </c>
      <c r="F649">
        <v>181812</v>
      </c>
      <c r="G649">
        <v>243269</v>
      </c>
      <c r="H649">
        <v>93.6</v>
      </c>
    </row>
    <row r="650" spans="1:8" x14ac:dyDescent="0.2">
      <c r="A650">
        <v>2011</v>
      </c>
      <c r="B650" s="1" t="s">
        <v>16</v>
      </c>
      <c r="C650" s="1" t="s">
        <v>11</v>
      </c>
      <c r="D650">
        <v>4642</v>
      </c>
      <c r="E650">
        <v>547500</v>
      </c>
      <c r="F650">
        <v>770566</v>
      </c>
      <c r="G650">
        <v>807212</v>
      </c>
      <c r="H650">
        <v>93.6</v>
      </c>
    </row>
    <row r="651" spans="1:8" x14ac:dyDescent="0.2">
      <c r="A651">
        <v>2011</v>
      </c>
      <c r="B651" s="1" t="s">
        <v>16</v>
      </c>
      <c r="C651" s="1" t="s">
        <v>12</v>
      </c>
      <c r="D651">
        <v>45759</v>
      </c>
      <c r="E651">
        <v>260000</v>
      </c>
      <c r="F651">
        <v>355098</v>
      </c>
      <c r="G651">
        <v>383333</v>
      </c>
      <c r="H651">
        <v>93.6</v>
      </c>
    </row>
    <row r="652" spans="1:8" x14ac:dyDescent="0.2">
      <c r="A652">
        <v>2011</v>
      </c>
      <c r="B652" s="1" t="s">
        <v>16</v>
      </c>
      <c r="C652" s="1" t="s">
        <v>13</v>
      </c>
      <c r="D652">
        <v>14394</v>
      </c>
      <c r="E652">
        <v>330000</v>
      </c>
      <c r="F652">
        <v>444306</v>
      </c>
      <c r="G652">
        <v>486538</v>
      </c>
      <c r="H652">
        <v>93.6</v>
      </c>
    </row>
    <row r="653" spans="1:8" x14ac:dyDescent="0.2">
      <c r="A653">
        <v>2011</v>
      </c>
      <c r="B653" s="1" t="s">
        <v>16</v>
      </c>
      <c r="C653" s="1" t="s">
        <v>14</v>
      </c>
      <c r="D653">
        <v>25990</v>
      </c>
      <c r="E653">
        <v>291000</v>
      </c>
      <c r="F653">
        <v>463143</v>
      </c>
      <c r="G653">
        <v>429038</v>
      </c>
      <c r="H653">
        <v>93.6</v>
      </c>
    </row>
    <row r="654" spans="1:8" x14ac:dyDescent="0.2">
      <c r="A654">
        <v>2011</v>
      </c>
      <c r="B654" s="1" t="s">
        <v>17</v>
      </c>
      <c r="C654" s="1" t="s">
        <v>11</v>
      </c>
      <c r="D654">
        <v>4784</v>
      </c>
      <c r="E654">
        <v>200000</v>
      </c>
      <c r="F654">
        <v>232056</v>
      </c>
      <c r="G654">
        <v>294872</v>
      </c>
      <c r="H654">
        <v>93.6</v>
      </c>
    </row>
    <row r="655" spans="1:8" x14ac:dyDescent="0.2">
      <c r="A655">
        <v>2011</v>
      </c>
      <c r="B655" s="1" t="s">
        <v>17</v>
      </c>
      <c r="C655" s="1" t="s">
        <v>12</v>
      </c>
      <c r="D655">
        <v>2928</v>
      </c>
      <c r="E655">
        <v>89995</v>
      </c>
      <c r="F655">
        <v>102148</v>
      </c>
      <c r="G655">
        <v>132685</v>
      </c>
      <c r="H655">
        <v>93.6</v>
      </c>
    </row>
    <row r="656" spans="1:8" x14ac:dyDescent="0.2">
      <c r="A656">
        <v>2011</v>
      </c>
      <c r="B656" s="1" t="s">
        <v>17</v>
      </c>
      <c r="C656" s="1" t="s">
        <v>13</v>
      </c>
      <c r="D656">
        <v>9405</v>
      </c>
      <c r="E656">
        <v>120000</v>
      </c>
      <c r="F656">
        <v>130107</v>
      </c>
      <c r="G656">
        <v>176923</v>
      </c>
      <c r="H656">
        <v>93.6</v>
      </c>
    </row>
    <row r="657" spans="1:8" x14ac:dyDescent="0.2">
      <c r="A657">
        <v>2011</v>
      </c>
      <c r="B657" s="1" t="s">
        <v>17</v>
      </c>
      <c r="C657" s="1" t="s">
        <v>14</v>
      </c>
      <c r="D657">
        <v>9710</v>
      </c>
      <c r="E657">
        <v>90000</v>
      </c>
      <c r="F657">
        <v>106810</v>
      </c>
      <c r="G657">
        <v>132692</v>
      </c>
      <c r="H657">
        <v>93.6</v>
      </c>
    </row>
    <row r="658" spans="1:8" x14ac:dyDescent="0.2">
      <c r="A658">
        <v>2011</v>
      </c>
      <c r="B658" s="1" t="s">
        <v>18</v>
      </c>
      <c r="C658" s="1" t="s">
        <v>11</v>
      </c>
      <c r="D658">
        <v>13416</v>
      </c>
      <c r="E658">
        <v>230000</v>
      </c>
      <c r="F658">
        <v>274541</v>
      </c>
      <c r="G658">
        <v>339103</v>
      </c>
      <c r="H658">
        <v>93.6</v>
      </c>
    </row>
    <row r="659" spans="1:8" x14ac:dyDescent="0.2">
      <c r="A659">
        <v>2011</v>
      </c>
      <c r="B659" s="1" t="s">
        <v>18</v>
      </c>
      <c r="C659" s="1" t="s">
        <v>12</v>
      </c>
      <c r="D659">
        <v>8067</v>
      </c>
      <c r="E659">
        <v>102500</v>
      </c>
      <c r="F659">
        <v>117427</v>
      </c>
      <c r="G659">
        <v>151122</v>
      </c>
      <c r="H659">
        <v>93.6</v>
      </c>
    </row>
    <row r="660" spans="1:8" x14ac:dyDescent="0.2">
      <c r="A660">
        <v>2011</v>
      </c>
      <c r="B660" s="1" t="s">
        <v>18</v>
      </c>
      <c r="C660" s="1" t="s">
        <v>13</v>
      </c>
      <c r="D660">
        <v>25188</v>
      </c>
      <c r="E660">
        <v>135000</v>
      </c>
      <c r="F660">
        <v>151284</v>
      </c>
      <c r="G660">
        <v>199038</v>
      </c>
      <c r="H660">
        <v>93.6</v>
      </c>
    </row>
    <row r="661" spans="1:8" x14ac:dyDescent="0.2">
      <c r="A661">
        <v>2011</v>
      </c>
      <c r="B661" s="1" t="s">
        <v>18</v>
      </c>
      <c r="C661" s="1" t="s">
        <v>14</v>
      </c>
      <c r="D661">
        <v>24832</v>
      </c>
      <c r="E661">
        <v>91000</v>
      </c>
      <c r="F661">
        <v>105931</v>
      </c>
      <c r="G661">
        <v>134167</v>
      </c>
      <c r="H661">
        <v>93.6</v>
      </c>
    </row>
    <row r="662" spans="1:8" x14ac:dyDescent="0.2">
      <c r="A662">
        <v>2011</v>
      </c>
      <c r="B662" s="1" t="s">
        <v>19</v>
      </c>
      <c r="C662" s="1" t="s">
        <v>11</v>
      </c>
      <c r="D662">
        <v>33014</v>
      </c>
      <c r="E662">
        <v>362000</v>
      </c>
      <c r="F662">
        <v>454495</v>
      </c>
      <c r="G662">
        <v>533718</v>
      </c>
      <c r="H662">
        <v>93.6</v>
      </c>
    </row>
    <row r="663" spans="1:8" x14ac:dyDescent="0.2">
      <c r="A663">
        <v>2011</v>
      </c>
      <c r="B663" s="1" t="s">
        <v>19</v>
      </c>
      <c r="C663" s="1" t="s">
        <v>12</v>
      </c>
      <c r="D663">
        <v>23711</v>
      </c>
      <c r="E663">
        <v>150000</v>
      </c>
      <c r="F663">
        <v>169316</v>
      </c>
      <c r="G663">
        <v>221154</v>
      </c>
      <c r="H663">
        <v>93.6</v>
      </c>
    </row>
    <row r="664" spans="1:8" x14ac:dyDescent="0.2">
      <c r="A664">
        <v>2011</v>
      </c>
      <c r="B664" s="1" t="s">
        <v>19</v>
      </c>
      <c r="C664" s="1" t="s">
        <v>13</v>
      </c>
      <c r="D664">
        <v>32058</v>
      </c>
      <c r="E664">
        <v>228000</v>
      </c>
      <c r="F664">
        <v>253312</v>
      </c>
      <c r="G664">
        <v>336154</v>
      </c>
      <c r="H664">
        <v>93.6</v>
      </c>
    </row>
    <row r="665" spans="1:8" x14ac:dyDescent="0.2">
      <c r="A665">
        <v>2011</v>
      </c>
      <c r="B665" s="1" t="s">
        <v>19</v>
      </c>
      <c r="C665" s="1" t="s">
        <v>14</v>
      </c>
      <c r="D665">
        <v>31423</v>
      </c>
      <c r="E665">
        <v>185000</v>
      </c>
      <c r="F665">
        <v>208353</v>
      </c>
      <c r="G665">
        <v>272756</v>
      </c>
      <c r="H665">
        <v>93.6</v>
      </c>
    </row>
    <row r="666" spans="1:8" x14ac:dyDescent="0.2">
      <c r="A666">
        <v>2011</v>
      </c>
      <c r="B666" s="1" t="s">
        <v>20</v>
      </c>
      <c r="C666" s="1" t="s">
        <v>11</v>
      </c>
      <c r="D666">
        <v>22261</v>
      </c>
      <c r="E666">
        <v>272000</v>
      </c>
      <c r="F666">
        <v>326134</v>
      </c>
      <c r="G666">
        <v>401026</v>
      </c>
      <c r="H666">
        <v>93.6</v>
      </c>
    </row>
    <row r="667" spans="1:8" x14ac:dyDescent="0.2">
      <c r="A667">
        <v>2011</v>
      </c>
      <c r="B667" s="1" t="s">
        <v>20</v>
      </c>
      <c r="C667" s="1" t="s">
        <v>12</v>
      </c>
      <c r="D667">
        <v>12552</v>
      </c>
      <c r="E667">
        <v>134000</v>
      </c>
      <c r="F667">
        <v>158372</v>
      </c>
      <c r="G667">
        <v>197564</v>
      </c>
      <c r="H667">
        <v>93.6</v>
      </c>
    </row>
    <row r="668" spans="1:8" x14ac:dyDescent="0.2">
      <c r="A668">
        <v>2011</v>
      </c>
      <c r="B668" s="1" t="s">
        <v>20</v>
      </c>
      <c r="C668" s="1" t="s">
        <v>13</v>
      </c>
      <c r="D668">
        <v>18156</v>
      </c>
      <c r="E668">
        <v>177500</v>
      </c>
      <c r="F668">
        <v>199499</v>
      </c>
      <c r="G668">
        <v>261699</v>
      </c>
      <c r="H668">
        <v>93.6</v>
      </c>
    </row>
    <row r="669" spans="1:8" x14ac:dyDescent="0.2">
      <c r="A669">
        <v>2011</v>
      </c>
      <c r="B669" s="1" t="s">
        <v>20</v>
      </c>
      <c r="C669" s="1" t="s">
        <v>14</v>
      </c>
      <c r="D669">
        <v>21693</v>
      </c>
      <c r="E669">
        <v>156000</v>
      </c>
      <c r="F669">
        <v>177560</v>
      </c>
      <c r="G669">
        <v>230000</v>
      </c>
      <c r="H669">
        <v>93.6</v>
      </c>
    </row>
    <row r="670" spans="1:8" x14ac:dyDescent="0.2">
      <c r="A670">
        <v>2011</v>
      </c>
      <c r="B670" s="1" t="s">
        <v>21</v>
      </c>
      <c r="C670" s="1" t="s">
        <v>11</v>
      </c>
      <c r="D670">
        <v>9040</v>
      </c>
      <c r="E670">
        <v>198000</v>
      </c>
      <c r="F670">
        <v>222234</v>
      </c>
      <c r="G670">
        <v>291923</v>
      </c>
      <c r="H670">
        <v>93.6</v>
      </c>
    </row>
    <row r="671" spans="1:8" x14ac:dyDescent="0.2">
      <c r="A671">
        <v>2011</v>
      </c>
      <c r="B671" s="1" t="s">
        <v>21</v>
      </c>
      <c r="C671" s="1" t="s">
        <v>12</v>
      </c>
      <c r="D671">
        <v>2415</v>
      </c>
      <c r="E671">
        <v>108000</v>
      </c>
      <c r="F671">
        <v>121695</v>
      </c>
      <c r="G671">
        <v>159231</v>
      </c>
      <c r="H671">
        <v>93.6</v>
      </c>
    </row>
    <row r="672" spans="1:8" x14ac:dyDescent="0.2">
      <c r="A672">
        <v>2011</v>
      </c>
      <c r="B672" s="1" t="s">
        <v>21</v>
      </c>
      <c r="C672" s="1" t="s">
        <v>13</v>
      </c>
      <c r="D672">
        <v>9119</v>
      </c>
      <c r="E672">
        <v>125000</v>
      </c>
      <c r="F672">
        <v>137974</v>
      </c>
      <c r="G672">
        <v>184295</v>
      </c>
      <c r="H672">
        <v>93.6</v>
      </c>
    </row>
    <row r="673" spans="1:8" x14ac:dyDescent="0.2">
      <c r="A673">
        <v>2011</v>
      </c>
      <c r="B673" s="1" t="s">
        <v>21</v>
      </c>
      <c r="C673" s="1" t="s">
        <v>14</v>
      </c>
      <c r="D673">
        <v>10091</v>
      </c>
      <c r="E673">
        <v>100000</v>
      </c>
      <c r="F673">
        <v>109872</v>
      </c>
      <c r="G673">
        <v>147436</v>
      </c>
      <c r="H673">
        <v>93.6</v>
      </c>
    </row>
    <row r="674" spans="1:8" x14ac:dyDescent="0.2">
      <c r="A674">
        <v>2011</v>
      </c>
      <c r="B674" s="1" t="s">
        <v>22</v>
      </c>
      <c r="C674" s="1" t="s">
        <v>11</v>
      </c>
      <c r="D674">
        <v>14227</v>
      </c>
      <c r="E674">
        <v>240000</v>
      </c>
      <c r="F674">
        <v>277504</v>
      </c>
      <c r="G674">
        <v>353846</v>
      </c>
      <c r="H674">
        <v>93.6</v>
      </c>
    </row>
    <row r="675" spans="1:8" x14ac:dyDescent="0.2">
      <c r="A675">
        <v>2011</v>
      </c>
      <c r="B675" s="1" t="s">
        <v>22</v>
      </c>
      <c r="C675" s="1" t="s">
        <v>12</v>
      </c>
      <c r="D675">
        <v>6026</v>
      </c>
      <c r="E675">
        <v>100000</v>
      </c>
      <c r="F675">
        <v>112856</v>
      </c>
      <c r="G675">
        <v>147436</v>
      </c>
      <c r="H675">
        <v>93.6</v>
      </c>
    </row>
    <row r="676" spans="1:8" x14ac:dyDescent="0.2">
      <c r="A676">
        <v>2011</v>
      </c>
      <c r="B676" s="1" t="s">
        <v>22</v>
      </c>
      <c r="C676" s="1" t="s">
        <v>13</v>
      </c>
      <c r="D676">
        <v>19338</v>
      </c>
      <c r="E676">
        <v>139000</v>
      </c>
      <c r="F676">
        <v>151407</v>
      </c>
      <c r="G676">
        <v>204936</v>
      </c>
      <c r="H676">
        <v>93.6</v>
      </c>
    </row>
    <row r="677" spans="1:8" x14ac:dyDescent="0.2">
      <c r="A677">
        <v>2011</v>
      </c>
      <c r="B677" s="1" t="s">
        <v>22</v>
      </c>
      <c r="C677" s="1" t="s">
        <v>14</v>
      </c>
      <c r="D677">
        <v>16497</v>
      </c>
      <c r="E677">
        <v>117000</v>
      </c>
      <c r="F677">
        <v>126114</v>
      </c>
      <c r="G677">
        <v>172500</v>
      </c>
      <c r="H677">
        <v>93.6</v>
      </c>
    </row>
    <row r="678" spans="1:8" x14ac:dyDescent="0.2">
      <c r="A678">
        <v>2011</v>
      </c>
      <c r="B678" s="1" t="s">
        <v>23</v>
      </c>
      <c r="C678" s="1" t="s">
        <v>11</v>
      </c>
      <c r="D678">
        <v>12409</v>
      </c>
      <c r="E678">
        <v>218000</v>
      </c>
      <c r="F678">
        <v>252657</v>
      </c>
      <c r="G678">
        <v>321410</v>
      </c>
      <c r="H678">
        <v>93.6</v>
      </c>
    </row>
    <row r="679" spans="1:8" x14ac:dyDescent="0.2">
      <c r="A679">
        <v>2011</v>
      </c>
      <c r="B679" s="1" t="s">
        <v>23</v>
      </c>
      <c r="C679" s="1" t="s">
        <v>12</v>
      </c>
      <c r="D679">
        <v>5026</v>
      </c>
      <c r="E679">
        <v>105450</v>
      </c>
      <c r="F679">
        <v>120172</v>
      </c>
      <c r="G679">
        <v>155471</v>
      </c>
      <c r="H679">
        <v>93.6</v>
      </c>
    </row>
    <row r="680" spans="1:8" x14ac:dyDescent="0.2">
      <c r="A680">
        <v>2011</v>
      </c>
      <c r="B680" s="1" t="s">
        <v>23</v>
      </c>
      <c r="C680" s="1" t="s">
        <v>13</v>
      </c>
      <c r="D680">
        <v>19771</v>
      </c>
      <c r="E680">
        <v>127500</v>
      </c>
      <c r="F680">
        <v>141317</v>
      </c>
      <c r="G680">
        <v>187981</v>
      </c>
      <c r="H680">
        <v>93.6</v>
      </c>
    </row>
    <row r="681" spans="1:8" x14ac:dyDescent="0.2">
      <c r="A681">
        <v>2011</v>
      </c>
      <c r="B681" s="1" t="s">
        <v>23</v>
      </c>
      <c r="C681" s="1" t="s">
        <v>14</v>
      </c>
      <c r="D681">
        <v>18273</v>
      </c>
      <c r="E681">
        <v>100000</v>
      </c>
      <c r="F681">
        <v>114421</v>
      </c>
      <c r="G681">
        <v>147436</v>
      </c>
      <c r="H681">
        <v>93.6</v>
      </c>
    </row>
    <row r="682" spans="1:8" x14ac:dyDescent="0.2">
      <c r="A682">
        <v>2012</v>
      </c>
      <c r="B682" s="1" t="s">
        <v>10</v>
      </c>
      <c r="C682" s="1" t="s">
        <v>11</v>
      </c>
      <c r="D682">
        <v>19795</v>
      </c>
      <c r="E682">
        <v>199999</v>
      </c>
      <c r="F682">
        <v>229687</v>
      </c>
      <c r="G682">
        <v>287499</v>
      </c>
      <c r="H682">
        <v>96</v>
      </c>
    </row>
    <row r="683" spans="1:8" x14ac:dyDescent="0.2">
      <c r="A683">
        <v>2012</v>
      </c>
      <c r="B683" s="1" t="s">
        <v>10</v>
      </c>
      <c r="C683" s="1" t="s">
        <v>12</v>
      </c>
      <c r="D683">
        <v>3144</v>
      </c>
      <c r="E683">
        <v>90000</v>
      </c>
      <c r="F683">
        <v>101374</v>
      </c>
      <c r="G683">
        <v>129375</v>
      </c>
      <c r="H683">
        <v>96</v>
      </c>
    </row>
    <row r="684" spans="1:8" x14ac:dyDescent="0.2">
      <c r="A684">
        <v>2012</v>
      </c>
      <c r="B684" s="1" t="s">
        <v>10</v>
      </c>
      <c r="C684" s="1" t="s">
        <v>13</v>
      </c>
      <c r="D684">
        <v>17767</v>
      </c>
      <c r="E684">
        <v>125000</v>
      </c>
      <c r="F684">
        <v>134524</v>
      </c>
      <c r="G684">
        <v>179688</v>
      </c>
      <c r="H684">
        <v>96</v>
      </c>
    </row>
    <row r="685" spans="1:8" x14ac:dyDescent="0.2">
      <c r="A685">
        <v>2012</v>
      </c>
      <c r="B685" s="1" t="s">
        <v>10</v>
      </c>
      <c r="C685" s="1" t="s">
        <v>14</v>
      </c>
      <c r="D685">
        <v>14034</v>
      </c>
      <c r="E685">
        <v>109000</v>
      </c>
      <c r="F685">
        <v>117447</v>
      </c>
      <c r="G685">
        <v>156688</v>
      </c>
      <c r="H685">
        <v>96</v>
      </c>
    </row>
    <row r="686" spans="1:8" x14ac:dyDescent="0.2">
      <c r="A686">
        <v>2012</v>
      </c>
      <c r="B686" s="1" t="s">
        <v>15</v>
      </c>
      <c r="C686" s="1" t="s">
        <v>11</v>
      </c>
      <c r="D686">
        <v>23996</v>
      </c>
      <c r="E686">
        <v>270000</v>
      </c>
      <c r="F686">
        <v>336471</v>
      </c>
      <c r="G686">
        <v>388125</v>
      </c>
      <c r="H686">
        <v>96</v>
      </c>
    </row>
    <row r="687" spans="1:8" x14ac:dyDescent="0.2">
      <c r="A687">
        <v>2012</v>
      </c>
      <c r="B687" s="1" t="s">
        <v>15</v>
      </c>
      <c r="C687" s="1" t="s">
        <v>12</v>
      </c>
      <c r="D687">
        <v>11652</v>
      </c>
      <c r="E687">
        <v>135000</v>
      </c>
      <c r="F687">
        <v>151430</v>
      </c>
      <c r="G687">
        <v>194062</v>
      </c>
      <c r="H687">
        <v>96</v>
      </c>
    </row>
    <row r="688" spans="1:8" x14ac:dyDescent="0.2">
      <c r="A688">
        <v>2012</v>
      </c>
      <c r="B688" s="1" t="s">
        <v>15</v>
      </c>
      <c r="C688" s="1" t="s">
        <v>13</v>
      </c>
      <c r="D688">
        <v>22322</v>
      </c>
      <c r="E688">
        <v>190000</v>
      </c>
      <c r="F688">
        <v>219530</v>
      </c>
      <c r="G688">
        <v>273125</v>
      </c>
      <c r="H688">
        <v>96</v>
      </c>
    </row>
    <row r="689" spans="1:8" x14ac:dyDescent="0.2">
      <c r="A689">
        <v>2012</v>
      </c>
      <c r="B689" s="1" t="s">
        <v>15</v>
      </c>
      <c r="C689" s="1" t="s">
        <v>14</v>
      </c>
      <c r="D689">
        <v>22763</v>
      </c>
      <c r="E689">
        <v>169995</v>
      </c>
      <c r="F689">
        <v>189297</v>
      </c>
      <c r="G689">
        <v>244368</v>
      </c>
      <c r="H689">
        <v>96</v>
      </c>
    </row>
    <row r="690" spans="1:8" x14ac:dyDescent="0.2">
      <c r="A690">
        <v>2012</v>
      </c>
      <c r="B690" s="1" t="s">
        <v>16</v>
      </c>
      <c r="C690" s="1" t="s">
        <v>11</v>
      </c>
      <c r="D690">
        <v>4514</v>
      </c>
      <c r="E690">
        <v>546250</v>
      </c>
      <c r="F690">
        <v>759950</v>
      </c>
      <c r="G690">
        <v>785234</v>
      </c>
      <c r="H690">
        <v>96</v>
      </c>
    </row>
    <row r="691" spans="1:8" x14ac:dyDescent="0.2">
      <c r="A691">
        <v>2012</v>
      </c>
      <c r="B691" s="1" t="s">
        <v>16</v>
      </c>
      <c r="C691" s="1" t="s">
        <v>12</v>
      </c>
      <c r="D691">
        <v>49428</v>
      </c>
      <c r="E691">
        <v>270000</v>
      </c>
      <c r="F691">
        <v>373539</v>
      </c>
      <c r="G691">
        <v>388125</v>
      </c>
      <c r="H691">
        <v>96</v>
      </c>
    </row>
    <row r="692" spans="1:8" x14ac:dyDescent="0.2">
      <c r="A692">
        <v>2012</v>
      </c>
      <c r="B692" s="1" t="s">
        <v>16</v>
      </c>
      <c r="C692" s="1" t="s">
        <v>13</v>
      </c>
      <c r="D692">
        <v>14027</v>
      </c>
      <c r="E692">
        <v>340000</v>
      </c>
      <c r="F692">
        <v>461767</v>
      </c>
      <c r="G692">
        <v>488750</v>
      </c>
      <c r="H692">
        <v>96</v>
      </c>
    </row>
    <row r="693" spans="1:8" x14ac:dyDescent="0.2">
      <c r="A693">
        <v>2012</v>
      </c>
      <c r="B693" s="1" t="s">
        <v>16</v>
      </c>
      <c r="C693" s="1" t="s">
        <v>14</v>
      </c>
      <c r="D693">
        <v>26442</v>
      </c>
      <c r="E693">
        <v>307500</v>
      </c>
      <c r="F693">
        <v>490026</v>
      </c>
      <c r="G693">
        <v>442031</v>
      </c>
      <c r="H693">
        <v>96</v>
      </c>
    </row>
    <row r="694" spans="1:8" x14ac:dyDescent="0.2">
      <c r="A694">
        <v>2012</v>
      </c>
      <c r="B694" s="1" t="s">
        <v>17</v>
      </c>
      <c r="C694" s="1" t="s">
        <v>11</v>
      </c>
      <c r="D694">
        <v>5175</v>
      </c>
      <c r="E694">
        <v>199995</v>
      </c>
      <c r="F694">
        <v>228435</v>
      </c>
      <c r="G694">
        <v>287493</v>
      </c>
      <c r="H694">
        <v>96</v>
      </c>
    </row>
    <row r="695" spans="1:8" x14ac:dyDescent="0.2">
      <c r="A695">
        <v>2012</v>
      </c>
      <c r="B695" s="1" t="s">
        <v>17</v>
      </c>
      <c r="C695" s="1" t="s">
        <v>12</v>
      </c>
      <c r="D695">
        <v>2671</v>
      </c>
      <c r="E695">
        <v>85950</v>
      </c>
      <c r="F695">
        <v>98127</v>
      </c>
      <c r="G695">
        <v>123553</v>
      </c>
      <c r="H695">
        <v>96</v>
      </c>
    </row>
    <row r="696" spans="1:8" x14ac:dyDescent="0.2">
      <c r="A696">
        <v>2012</v>
      </c>
      <c r="B696" s="1" t="s">
        <v>17</v>
      </c>
      <c r="C696" s="1" t="s">
        <v>13</v>
      </c>
      <c r="D696">
        <v>9026</v>
      </c>
      <c r="E696">
        <v>120000</v>
      </c>
      <c r="F696">
        <v>131420</v>
      </c>
      <c r="G696">
        <v>172500</v>
      </c>
      <c r="H696">
        <v>96</v>
      </c>
    </row>
    <row r="697" spans="1:8" x14ac:dyDescent="0.2">
      <c r="A697">
        <v>2012</v>
      </c>
      <c r="B697" s="1" t="s">
        <v>17</v>
      </c>
      <c r="C697" s="1" t="s">
        <v>14</v>
      </c>
      <c r="D697">
        <v>9234</v>
      </c>
      <c r="E697">
        <v>90000</v>
      </c>
      <c r="F697">
        <v>108303</v>
      </c>
      <c r="G697">
        <v>129375</v>
      </c>
      <c r="H697">
        <v>96</v>
      </c>
    </row>
    <row r="698" spans="1:8" x14ac:dyDescent="0.2">
      <c r="A698">
        <v>2012</v>
      </c>
      <c r="B698" s="1" t="s">
        <v>18</v>
      </c>
      <c r="C698" s="1" t="s">
        <v>11</v>
      </c>
      <c r="D698">
        <v>14117</v>
      </c>
      <c r="E698">
        <v>225000</v>
      </c>
      <c r="F698">
        <v>265273</v>
      </c>
      <c r="G698">
        <v>323438</v>
      </c>
      <c r="H698">
        <v>96</v>
      </c>
    </row>
    <row r="699" spans="1:8" x14ac:dyDescent="0.2">
      <c r="A699">
        <v>2012</v>
      </c>
      <c r="B699" s="1" t="s">
        <v>18</v>
      </c>
      <c r="C699" s="1" t="s">
        <v>12</v>
      </c>
      <c r="D699">
        <v>7404</v>
      </c>
      <c r="E699">
        <v>100000</v>
      </c>
      <c r="F699">
        <v>115105</v>
      </c>
      <c r="G699">
        <v>143750</v>
      </c>
      <c r="H699">
        <v>96</v>
      </c>
    </row>
    <row r="700" spans="1:8" x14ac:dyDescent="0.2">
      <c r="A700">
        <v>2012</v>
      </c>
      <c r="B700" s="1" t="s">
        <v>18</v>
      </c>
      <c r="C700" s="1" t="s">
        <v>13</v>
      </c>
      <c r="D700">
        <v>24525</v>
      </c>
      <c r="E700">
        <v>135000</v>
      </c>
      <c r="F700">
        <v>151397</v>
      </c>
      <c r="G700">
        <v>194062</v>
      </c>
      <c r="H700">
        <v>96</v>
      </c>
    </row>
    <row r="701" spans="1:8" x14ac:dyDescent="0.2">
      <c r="A701">
        <v>2012</v>
      </c>
      <c r="B701" s="1" t="s">
        <v>18</v>
      </c>
      <c r="C701" s="1" t="s">
        <v>14</v>
      </c>
      <c r="D701">
        <v>23791</v>
      </c>
      <c r="E701">
        <v>93000</v>
      </c>
      <c r="F701">
        <v>108097</v>
      </c>
      <c r="G701">
        <v>133688</v>
      </c>
      <c r="H701">
        <v>96</v>
      </c>
    </row>
    <row r="702" spans="1:8" x14ac:dyDescent="0.2">
      <c r="A702">
        <v>2012</v>
      </c>
      <c r="B702" s="1" t="s">
        <v>19</v>
      </c>
      <c r="C702" s="1" t="s">
        <v>11</v>
      </c>
      <c r="D702">
        <v>34359</v>
      </c>
      <c r="E702">
        <v>362000</v>
      </c>
      <c r="F702">
        <v>453560</v>
      </c>
      <c r="G702">
        <v>520375</v>
      </c>
      <c r="H702">
        <v>96</v>
      </c>
    </row>
    <row r="703" spans="1:8" x14ac:dyDescent="0.2">
      <c r="A703">
        <v>2012</v>
      </c>
      <c r="B703" s="1" t="s">
        <v>19</v>
      </c>
      <c r="C703" s="1" t="s">
        <v>12</v>
      </c>
      <c r="D703">
        <v>23726</v>
      </c>
      <c r="E703">
        <v>153000</v>
      </c>
      <c r="F703">
        <v>172221</v>
      </c>
      <c r="G703">
        <v>219938</v>
      </c>
      <c r="H703">
        <v>96</v>
      </c>
    </row>
    <row r="704" spans="1:8" x14ac:dyDescent="0.2">
      <c r="A704">
        <v>2012</v>
      </c>
      <c r="B704" s="1" t="s">
        <v>19</v>
      </c>
      <c r="C704" s="1" t="s">
        <v>13</v>
      </c>
      <c r="D704">
        <v>30939</v>
      </c>
      <c r="E704">
        <v>234500</v>
      </c>
      <c r="F704">
        <v>258938</v>
      </c>
      <c r="G704">
        <v>337094</v>
      </c>
      <c r="H704">
        <v>96</v>
      </c>
    </row>
    <row r="705" spans="1:8" x14ac:dyDescent="0.2">
      <c r="A705">
        <v>2012</v>
      </c>
      <c r="B705" s="1" t="s">
        <v>19</v>
      </c>
      <c r="C705" s="1" t="s">
        <v>14</v>
      </c>
      <c r="D705">
        <v>33858</v>
      </c>
      <c r="E705">
        <v>190000</v>
      </c>
      <c r="F705">
        <v>215455</v>
      </c>
      <c r="G705">
        <v>273125</v>
      </c>
      <c r="H705">
        <v>96</v>
      </c>
    </row>
    <row r="706" spans="1:8" x14ac:dyDescent="0.2">
      <c r="A706">
        <v>2012</v>
      </c>
      <c r="B706" s="1" t="s">
        <v>20</v>
      </c>
      <c r="C706" s="1" t="s">
        <v>11</v>
      </c>
      <c r="D706">
        <v>23129</v>
      </c>
      <c r="E706">
        <v>270000</v>
      </c>
      <c r="F706">
        <v>321613</v>
      </c>
      <c r="G706">
        <v>388125</v>
      </c>
      <c r="H706">
        <v>96</v>
      </c>
    </row>
    <row r="707" spans="1:8" x14ac:dyDescent="0.2">
      <c r="A707">
        <v>2012</v>
      </c>
      <c r="B707" s="1" t="s">
        <v>20</v>
      </c>
      <c r="C707" s="1" t="s">
        <v>12</v>
      </c>
      <c r="D707">
        <v>12371</v>
      </c>
      <c r="E707">
        <v>132000</v>
      </c>
      <c r="F707">
        <v>157686</v>
      </c>
      <c r="G707">
        <v>189750</v>
      </c>
      <c r="H707">
        <v>96</v>
      </c>
    </row>
    <row r="708" spans="1:8" x14ac:dyDescent="0.2">
      <c r="A708">
        <v>2012</v>
      </c>
      <c r="B708" s="1" t="s">
        <v>20</v>
      </c>
      <c r="C708" s="1" t="s">
        <v>13</v>
      </c>
      <c r="D708">
        <v>17881</v>
      </c>
      <c r="E708">
        <v>180000</v>
      </c>
      <c r="F708">
        <v>202981</v>
      </c>
      <c r="G708">
        <v>258750</v>
      </c>
      <c r="H708">
        <v>96</v>
      </c>
    </row>
    <row r="709" spans="1:8" x14ac:dyDescent="0.2">
      <c r="A709">
        <v>2012</v>
      </c>
      <c r="B709" s="1" t="s">
        <v>20</v>
      </c>
      <c r="C709" s="1" t="s">
        <v>14</v>
      </c>
      <c r="D709">
        <v>22767</v>
      </c>
      <c r="E709">
        <v>159000</v>
      </c>
      <c r="F709">
        <v>180651</v>
      </c>
      <c r="G709">
        <v>228562</v>
      </c>
      <c r="H709">
        <v>96</v>
      </c>
    </row>
    <row r="710" spans="1:8" x14ac:dyDescent="0.2">
      <c r="A710">
        <v>2012</v>
      </c>
      <c r="B710" s="1" t="s">
        <v>21</v>
      </c>
      <c r="C710" s="1" t="s">
        <v>11</v>
      </c>
      <c r="D710">
        <v>9386</v>
      </c>
      <c r="E710">
        <v>196748</v>
      </c>
      <c r="F710">
        <v>219874</v>
      </c>
      <c r="G710">
        <v>282825</v>
      </c>
      <c r="H710">
        <v>96</v>
      </c>
    </row>
    <row r="711" spans="1:8" x14ac:dyDescent="0.2">
      <c r="A711">
        <v>2012</v>
      </c>
      <c r="B711" s="1" t="s">
        <v>21</v>
      </c>
      <c r="C711" s="1" t="s">
        <v>12</v>
      </c>
      <c r="D711">
        <v>2396</v>
      </c>
      <c r="E711">
        <v>107000</v>
      </c>
      <c r="F711">
        <v>120741</v>
      </c>
      <c r="G711">
        <v>153812</v>
      </c>
      <c r="H711">
        <v>96</v>
      </c>
    </row>
    <row r="712" spans="1:8" x14ac:dyDescent="0.2">
      <c r="A712">
        <v>2012</v>
      </c>
      <c r="B712" s="1" t="s">
        <v>21</v>
      </c>
      <c r="C712" s="1" t="s">
        <v>13</v>
      </c>
      <c r="D712">
        <v>8895</v>
      </c>
      <c r="E712">
        <v>125000</v>
      </c>
      <c r="F712">
        <v>137632</v>
      </c>
      <c r="G712">
        <v>179688</v>
      </c>
      <c r="H712">
        <v>96</v>
      </c>
    </row>
    <row r="713" spans="1:8" x14ac:dyDescent="0.2">
      <c r="A713">
        <v>2012</v>
      </c>
      <c r="B713" s="1" t="s">
        <v>21</v>
      </c>
      <c r="C713" s="1" t="s">
        <v>14</v>
      </c>
      <c r="D713">
        <v>9969</v>
      </c>
      <c r="E713">
        <v>100000</v>
      </c>
      <c r="F713">
        <v>111368</v>
      </c>
      <c r="G713">
        <v>143750</v>
      </c>
      <c r="H713">
        <v>96</v>
      </c>
    </row>
    <row r="714" spans="1:8" x14ac:dyDescent="0.2">
      <c r="A714">
        <v>2012</v>
      </c>
      <c r="B714" s="1" t="s">
        <v>22</v>
      </c>
      <c r="C714" s="1" t="s">
        <v>11</v>
      </c>
      <c r="D714">
        <v>15256</v>
      </c>
      <c r="E714">
        <v>235500</v>
      </c>
      <c r="F714">
        <v>271360</v>
      </c>
      <c r="G714">
        <v>338531</v>
      </c>
      <c r="H714">
        <v>96</v>
      </c>
    </row>
    <row r="715" spans="1:8" x14ac:dyDescent="0.2">
      <c r="A715">
        <v>2012</v>
      </c>
      <c r="B715" s="1" t="s">
        <v>22</v>
      </c>
      <c r="C715" s="1" t="s">
        <v>12</v>
      </c>
      <c r="D715">
        <v>5921</v>
      </c>
      <c r="E715">
        <v>100000</v>
      </c>
      <c r="F715">
        <v>110778</v>
      </c>
      <c r="G715">
        <v>143750</v>
      </c>
      <c r="H715">
        <v>96</v>
      </c>
    </row>
    <row r="716" spans="1:8" x14ac:dyDescent="0.2">
      <c r="A716">
        <v>2012</v>
      </c>
      <c r="B716" s="1" t="s">
        <v>22</v>
      </c>
      <c r="C716" s="1" t="s">
        <v>13</v>
      </c>
      <c r="D716">
        <v>19240</v>
      </c>
      <c r="E716">
        <v>140000</v>
      </c>
      <c r="F716">
        <v>152626</v>
      </c>
      <c r="G716">
        <v>201250</v>
      </c>
      <c r="H716">
        <v>96</v>
      </c>
    </row>
    <row r="717" spans="1:8" x14ac:dyDescent="0.2">
      <c r="A717">
        <v>2012</v>
      </c>
      <c r="B717" s="1" t="s">
        <v>22</v>
      </c>
      <c r="C717" s="1" t="s">
        <v>14</v>
      </c>
      <c r="D717">
        <v>16287</v>
      </c>
      <c r="E717">
        <v>118000</v>
      </c>
      <c r="F717">
        <v>128619</v>
      </c>
      <c r="G717">
        <v>169625</v>
      </c>
      <c r="H717">
        <v>96</v>
      </c>
    </row>
    <row r="718" spans="1:8" x14ac:dyDescent="0.2">
      <c r="A718">
        <v>2012</v>
      </c>
      <c r="B718" s="1" t="s">
        <v>23</v>
      </c>
      <c r="C718" s="1" t="s">
        <v>11</v>
      </c>
      <c r="D718">
        <v>13193</v>
      </c>
      <c r="E718">
        <v>218000</v>
      </c>
      <c r="F718">
        <v>251018</v>
      </c>
      <c r="G718">
        <v>313375</v>
      </c>
      <c r="H718">
        <v>96</v>
      </c>
    </row>
    <row r="719" spans="1:8" x14ac:dyDescent="0.2">
      <c r="A719">
        <v>2012</v>
      </c>
      <c r="B719" s="1" t="s">
        <v>23</v>
      </c>
      <c r="C719" s="1" t="s">
        <v>12</v>
      </c>
      <c r="D719">
        <v>4843</v>
      </c>
      <c r="E719">
        <v>102500</v>
      </c>
      <c r="F719">
        <v>115145</v>
      </c>
      <c r="G719">
        <v>147344</v>
      </c>
      <c r="H719">
        <v>96</v>
      </c>
    </row>
    <row r="720" spans="1:8" x14ac:dyDescent="0.2">
      <c r="A720">
        <v>2012</v>
      </c>
      <c r="B720" s="1" t="s">
        <v>23</v>
      </c>
      <c r="C720" s="1" t="s">
        <v>13</v>
      </c>
      <c r="D720">
        <v>19775</v>
      </c>
      <c r="E720">
        <v>125000</v>
      </c>
      <c r="F720">
        <v>141699</v>
      </c>
      <c r="G720">
        <v>179688</v>
      </c>
      <c r="H720">
        <v>96</v>
      </c>
    </row>
    <row r="721" spans="1:8" x14ac:dyDescent="0.2">
      <c r="A721">
        <v>2012</v>
      </c>
      <c r="B721" s="1" t="s">
        <v>23</v>
      </c>
      <c r="C721" s="1" t="s">
        <v>14</v>
      </c>
      <c r="D721">
        <v>18283</v>
      </c>
      <c r="E721">
        <v>104000</v>
      </c>
      <c r="F721">
        <v>116886</v>
      </c>
      <c r="G721">
        <v>149500</v>
      </c>
      <c r="H721">
        <v>96</v>
      </c>
    </row>
    <row r="722" spans="1:8" x14ac:dyDescent="0.2">
      <c r="A722">
        <v>2013</v>
      </c>
      <c r="B722" s="1" t="s">
        <v>10</v>
      </c>
      <c r="C722" s="1" t="s">
        <v>11</v>
      </c>
      <c r="D722">
        <v>24193</v>
      </c>
      <c r="E722">
        <v>204000</v>
      </c>
      <c r="F722">
        <v>232373</v>
      </c>
      <c r="G722">
        <v>286680</v>
      </c>
      <c r="H722">
        <v>98.2</v>
      </c>
    </row>
    <row r="723" spans="1:8" x14ac:dyDescent="0.2">
      <c r="A723">
        <v>2013</v>
      </c>
      <c r="B723" s="1" t="s">
        <v>10</v>
      </c>
      <c r="C723" s="1" t="s">
        <v>12</v>
      </c>
      <c r="D723">
        <v>3685</v>
      </c>
      <c r="E723">
        <v>92000</v>
      </c>
      <c r="F723">
        <v>101064</v>
      </c>
      <c r="G723">
        <v>129287</v>
      </c>
      <c r="H723">
        <v>98.2</v>
      </c>
    </row>
    <row r="724" spans="1:8" x14ac:dyDescent="0.2">
      <c r="A724">
        <v>2013</v>
      </c>
      <c r="B724" s="1" t="s">
        <v>10</v>
      </c>
      <c r="C724" s="1" t="s">
        <v>13</v>
      </c>
      <c r="D724">
        <v>20926</v>
      </c>
      <c r="E724">
        <v>127000</v>
      </c>
      <c r="F724">
        <v>138475</v>
      </c>
      <c r="G724">
        <v>178473</v>
      </c>
      <c r="H724">
        <v>98.2</v>
      </c>
    </row>
    <row r="725" spans="1:8" x14ac:dyDescent="0.2">
      <c r="A725">
        <v>2013</v>
      </c>
      <c r="B725" s="1" t="s">
        <v>10</v>
      </c>
      <c r="C725" s="1" t="s">
        <v>14</v>
      </c>
      <c r="D725">
        <v>16553</v>
      </c>
      <c r="E725">
        <v>111000</v>
      </c>
      <c r="F725">
        <v>120808</v>
      </c>
      <c r="G725">
        <v>155988</v>
      </c>
      <c r="H725">
        <v>98.2</v>
      </c>
    </row>
    <row r="726" spans="1:8" x14ac:dyDescent="0.2">
      <c r="A726">
        <v>2013</v>
      </c>
      <c r="B726" s="1" t="s">
        <v>15</v>
      </c>
      <c r="C726" s="1" t="s">
        <v>11</v>
      </c>
      <c r="D726">
        <v>28603</v>
      </c>
      <c r="E726">
        <v>276000</v>
      </c>
      <c r="F726">
        <v>345852</v>
      </c>
      <c r="G726">
        <v>387862</v>
      </c>
      <c r="H726">
        <v>98.2</v>
      </c>
    </row>
    <row r="727" spans="1:8" x14ac:dyDescent="0.2">
      <c r="A727">
        <v>2013</v>
      </c>
      <c r="B727" s="1" t="s">
        <v>15</v>
      </c>
      <c r="C727" s="1" t="s">
        <v>12</v>
      </c>
      <c r="D727">
        <v>14538</v>
      </c>
      <c r="E727">
        <v>140000</v>
      </c>
      <c r="F727">
        <v>161458</v>
      </c>
      <c r="G727">
        <v>196741</v>
      </c>
      <c r="H727">
        <v>98.2</v>
      </c>
    </row>
    <row r="728" spans="1:8" x14ac:dyDescent="0.2">
      <c r="A728">
        <v>2013</v>
      </c>
      <c r="B728" s="1" t="s">
        <v>15</v>
      </c>
      <c r="C728" s="1" t="s">
        <v>13</v>
      </c>
      <c r="D728">
        <v>25573</v>
      </c>
      <c r="E728">
        <v>198500</v>
      </c>
      <c r="F728">
        <v>227595</v>
      </c>
      <c r="G728">
        <v>278951</v>
      </c>
      <c r="H728">
        <v>98.2</v>
      </c>
    </row>
    <row r="729" spans="1:8" x14ac:dyDescent="0.2">
      <c r="A729">
        <v>2013</v>
      </c>
      <c r="B729" s="1" t="s">
        <v>15</v>
      </c>
      <c r="C729" s="1" t="s">
        <v>14</v>
      </c>
      <c r="D729">
        <v>26888</v>
      </c>
      <c r="E729">
        <v>174000</v>
      </c>
      <c r="F729">
        <v>195321</v>
      </c>
      <c r="G729">
        <v>244521</v>
      </c>
      <c r="H729">
        <v>98.2</v>
      </c>
    </row>
    <row r="730" spans="1:8" x14ac:dyDescent="0.2">
      <c r="A730">
        <v>2013</v>
      </c>
      <c r="B730" s="1" t="s">
        <v>16</v>
      </c>
      <c r="C730" s="1" t="s">
        <v>11</v>
      </c>
      <c r="D730">
        <v>5405</v>
      </c>
      <c r="E730">
        <v>569995</v>
      </c>
      <c r="F730">
        <v>821067</v>
      </c>
      <c r="G730">
        <v>801011</v>
      </c>
      <c r="H730">
        <v>98.2</v>
      </c>
    </row>
    <row r="731" spans="1:8" x14ac:dyDescent="0.2">
      <c r="A731">
        <v>2013</v>
      </c>
      <c r="B731" s="1" t="s">
        <v>16</v>
      </c>
      <c r="C731" s="1" t="s">
        <v>12</v>
      </c>
      <c r="D731">
        <v>60240</v>
      </c>
      <c r="E731">
        <v>292402</v>
      </c>
      <c r="F731">
        <v>406170</v>
      </c>
      <c r="G731">
        <v>410912</v>
      </c>
      <c r="H731">
        <v>98.2</v>
      </c>
    </row>
    <row r="732" spans="1:8" x14ac:dyDescent="0.2">
      <c r="A732">
        <v>2013</v>
      </c>
      <c r="B732" s="1" t="s">
        <v>16</v>
      </c>
      <c r="C732" s="1" t="s">
        <v>13</v>
      </c>
      <c r="D732">
        <v>15799</v>
      </c>
      <c r="E732">
        <v>363000</v>
      </c>
      <c r="F732">
        <v>494312</v>
      </c>
      <c r="G732">
        <v>510122</v>
      </c>
      <c r="H732">
        <v>98.2</v>
      </c>
    </row>
    <row r="733" spans="1:8" x14ac:dyDescent="0.2">
      <c r="A733">
        <v>2013</v>
      </c>
      <c r="B733" s="1" t="s">
        <v>16</v>
      </c>
      <c r="C733" s="1" t="s">
        <v>14</v>
      </c>
      <c r="D733">
        <v>29877</v>
      </c>
      <c r="E733">
        <v>325000</v>
      </c>
      <c r="F733">
        <v>536727</v>
      </c>
      <c r="G733">
        <v>456721</v>
      </c>
      <c r="H733">
        <v>98.2</v>
      </c>
    </row>
    <row r="734" spans="1:8" x14ac:dyDescent="0.2">
      <c r="A734">
        <v>2013</v>
      </c>
      <c r="B734" s="1" t="s">
        <v>17</v>
      </c>
      <c r="C734" s="1" t="s">
        <v>11</v>
      </c>
      <c r="D734">
        <v>6308</v>
      </c>
      <c r="E734">
        <v>200000</v>
      </c>
      <c r="F734">
        <v>230090</v>
      </c>
      <c r="G734">
        <v>281059</v>
      </c>
      <c r="H734">
        <v>98.2</v>
      </c>
    </row>
    <row r="735" spans="1:8" x14ac:dyDescent="0.2">
      <c r="A735">
        <v>2013</v>
      </c>
      <c r="B735" s="1" t="s">
        <v>17</v>
      </c>
      <c r="C735" s="1" t="s">
        <v>12</v>
      </c>
      <c r="D735">
        <v>3148</v>
      </c>
      <c r="E735">
        <v>87000</v>
      </c>
      <c r="F735">
        <v>98114</v>
      </c>
      <c r="G735">
        <v>122261</v>
      </c>
      <c r="H735">
        <v>98.2</v>
      </c>
    </row>
    <row r="736" spans="1:8" x14ac:dyDescent="0.2">
      <c r="A736">
        <v>2013</v>
      </c>
      <c r="B736" s="1" t="s">
        <v>17</v>
      </c>
      <c r="C736" s="1" t="s">
        <v>13</v>
      </c>
      <c r="D736">
        <v>10294</v>
      </c>
      <c r="E736">
        <v>123000</v>
      </c>
      <c r="F736">
        <v>132043</v>
      </c>
      <c r="G736">
        <v>172851</v>
      </c>
      <c r="H736">
        <v>98.2</v>
      </c>
    </row>
    <row r="737" spans="1:8" x14ac:dyDescent="0.2">
      <c r="A737">
        <v>2013</v>
      </c>
      <c r="B737" s="1" t="s">
        <v>17</v>
      </c>
      <c r="C737" s="1" t="s">
        <v>14</v>
      </c>
      <c r="D737">
        <v>10293</v>
      </c>
      <c r="E737">
        <v>92500</v>
      </c>
      <c r="F737">
        <v>109322</v>
      </c>
      <c r="G737">
        <v>129990</v>
      </c>
      <c r="H737">
        <v>98.2</v>
      </c>
    </row>
    <row r="738" spans="1:8" x14ac:dyDescent="0.2">
      <c r="A738">
        <v>2013</v>
      </c>
      <c r="B738" s="1" t="s">
        <v>18</v>
      </c>
      <c r="C738" s="1" t="s">
        <v>11</v>
      </c>
      <c r="D738">
        <v>17488</v>
      </c>
      <c r="E738">
        <v>230000</v>
      </c>
      <c r="F738">
        <v>270451</v>
      </c>
      <c r="G738">
        <v>323218</v>
      </c>
      <c r="H738">
        <v>98.2</v>
      </c>
    </row>
    <row r="739" spans="1:8" x14ac:dyDescent="0.2">
      <c r="A739">
        <v>2013</v>
      </c>
      <c r="B739" s="1" t="s">
        <v>18</v>
      </c>
      <c r="C739" s="1" t="s">
        <v>12</v>
      </c>
      <c r="D739">
        <v>9404</v>
      </c>
      <c r="E739">
        <v>100000</v>
      </c>
      <c r="F739">
        <v>115434</v>
      </c>
      <c r="G739">
        <v>140530</v>
      </c>
      <c r="H739">
        <v>98.2</v>
      </c>
    </row>
    <row r="740" spans="1:8" x14ac:dyDescent="0.2">
      <c r="A740">
        <v>2013</v>
      </c>
      <c r="B740" s="1" t="s">
        <v>18</v>
      </c>
      <c r="C740" s="1" t="s">
        <v>13</v>
      </c>
      <c r="D740">
        <v>29479</v>
      </c>
      <c r="E740">
        <v>137500</v>
      </c>
      <c r="F740">
        <v>153819</v>
      </c>
      <c r="G740">
        <v>193228</v>
      </c>
      <c r="H740">
        <v>98.2</v>
      </c>
    </row>
    <row r="741" spans="1:8" x14ac:dyDescent="0.2">
      <c r="A741">
        <v>2013</v>
      </c>
      <c r="B741" s="1" t="s">
        <v>18</v>
      </c>
      <c r="C741" s="1" t="s">
        <v>14</v>
      </c>
      <c r="D741">
        <v>28111</v>
      </c>
      <c r="E741">
        <v>95000</v>
      </c>
      <c r="F741">
        <v>109823</v>
      </c>
      <c r="G741">
        <v>133503</v>
      </c>
      <c r="H741">
        <v>98.2</v>
      </c>
    </row>
    <row r="742" spans="1:8" x14ac:dyDescent="0.2">
      <c r="A742">
        <v>2013</v>
      </c>
      <c r="B742" s="1" t="s">
        <v>19</v>
      </c>
      <c r="C742" s="1" t="s">
        <v>11</v>
      </c>
      <c r="D742">
        <v>39465</v>
      </c>
      <c r="E742">
        <v>375000</v>
      </c>
      <c r="F742">
        <v>468099</v>
      </c>
      <c r="G742">
        <v>526986</v>
      </c>
      <c r="H742">
        <v>98.2</v>
      </c>
    </row>
    <row r="743" spans="1:8" x14ac:dyDescent="0.2">
      <c r="A743">
        <v>2013</v>
      </c>
      <c r="B743" s="1" t="s">
        <v>19</v>
      </c>
      <c r="C743" s="1" t="s">
        <v>12</v>
      </c>
      <c r="D743">
        <v>29236</v>
      </c>
      <c r="E743">
        <v>158000</v>
      </c>
      <c r="F743">
        <v>176017</v>
      </c>
      <c r="G743">
        <v>222037</v>
      </c>
      <c r="H743">
        <v>98.2</v>
      </c>
    </row>
    <row r="744" spans="1:8" x14ac:dyDescent="0.2">
      <c r="A744">
        <v>2013</v>
      </c>
      <c r="B744" s="1" t="s">
        <v>19</v>
      </c>
      <c r="C744" s="1" t="s">
        <v>13</v>
      </c>
      <c r="D744">
        <v>35759</v>
      </c>
      <c r="E744">
        <v>243000</v>
      </c>
      <c r="F744">
        <v>270751</v>
      </c>
      <c r="G744">
        <v>341487</v>
      </c>
      <c r="H744">
        <v>98.2</v>
      </c>
    </row>
    <row r="745" spans="1:8" x14ac:dyDescent="0.2">
      <c r="A745">
        <v>2013</v>
      </c>
      <c r="B745" s="1" t="s">
        <v>19</v>
      </c>
      <c r="C745" s="1" t="s">
        <v>14</v>
      </c>
      <c r="D745">
        <v>40331</v>
      </c>
      <c r="E745">
        <v>200000</v>
      </c>
      <c r="F745">
        <v>224122</v>
      </c>
      <c r="G745">
        <v>281059</v>
      </c>
      <c r="H745">
        <v>98.2</v>
      </c>
    </row>
    <row r="746" spans="1:8" x14ac:dyDescent="0.2">
      <c r="A746">
        <v>2013</v>
      </c>
      <c r="B746" s="1" t="s">
        <v>20</v>
      </c>
      <c r="C746" s="1" t="s">
        <v>11</v>
      </c>
      <c r="D746">
        <v>26983</v>
      </c>
      <c r="E746">
        <v>275000</v>
      </c>
      <c r="F746">
        <v>327083</v>
      </c>
      <c r="G746">
        <v>386456</v>
      </c>
      <c r="H746">
        <v>98.2</v>
      </c>
    </row>
    <row r="747" spans="1:8" x14ac:dyDescent="0.2">
      <c r="A747">
        <v>2013</v>
      </c>
      <c r="B747" s="1" t="s">
        <v>20</v>
      </c>
      <c r="C747" s="1" t="s">
        <v>12</v>
      </c>
      <c r="D747">
        <v>14958</v>
      </c>
      <c r="E747">
        <v>135972</v>
      </c>
      <c r="F747">
        <v>160358</v>
      </c>
      <c r="G747">
        <v>191082</v>
      </c>
      <c r="H747">
        <v>98.2</v>
      </c>
    </row>
    <row r="748" spans="1:8" x14ac:dyDescent="0.2">
      <c r="A748">
        <v>2013</v>
      </c>
      <c r="B748" s="1" t="s">
        <v>20</v>
      </c>
      <c r="C748" s="1" t="s">
        <v>13</v>
      </c>
      <c r="D748">
        <v>20856</v>
      </c>
      <c r="E748">
        <v>184995</v>
      </c>
      <c r="F748">
        <v>206975</v>
      </c>
      <c r="G748">
        <v>259973</v>
      </c>
      <c r="H748">
        <v>98.2</v>
      </c>
    </row>
    <row r="749" spans="1:8" x14ac:dyDescent="0.2">
      <c r="A749">
        <v>2013</v>
      </c>
      <c r="B749" s="1" t="s">
        <v>20</v>
      </c>
      <c r="C749" s="1" t="s">
        <v>14</v>
      </c>
      <c r="D749">
        <v>27107</v>
      </c>
      <c r="E749">
        <v>161000</v>
      </c>
      <c r="F749">
        <v>183498</v>
      </c>
      <c r="G749">
        <v>226253</v>
      </c>
      <c r="H749">
        <v>98.2</v>
      </c>
    </row>
    <row r="750" spans="1:8" x14ac:dyDescent="0.2">
      <c r="A750">
        <v>2013</v>
      </c>
      <c r="B750" s="1" t="s">
        <v>21</v>
      </c>
      <c r="C750" s="1" t="s">
        <v>11</v>
      </c>
      <c r="D750">
        <v>11240</v>
      </c>
      <c r="E750">
        <v>200000</v>
      </c>
      <c r="F750">
        <v>221998</v>
      </c>
      <c r="G750">
        <v>281059</v>
      </c>
      <c r="H750">
        <v>98.2</v>
      </c>
    </row>
    <row r="751" spans="1:8" x14ac:dyDescent="0.2">
      <c r="A751">
        <v>2013</v>
      </c>
      <c r="B751" s="1" t="s">
        <v>21</v>
      </c>
      <c r="C751" s="1" t="s">
        <v>12</v>
      </c>
      <c r="D751">
        <v>2715</v>
      </c>
      <c r="E751">
        <v>106000</v>
      </c>
      <c r="F751">
        <v>116929</v>
      </c>
      <c r="G751">
        <v>148961</v>
      </c>
      <c r="H751">
        <v>98.2</v>
      </c>
    </row>
    <row r="752" spans="1:8" x14ac:dyDescent="0.2">
      <c r="A752">
        <v>2013</v>
      </c>
      <c r="B752" s="1" t="s">
        <v>21</v>
      </c>
      <c r="C752" s="1" t="s">
        <v>13</v>
      </c>
      <c r="D752">
        <v>10777</v>
      </c>
      <c r="E752">
        <v>125000</v>
      </c>
      <c r="F752">
        <v>138275</v>
      </c>
      <c r="G752">
        <v>175662</v>
      </c>
      <c r="H752">
        <v>98.2</v>
      </c>
    </row>
    <row r="753" spans="1:8" x14ac:dyDescent="0.2">
      <c r="A753">
        <v>2013</v>
      </c>
      <c r="B753" s="1" t="s">
        <v>21</v>
      </c>
      <c r="C753" s="1" t="s">
        <v>14</v>
      </c>
      <c r="D753">
        <v>11620</v>
      </c>
      <c r="E753">
        <v>100000</v>
      </c>
      <c r="F753">
        <v>113619</v>
      </c>
      <c r="G753">
        <v>140530</v>
      </c>
      <c r="H753">
        <v>98.2</v>
      </c>
    </row>
    <row r="754" spans="1:8" x14ac:dyDescent="0.2">
      <c r="A754">
        <v>2013</v>
      </c>
      <c r="B754" s="1" t="s">
        <v>22</v>
      </c>
      <c r="C754" s="1" t="s">
        <v>11</v>
      </c>
      <c r="D754">
        <v>18315</v>
      </c>
      <c r="E754">
        <v>240000</v>
      </c>
      <c r="F754">
        <v>276248</v>
      </c>
      <c r="G754">
        <v>337271</v>
      </c>
      <c r="H754">
        <v>98.2</v>
      </c>
    </row>
    <row r="755" spans="1:8" x14ac:dyDescent="0.2">
      <c r="A755">
        <v>2013</v>
      </c>
      <c r="B755" s="1" t="s">
        <v>22</v>
      </c>
      <c r="C755" s="1" t="s">
        <v>12</v>
      </c>
      <c r="D755">
        <v>7018</v>
      </c>
      <c r="E755">
        <v>105000</v>
      </c>
      <c r="F755">
        <v>115583</v>
      </c>
      <c r="G755">
        <v>147556</v>
      </c>
      <c r="H755">
        <v>98.2</v>
      </c>
    </row>
    <row r="756" spans="1:8" x14ac:dyDescent="0.2">
      <c r="A756">
        <v>2013</v>
      </c>
      <c r="B756" s="1" t="s">
        <v>22</v>
      </c>
      <c r="C756" s="1" t="s">
        <v>13</v>
      </c>
      <c r="D756">
        <v>22355</v>
      </c>
      <c r="E756">
        <v>143000</v>
      </c>
      <c r="F756">
        <v>156288</v>
      </c>
      <c r="G756">
        <v>200957</v>
      </c>
      <c r="H756">
        <v>98.2</v>
      </c>
    </row>
    <row r="757" spans="1:8" x14ac:dyDescent="0.2">
      <c r="A757">
        <v>2013</v>
      </c>
      <c r="B757" s="1" t="s">
        <v>22</v>
      </c>
      <c r="C757" s="1" t="s">
        <v>14</v>
      </c>
      <c r="D757">
        <v>19257</v>
      </c>
      <c r="E757">
        <v>120000</v>
      </c>
      <c r="F757">
        <v>132553</v>
      </c>
      <c r="G757">
        <v>168635</v>
      </c>
      <c r="H757">
        <v>98.2</v>
      </c>
    </row>
    <row r="758" spans="1:8" x14ac:dyDescent="0.2">
      <c r="A758">
        <v>2013</v>
      </c>
      <c r="B758" s="1" t="s">
        <v>23</v>
      </c>
      <c r="C758" s="1" t="s">
        <v>11</v>
      </c>
      <c r="D758">
        <v>15905</v>
      </c>
      <c r="E758">
        <v>220000</v>
      </c>
      <c r="F758">
        <v>250625</v>
      </c>
      <c r="G758">
        <v>309165</v>
      </c>
      <c r="H758">
        <v>98.2</v>
      </c>
    </row>
    <row r="759" spans="1:8" x14ac:dyDescent="0.2">
      <c r="A759">
        <v>2013</v>
      </c>
      <c r="B759" s="1" t="s">
        <v>23</v>
      </c>
      <c r="C759" s="1" t="s">
        <v>12</v>
      </c>
      <c r="D759">
        <v>5688</v>
      </c>
      <c r="E759">
        <v>102000</v>
      </c>
      <c r="F759">
        <v>116257</v>
      </c>
      <c r="G759">
        <v>143340</v>
      </c>
      <c r="H759">
        <v>98.2</v>
      </c>
    </row>
    <row r="760" spans="1:8" x14ac:dyDescent="0.2">
      <c r="A760">
        <v>2013</v>
      </c>
      <c r="B760" s="1" t="s">
        <v>23</v>
      </c>
      <c r="C760" s="1" t="s">
        <v>13</v>
      </c>
      <c r="D760">
        <v>23302</v>
      </c>
      <c r="E760">
        <v>130000</v>
      </c>
      <c r="F760">
        <v>144760</v>
      </c>
      <c r="G760">
        <v>182688</v>
      </c>
      <c r="H760">
        <v>98.2</v>
      </c>
    </row>
    <row r="761" spans="1:8" x14ac:dyDescent="0.2">
      <c r="A761">
        <v>2013</v>
      </c>
      <c r="B761" s="1" t="s">
        <v>23</v>
      </c>
      <c r="C761" s="1" t="s">
        <v>14</v>
      </c>
      <c r="D761">
        <v>21709</v>
      </c>
      <c r="E761">
        <v>105000</v>
      </c>
      <c r="F761">
        <v>119112</v>
      </c>
      <c r="G761">
        <v>147556</v>
      </c>
      <c r="H761">
        <v>98.2</v>
      </c>
    </row>
    <row r="762" spans="1:8" x14ac:dyDescent="0.2">
      <c r="A762">
        <v>2014</v>
      </c>
      <c r="B762" s="1" t="s">
        <v>10</v>
      </c>
      <c r="C762" s="1" t="s">
        <v>11</v>
      </c>
      <c r="D762">
        <v>28666</v>
      </c>
      <c r="E762">
        <v>219950</v>
      </c>
      <c r="F762">
        <v>247120</v>
      </c>
      <c r="G762">
        <v>304750</v>
      </c>
      <c r="H762">
        <v>99.6</v>
      </c>
    </row>
    <row r="763" spans="1:8" x14ac:dyDescent="0.2">
      <c r="A763">
        <v>2014</v>
      </c>
      <c r="B763" s="1" t="s">
        <v>10</v>
      </c>
      <c r="C763" s="1" t="s">
        <v>12</v>
      </c>
      <c r="D763">
        <v>4949</v>
      </c>
      <c r="E763">
        <v>97700</v>
      </c>
      <c r="F763">
        <v>108729</v>
      </c>
      <c r="G763">
        <v>135367</v>
      </c>
      <c r="H763">
        <v>99.6</v>
      </c>
    </row>
    <row r="764" spans="1:8" x14ac:dyDescent="0.2">
      <c r="A764">
        <v>2014</v>
      </c>
      <c r="B764" s="1" t="s">
        <v>10</v>
      </c>
      <c r="C764" s="1" t="s">
        <v>13</v>
      </c>
      <c r="D764">
        <v>24251</v>
      </c>
      <c r="E764">
        <v>136000</v>
      </c>
      <c r="F764">
        <v>147444</v>
      </c>
      <c r="G764">
        <v>188434</v>
      </c>
      <c r="H764">
        <v>99.6</v>
      </c>
    </row>
    <row r="765" spans="1:8" x14ac:dyDescent="0.2">
      <c r="A765">
        <v>2014</v>
      </c>
      <c r="B765" s="1" t="s">
        <v>10</v>
      </c>
      <c r="C765" s="1" t="s">
        <v>14</v>
      </c>
      <c r="D765">
        <v>20339</v>
      </c>
      <c r="E765">
        <v>119400</v>
      </c>
      <c r="F765">
        <v>128295</v>
      </c>
      <c r="G765">
        <v>165434</v>
      </c>
      <c r="H765">
        <v>99.6</v>
      </c>
    </row>
    <row r="766" spans="1:8" x14ac:dyDescent="0.2">
      <c r="A766">
        <v>2014</v>
      </c>
      <c r="B766" s="1" t="s">
        <v>15</v>
      </c>
      <c r="C766" s="1" t="s">
        <v>11</v>
      </c>
      <c r="D766">
        <v>33058</v>
      </c>
      <c r="E766">
        <v>300000</v>
      </c>
      <c r="F766">
        <v>371094</v>
      </c>
      <c r="G766">
        <v>415663</v>
      </c>
      <c r="H766">
        <v>99.6</v>
      </c>
    </row>
    <row r="767" spans="1:8" x14ac:dyDescent="0.2">
      <c r="A767">
        <v>2014</v>
      </c>
      <c r="B767" s="1" t="s">
        <v>15</v>
      </c>
      <c r="C767" s="1" t="s">
        <v>12</v>
      </c>
      <c r="D767">
        <v>18828</v>
      </c>
      <c r="E767">
        <v>150000</v>
      </c>
      <c r="F767">
        <v>171219</v>
      </c>
      <c r="G767">
        <v>207831</v>
      </c>
      <c r="H767">
        <v>99.6</v>
      </c>
    </row>
    <row r="768" spans="1:8" x14ac:dyDescent="0.2">
      <c r="A768">
        <v>2014</v>
      </c>
      <c r="B768" s="1" t="s">
        <v>15</v>
      </c>
      <c r="C768" s="1" t="s">
        <v>13</v>
      </c>
      <c r="D768">
        <v>28838</v>
      </c>
      <c r="E768">
        <v>216538</v>
      </c>
      <c r="F768">
        <v>246088</v>
      </c>
      <c r="G768">
        <v>300022</v>
      </c>
      <c r="H768">
        <v>99.6</v>
      </c>
    </row>
    <row r="769" spans="1:8" x14ac:dyDescent="0.2">
      <c r="A769">
        <v>2014</v>
      </c>
      <c r="B769" s="1" t="s">
        <v>15</v>
      </c>
      <c r="C769" s="1" t="s">
        <v>14</v>
      </c>
      <c r="D769">
        <v>31645</v>
      </c>
      <c r="E769">
        <v>185000</v>
      </c>
      <c r="F769">
        <v>212610</v>
      </c>
      <c r="G769">
        <v>256325</v>
      </c>
      <c r="H769">
        <v>99.6</v>
      </c>
    </row>
    <row r="770" spans="1:8" x14ac:dyDescent="0.2">
      <c r="A770">
        <v>2014</v>
      </c>
      <c r="B770" s="1" t="s">
        <v>16</v>
      </c>
      <c r="C770" s="1" t="s">
        <v>11</v>
      </c>
      <c r="D770">
        <v>5652</v>
      </c>
      <c r="E770">
        <v>635000</v>
      </c>
      <c r="F770">
        <v>907769</v>
      </c>
      <c r="G770">
        <v>879819</v>
      </c>
      <c r="H770">
        <v>99.6</v>
      </c>
    </row>
    <row r="771" spans="1:8" x14ac:dyDescent="0.2">
      <c r="A771">
        <v>2014</v>
      </c>
      <c r="B771" s="1" t="s">
        <v>16</v>
      </c>
      <c r="C771" s="1" t="s">
        <v>12</v>
      </c>
      <c r="D771">
        <v>66579</v>
      </c>
      <c r="E771">
        <v>330000</v>
      </c>
      <c r="F771">
        <v>456397</v>
      </c>
      <c r="G771">
        <v>457229</v>
      </c>
      <c r="H771">
        <v>99.6</v>
      </c>
    </row>
    <row r="772" spans="1:8" x14ac:dyDescent="0.2">
      <c r="A772">
        <v>2014</v>
      </c>
      <c r="B772" s="1" t="s">
        <v>16</v>
      </c>
      <c r="C772" s="1" t="s">
        <v>13</v>
      </c>
      <c r="D772">
        <v>15529</v>
      </c>
      <c r="E772">
        <v>415000</v>
      </c>
      <c r="F772">
        <v>553303</v>
      </c>
      <c r="G772">
        <v>575000</v>
      </c>
      <c r="H772">
        <v>99.6</v>
      </c>
    </row>
    <row r="773" spans="1:8" x14ac:dyDescent="0.2">
      <c r="A773">
        <v>2014</v>
      </c>
      <c r="B773" s="1" t="s">
        <v>16</v>
      </c>
      <c r="C773" s="1" t="s">
        <v>14</v>
      </c>
      <c r="D773">
        <v>30862</v>
      </c>
      <c r="E773">
        <v>375000</v>
      </c>
      <c r="F773">
        <v>589568</v>
      </c>
      <c r="G773">
        <v>519578</v>
      </c>
      <c r="H773">
        <v>99.6</v>
      </c>
    </row>
    <row r="774" spans="1:8" x14ac:dyDescent="0.2">
      <c r="A774">
        <v>2014</v>
      </c>
      <c r="B774" s="1" t="s">
        <v>17</v>
      </c>
      <c r="C774" s="1" t="s">
        <v>11</v>
      </c>
      <c r="D774">
        <v>7822</v>
      </c>
      <c r="E774">
        <v>209495</v>
      </c>
      <c r="F774">
        <v>238646</v>
      </c>
      <c r="G774">
        <v>290264</v>
      </c>
      <c r="H774">
        <v>99.6</v>
      </c>
    </row>
    <row r="775" spans="1:8" x14ac:dyDescent="0.2">
      <c r="A775">
        <v>2014</v>
      </c>
      <c r="B775" s="1" t="s">
        <v>17</v>
      </c>
      <c r="C775" s="1" t="s">
        <v>12</v>
      </c>
      <c r="D775">
        <v>3895</v>
      </c>
      <c r="E775">
        <v>90000</v>
      </c>
      <c r="F775">
        <v>101319</v>
      </c>
      <c r="G775">
        <v>124699</v>
      </c>
      <c r="H775">
        <v>99.6</v>
      </c>
    </row>
    <row r="776" spans="1:8" x14ac:dyDescent="0.2">
      <c r="A776">
        <v>2014</v>
      </c>
      <c r="B776" s="1" t="s">
        <v>17</v>
      </c>
      <c r="C776" s="1" t="s">
        <v>13</v>
      </c>
      <c r="D776">
        <v>11926</v>
      </c>
      <c r="E776">
        <v>127000</v>
      </c>
      <c r="F776">
        <v>138807</v>
      </c>
      <c r="G776">
        <v>175964</v>
      </c>
      <c r="H776">
        <v>99.6</v>
      </c>
    </row>
    <row r="777" spans="1:8" x14ac:dyDescent="0.2">
      <c r="A777">
        <v>2014</v>
      </c>
      <c r="B777" s="1" t="s">
        <v>17</v>
      </c>
      <c r="C777" s="1" t="s">
        <v>14</v>
      </c>
      <c r="D777">
        <v>11728</v>
      </c>
      <c r="E777">
        <v>95948</v>
      </c>
      <c r="F777">
        <v>114028</v>
      </c>
      <c r="G777">
        <v>132939</v>
      </c>
      <c r="H777">
        <v>99.6</v>
      </c>
    </row>
    <row r="778" spans="1:8" x14ac:dyDescent="0.2">
      <c r="A778">
        <v>2014</v>
      </c>
      <c r="B778" s="1" t="s">
        <v>18</v>
      </c>
      <c r="C778" s="1" t="s">
        <v>11</v>
      </c>
      <c r="D778">
        <v>21366</v>
      </c>
      <c r="E778">
        <v>236995</v>
      </c>
      <c r="F778">
        <v>279321</v>
      </c>
      <c r="G778">
        <v>328367</v>
      </c>
      <c r="H778">
        <v>99.6</v>
      </c>
    </row>
    <row r="779" spans="1:8" x14ac:dyDescent="0.2">
      <c r="A779">
        <v>2014</v>
      </c>
      <c r="B779" s="1" t="s">
        <v>18</v>
      </c>
      <c r="C779" s="1" t="s">
        <v>12</v>
      </c>
      <c r="D779">
        <v>11909</v>
      </c>
      <c r="E779">
        <v>108000</v>
      </c>
      <c r="F779">
        <v>121279</v>
      </c>
      <c r="G779">
        <v>149639</v>
      </c>
      <c r="H779">
        <v>99.6</v>
      </c>
    </row>
    <row r="780" spans="1:8" x14ac:dyDescent="0.2">
      <c r="A780">
        <v>2014</v>
      </c>
      <c r="B780" s="1" t="s">
        <v>18</v>
      </c>
      <c r="C780" s="1" t="s">
        <v>13</v>
      </c>
      <c r="D780">
        <v>34677</v>
      </c>
      <c r="E780">
        <v>143250</v>
      </c>
      <c r="F780">
        <v>161297</v>
      </c>
      <c r="G780">
        <v>198479</v>
      </c>
      <c r="H780">
        <v>99.6</v>
      </c>
    </row>
    <row r="781" spans="1:8" x14ac:dyDescent="0.2">
      <c r="A781">
        <v>2014</v>
      </c>
      <c r="B781" s="1" t="s">
        <v>18</v>
      </c>
      <c r="C781" s="1" t="s">
        <v>14</v>
      </c>
      <c r="D781">
        <v>33511</v>
      </c>
      <c r="E781">
        <v>100000</v>
      </c>
      <c r="F781">
        <v>114975</v>
      </c>
      <c r="G781">
        <v>138554</v>
      </c>
      <c r="H781">
        <v>99.6</v>
      </c>
    </row>
    <row r="782" spans="1:8" x14ac:dyDescent="0.2">
      <c r="A782">
        <v>2014</v>
      </c>
      <c r="B782" s="1" t="s">
        <v>19</v>
      </c>
      <c r="C782" s="1" t="s">
        <v>11</v>
      </c>
      <c r="D782">
        <v>43662</v>
      </c>
      <c r="E782">
        <v>407000</v>
      </c>
      <c r="F782">
        <v>504487</v>
      </c>
      <c r="G782">
        <v>563916</v>
      </c>
      <c r="H782">
        <v>99.6</v>
      </c>
    </row>
    <row r="783" spans="1:8" x14ac:dyDescent="0.2">
      <c r="A783">
        <v>2014</v>
      </c>
      <c r="B783" s="1" t="s">
        <v>19</v>
      </c>
      <c r="C783" s="1" t="s">
        <v>12</v>
      </c>
      <c r="D783">
        <v>38291</v>
      </c>
      <c r="E783">
        <v>169000</v>
      </c>
      <c r="F783">
        <v>188749</v>
      </c>
      <c r="G783">
        <v>234157</v>
      </c>
      <c r="H783">
        <v>99.6</v>
      </c>
    </row>
    <row r="784" spans="1:8" x14ac:dyDescent="0.2">
      <c r="A784">
        <v>2014</v>
      </c>
      <c r="B784" s="1" t="s">
        <v>19</v>
      </c>
      <c r="C784" s="1" t="s">
        <v>13</v>
      </c>
      <c r="D784">
        <v>38531</v>
      </c>
      <c r="E784">
        <v>262500</v>
      </c>
      <c r="F784">
        <v>296703</v>
      </c>
      <c r="G784">
        <v>363705</v>
      </c>
      <c r="H784">
        <v>99.6</v>
      </c>
    </row>
    <row r="785" spans="1:8" x14ac:dyDescent="0.2">
      <c r="A785">
        <v>2014</v>
      </c>
      <c r="B785" s="1" t="s">
        <v>19</v>
      </c>
      <c r="C785" s="1" t="s">
        <v>14</v>
      </c>
      <c r="D785">
        <v>46369</v>
      </c>
      <c r="E785">
        <v>220000</v>
      </c>
      <c r="F785">
        <v>244616</v>
      </c>
      <c r="G785">
        <v>304819</v>
      </c>
      <c r="H785">
        <v>99.6</v>
      </c>
    </row>
    <row r="786" spans="1:8" x14ac:dyDescent="0.2">
      <c r="A786">
        <v>2014</v>
      </c>
      <c r="B786" s="1" t="s">
        <v>20</v>
      </c>
      <c r="C786" s="1" t="s">
        <v>11</v>
      </c>
      <c r="D786">
        <v>30899</v>
      </c>
      <c r="E786">
        <v>295000</v>
      </c>
      <c r="F786">
        <v>346091</v>
      </c>
      <c r="G786">
        <v>408735</v>
      </c>
      <c r="H786">
        <v>99.6</v>
      </c>
    </row>
    <row r="787" spans="1:8" x14ac:dyDescent="0.2">
      <c r="A787">
        <v>2014</v>
      </c>
      <c r="B787" s="1" t="s">
        <v>20</v>
      </c>
      <c r="C787" s="1" t="s">
        <v>12</v>
      </c>
      <c r="D787">
        <v>19293</v>
      </c>
      <c r="E787">
        <v>142000</v>
      </c>
      <c r="F787">
        <v>169065</v>
      </c>
      <c r="G787">
        <v>196747</v>
      </c>
      <c r="H787">
        <v>99.6</v>
      </c>
    </row>
    <row r="788" spans="1:8" x14ac:dyDescent="0.2">
      <c r="A788">
        <v>2014</v>
      </c>
      <c r="B788" s="1" t="s">
        <v>20</v>
      </c>
      <c r="C788" s="1" t="s">
        <v>13</v>
      </c>
      <c r="D788">
        <v>23538</v>
      </c>
      <c r="E788">
        <v>195000</v>
      </c>
      <c r="F788">
        <v>219205</v>
      </c>
      <c r="G788">
        <v>270181</v>
      </c>
      <c r="H788">
        <v>99.6</v>
      </c>
    </row>
    <row r="789" spans="1:8" x14ac:dyDescent="0.2">
      <c r="A789">
        <v>2014</v>
      </c>
      <c r="B789" s="1" t="s">
        <v>20</v>
      </c>
      <c r="C789" s="1" t="s">
        <v>14</v>
      </c>
      <c r="D789">
        <v>31648</v>
      </c>
      <c r="E789">
        <v>171000</v>
      </c>
      <c r="F789">
        <v>195505</v>
      </c>
      <c r="G789">
        <v>236928</v>
      </c>
      <c r="H789">
        <v>99.6</v>
      </c>
    </row>
    <row r="790" spans="1:8" x14ac:dyDescent="0.2">
      <c r="A790">
        <v>2014</v>
      </c>
      <c r="B790" s="1" t="s">
        <v>21</v>
      </c>
      <c r="C790" s="1" t="s">
        <v>11</v>
      </c>
      <c r="D790">
        <v>12973</v>
      </c>
      <c r="E790">
        <v>210000</v>
      </c>
      <c r="F790">
        <v>231099</v>
      </c>
      <c r="G790">
        <v>290964</v>
      </c>
      <c r="H790">
        <v>99.6</v>
      </c>
    </row>
    <row r="791" spans="1:8" x14ac:dyDescent="0.2">
      <c r="A791">
        <v>2014</v>
      </c>
      <c r="B791" s="1" t="s">
        <v>21</v>
      </c>
      <c r="C791" s="1" t="s">
        <v>12</v>
      </c>
      <c r="D791">
        <v>3728</v>
      </c>
      <c r="E791">
        <v>114500</v>
      </c>
      <c r="F791">
        <v>124945</v>
      </c>
      <c r="G791">
        <v>158645</v>
      </c>
      <c r="H791">
        <v>99.6</v>
      </c>
    </row>
    <row r="792" spans="1:8" x14ac:dyDescent="0.2">
      <c r="A792">
        <v>2014</v>
      </c>
      <c r="B792" s="1" t="s">
        <v>21</v>
      </c>
      <c r="C792" s="1" t="s">
        <v>13</v>
      </c>
      <c r="D792">
        <v>12130</v>
      </c>
      <c r="E792">
        <v>130000</v>
      </c>
      <c r="F792">
        <v>143870</v>
      </c>
      <c r="G792">
        <v>180120</v>
      </c>
      <c r="H792">
        <v>99.6</v>
      </c>
    </row>
    <row r="793" spans="1:8" x14ac:dyDescent="0.2">
      <c r="A793">
        <v>2014</v>
      </c>
      <c r="B793" s="1" t="s">
        <v>21</v>
      </c>
      <c r="C793" s="1" t="s">
        <v>14</v>
      </c>
      <c r="D793">
        <v>13495</v>
      </c>
      <c r="E793">
        <v>106000</v>
      </c>
      <c r="F793">
        <v>118944</v>
      </c>
      <c r="G793">
        <v>146867</v>
      </c>
      <c r="H793">
        <v>99.6</v>
      </c>
    </row>
    <row r="794" spans="1:8" x14ac:dyDescent="0.2">
      <c r="A794">
        <v>2014</v>
      </c>
      <c r="B794" s="1" t="s">
        <v>22</v>
      </c>
      <c r="C794" s="1" t="s">
        <v>11</v>
      </c>
      <c r="D794">
        <v>21427</v>
      </c>
      <c r="E794">
        <v>249995</v>
      </c>
      <c r="F794">
        <v>293108</v>
      </c>
      <c r="G794">
        <v>346379</v>
      </c>
      <c r="H794">
        <v>99.6</v>
      </c>
    </row>
    <row r="795" spans="1:8" x14ac:dyDescent="0.2">
      <c r="A795">
        <v>2014</v>
      </c>
      <c r="B795" s="1" t="s">
        <v>22</v>
      </c>
      <c r="C795" s="1" t="s">
        <v>12</v>
      </c>
      <c r="D795">
        <v>9011</v>
      </c>
      <c r="E795">
        <v>110000</v>
      </c>
      <c r="F795">
        <v>122867</v>
      </c>
      <c r="G795">
        <v>152410</v>
      </c>
      <c r="H795">
        <v>99.6</v>
      </c>
    </row>
    <row r="796" spans="1:8" x14ac:dyDescent="0.2">
      <c r="A796">
        <v>2014</v>
      </c>
      <c r="B796" s="1" t="s">
        <v>22</v>
      </c>
      <c r="C796" s="1" t="s">
        <v>13</v>
      </c>
      <c r="D796">
        <v>25952</v>
      </c>
      <c r="E796">
        <v>150000</v>
      </c>
      <c r="F796">
        <v>164919</v>
      </c>
      <c r="G796">
        <v>207831</v>
      </c>
      <c r="H796">
        <v>99.6</v>
      </c>
    </row>
    <row r="797" spans="1:8" x14ac:dyDescent="0.2">
      <c r="A797">
        <v>2014</v>
      </c>
      <c r="B797" s="1" t="s">
        <v>22</v>
      </c>
      <c r="C797" s="1" t="s">
        <v>14</v>
      </c>
      <c r="D797">
        <v>23178</v>
      </c>
      <c r="E797">
        <v>125000</v>
      </c>
      <c r="F797">
        <v>139712</v>
      </c>
      <c r="G797">
        <v>173193</v>
      </c>
      <c r="H797">
        <v>99.6</v>
      </c>
    </row>
    <row r="798" spans="1:8" x14ac:dyDescent="0.2">
      <c r="A798">
        <v>2014</v>
      </c>
      <c r="B798" s="1" t="s">
        <v>23</v>
      </c>
      <c r="C798" s="1" t="s">
        <v>11</v>
      </c>
      <c r="D798">
        <v>18843</v>
      </c>
      <c r="E798">
        <v>230000</v>
      </c>
      <c r="F798">
        <v>261652</v>
      </c>
      <c r="G798">
        <v>318675</v>
      </c>
      <c r="H798">
        <v>99.6</v>
      </c>
    </row>
    <row r="799" spans="1:8" x14ac:dyDescent="0.2">
      <c r="A799">
        <v>2014</v>
      </c>
      <c r="B799" s="1" t="s">
        <v>23</v>
      </c>
      <c r="C799" s="1" t="s">
        <v>12</v>
      </c>
      <c r="D799">
        <v>7288</v>
      </c>
      <c r="E799">
        <v>105410</v>
      </c>
      <c r="F799">
        <v>119541</v>
      </c>
      <c r="G799">
        <v>146050</v>
      </c>
      <c r="H799">
        <v>99.6</v>
      </c>
    </row>
    <row r="800" spans="1:8" x14ac:dyDescent="0.2">
      <c r="A800">
        <v>2014</v>
      </c>
      <c r="B800" s="1" t="s">
        <v>23</v>
      </c>
      <c r="C800" s="1" t="s">
        <v>13</v>
      </c>
      <c r="D800">
        <v>27141</v>
      </c>
      <c r="E800">
        <v>135000</v>
      </c>
      <c r="F800">
        <v>150043</v>
      </c>
      <c r="G800">
        <v>187048</v>
      </c>
      <c r="H800">
        <v>99.6</v>
      </c>
    </row>
    <row r="801" spans="1:8" x14ac:dyDescent="0.2">
      <c r="A801">
        <v>2014</v>
      </c>
      <c r="B801" s="1" t="s">
        <v>23</v>
      </c>
      <c r="C801" s="1" t="s">
        <v>14</v>
      </c>
      <c r="D801">
        <v>25620</v>
      </c>
      <c r="E801">
        <v>111950</v>
      </c>
      <c r="F801">
        <v>124924</v>
      </c>
      <c r="G801">
        <v>155111</v>
      </c>
      <c r="H801">
        <v>99.6</v>
      </c>
    </row>
    <row r="802" spans="1:8" x14ac:dyDescent="0.2">
      <c r="A802">
        <v>2015</v>
      </c>
      <c r="B802" s="1" t="s">
        <v>10</v>
      </c>
      <c r="C802" s="1" t="s">
        <v>11</v>
      </c>
      <c r="D802">
        <v>29066</v>
      </c>
      <c r="E802">
        <v>235000</v>
      </c>
      <c r="F802">
        <v>264583</v>
      </c>
      <c r="G802">
        <v>324300</v>
      </c>
      <c r="H802">
        <v>100</v>
      </c>
    </row>
    <row r="803" spans="1:8" x14ac:dyDescent="0.2">
      <c r="A803">
        <v>2015</v>
      </c>
      <c r="B803" s="1" t="s">
        <v>10</v>
      </c>
      <c r="C803" s="1" t="s">
        <v>12</v>
      </c>
      <c r="D803">
        <v>4994</v>
      </c>
      <c r="E803">
        <v>105000</v>
      </c>
      <c r="F803">
        <v>115239</v>
      </c>
      <c r="G803">
        <v>144900</v>
      </c>
      <c r="H803">
        <v>100</v>
      </c>
    </row>
    <row r="804" spans="1:8" x14ac:dyDescent="0.2">
      <c r="A804">
        <v>2015</v>
      </c>
      <c r="B804" s="1" t="s">
        <v>10</v>
      </c>
      <c r="C804" s="1" t="s">
        <v>13</v>
      </c>
      <c r="D804">
        <v>24117</v>
      </c>
      <c r="E804">
        <v>145000</v>
      </c>
      <c r="F804">
        <v>156292</v>
      </c>
      <c r="G804">
        <v>200100</v>
      </c>
      <c r="H804">
        <v>100</v>
      </c>
    </row>
    <row r="805" spans="1:8" x14ac:dyDescent="0.2">
      <c r="A805">
        <v>2015</v>
      </c>
      <c r="B805" s="1" t="s">
        <v>10</v>
      </c>
      <c r="C805" s="1" t="s">
        <v>14</v>
      </c>
      <c r="D805">
        <v>20451</v>
      </c>
      <c r="E805">
        <v>123500</v>
      </c>
      <c r="F805">
        <v>133514</v>
      </c>
      <c r="G805">
        <v>170430</v>
      </c>
      <c r="H805">
        <v>100</v>
      </c>
    </row>
    <row r="806" spans="1:8" x14ac:dyDescent="0.2">
      <c r="A806">
        <v>2015</v>
      </c>
      <c r="B806" s="1" t="s">
        <v>15</v>
      </c>
      <c r="C806" s="1" t="s">
        <v>11</v>
      </c>
      <c r="D806">
        <v>32483</v>
      </c>
      <c r="E806">
        <v>330000</v>
      </c>
      <c r="F806">
        <v>400956</v>
      </c>
      <c r="G806">
        <v>455400</v>
      </c>
      <c r="H806">
        <v>100</v>
      </c>
    </row>
    <row r="807" spans="1:8" x14ac:dyDescent="0.2">
      <c r="A807">
        <v>2015</v>
      </c>
      <c r="B807" s="1" t="s">
        <v>15</v>
      </c>
      <c r="C807" s="1" t="s">
        <v>12</v>
      </c>
      <c r="D807">
        <v>19012</v>
      </c>
      <c r="E807">
        <v>160000</v>
      </c>
      <c r="F807">
        <v>182267</v>
      </c>
      <c r="G807">
        <v>220800</v>
      </c>
      <c r="H807">
        <v>100</v>
      </c>
    </row>
    <row r="808" spans="1:8" x14ac:dyDescent="0.2">
      <c r="A808">
        <v>2015</v>
      </c>
      <c r="B808" s="1" t="s">
        <v>15</v>
      </c>
      <c r="C808" s="1" t="s">
        <v>13</v>
      </c>
      <c r="D808">
        <v>27334</v>
      </c>
      <c r="E808">
        <v>240000</v>
      </c>
      <c r="F808">
        <v>270775</v>
      </c>
      <c r="G808">
        <v>331200</v>
      </c>
      <c r="H808">
        <v>100</v>
      </c>
    </row>
    <row r="809" spans="1:8" x14ac:dyDescent="0.2">
      <c r="A809">
        <v>2015</v>
      </c>
      <c r="B809" s="1" t="s">
        <v>15</v>
      </c>
      <c r="C809" s="1" t="s">
        <v>14</v>
      </c>
      <c r="D809">
        <v>30809</v>
      </c>
      <c r="E809">
        <v>210000</v>
      </c>
      <c r="F809">
        <v>234490</v>
      </c>
      <c r="G809">
        <v>289800</v>
      </c>
      <c r="H809">
        <v>100</v>
      </c>
    </row>
    <row r="810" spans="1:8" x14ac:dyDescent="0.2">
      <c r="A810">
        <v>2015</v>
      </c>
      <c r="B810" s="1" t="s">
        <v>16</v>
      </c>
      <c r="C810" s="1" t="s">
        <v>11</v>
      </c>
      <c r="D810">
        <v>5322</v>
      </c>
      <c r="E810">
        <v>690000</v>
      </c>
      <c r="F810">
        <v>928739</v>
      </c>
      <c r="G810">
        <v>952200</v>
      </c>
      <c r="H810">
        <v>100</v>
      </c>
    </row>
    <row r="811" spans="1:8" x14ac:dyDescent="0.2">
      <c r="A811">
        <v>2015</v>
      </c>
      <c r="B811" s="1" t="s">
        <v>16</v>
      </c>
      <c r="C811" s="1" t="s">
        <v>12</v>
      </c>
      <c r="D811">
        <v>63336</v>
      </c>
      <c r="E811">
        <v>365000</v>
      </c>
      <c r="F811">
        <v>474894</v>
      </c>
      <c r="G811">
        <v>503700</v>
      </c>
      <c r="H811">
        <v>100</v>
      </c>
    </row>
    <row r="812" spans="1:8" x14ac:dyDescent="0.2">
      <c r="A812">
        <v>2015</v>
      </c>
      <c r="B812" s="1" t="s">
        <v>16</v>
      </c>
      <c r="C812" s="1" t="s">
        <v>13</v>
      </c>
      <c r="D812">
        <v>15105</v>
      </c>
      <c r="E812">
        <v>457500</v>
      </c>
      <c r="F812">
        <v>590675</v>
      </c>
      <c r="G812">
        <v>631350</v>
      </c>
      <c r="H812">
        <v>100</v>
      </c>
    </row>
    <row r="813" spans="1:8" x14ac:dyDescent="0.2">
      <c r="A813">
        <v>2015</v>
      </c>
      <c r="B813" s="1" t="s">
        <v>16</v>
      </c>
      <c r="C813" s="1" t="s">
        <v>14</v>
      </c>
      <c r="D813">
        <v>29664</v>
      </c>
      <c r="E813">
        <v>420000</v>
      </c>
      <c r="F813">
        <v>604378</v>
      </c>
      <c r="G813">
        <v>579600</v>
      </c>
      <c r="H813">
        <v>100</v>
      </c>
    </row>
    <row r="814" spans="1:8" x14ac:dyDescent="0.2">
      <c r="A814">
        <v>2015</v>
      </c>
      <c r="B814" s="1" t="s">
        <v>17</v>
      </c>
      <c r="C814" s="1" t="s">
        <v>11</v>
      </c>
      <c r="D814">
        <v>8367</v>
      </c>
      <c r="E814">
        <v>215995</v>
      </c>
      <c r="F814">
        <v>244963</v>
      </c>
      <c r="G814">
        <v>298073</v>
      </c>
      <c r="H814">
        <v>100</v>
      </c>
    </row>
    <row r="815" spans="1:8" x14ac:dyDescent="0.2">
      <c r="A815">
        <v>2015</v>
      </c>
      <c r="B815" s="1" t="s">
        <v>17</v>
      </c>
      <c r="C815" s="1" t="s">
        <v>12</v>
      </c>
      <c r="D815">
        <v>3820</v>
      </c>
      <c r="E815">
        <v>92500</v>
      </c>
      <c r="F815">
        <v>106635</v>
      </c>
      <c r="G815">
        <v>127650</v>
      </c>
      <c r="H815">
        <v>100</v>
      </c>
    </row>
    <row r="816" spans="1:8" x14ac:dyDescent="0.2">
      <c r="A816">
        <v>2015</v>
      </c>
      <c r="B816" s="1" t="s">
        <v>17</v>
      </c>
      <c r="C816" s="1" t="s">
        <v>13</v>
      </c>
      <c r="D816">
        <v>12159</v>
      </c>
      <c r="E816">
        <v>130000</v>
      </c>
      <c r="F816">
        <v>142458</v>
      </c>
      <c r="G816">
        <v>179400</v>
      </c>
      <c r="H816">
        <v>100</v>
      </c>
    </row>
    <row r="817" spans="1:8" x14ac:dyDescent="0.2">
      <c r="A817">
        <v>2015</v>
      </c>
      <c r="B817" s="1" t="s">
        <v>17</v>
      </c>
      <c r="C817" s="1" t="s">
        <v>14</v>
      </c>
      <c r="D817">
        <v>11819</v>
      </c>
      <c r="E817">
        <v>96995</v>
      </c>
      <c r="F817">
        <v>115425</v>
      </c>
      <c r="G817">
        <v>133853</v>
      </c>
      <c r="H817">
        <v>100</v>
      </c>
    </row>
    <row r="818" spans="1:8" x14ac:dyDescent="0.2">
      <c r="A818">
        <v>2015</v>
      </c>
      <c r="B818" s="1" t="s">
        <v>18</v>
      </c>
      <c r="C818" s="1" t="s">
        <v>11</v>
      </c>
      <c r="D818">
        <v>22799</v>
      </c>
      <c r="E818">
        <v>247750</v>
      </c>
      <c r="F818">
        <v>290473</v>
      </c>
      <c r="G818">
        <v>341895</v>
      </c>
      <c r="H818">
        <v>100</v>
      </c>
    </row>
    <row r="819" spans="1:8" x14ac:dyDescent="0.2">
      <c r="A819">
        <v>2015</v>
      </c>
      <c r="B819" s="1" t="s">
        <v>18</v>
      </c>
      <c r="C819" s="1" t="s">
        <v>12</v>
      </c>
      <c r="D819">
        <v>13270</v>
      </c>
      <c r="E819">
        <v>115000</v>
      </c>
      <c r="F819">
        <v>128094</v>
      </c>
      <c r="G819">
        <v>158700</v>
      </c>
      <c r="H819">
        <v>100</v>
      </c>
    </row>
    <row r="820" spans="1:8" x14ac:dyDescent="0.2">
      <c r="A820">
        <v>2015</v>
      </c>
      <c r="B820" s="1" t="s">
        <v>18</v>
      </c>
      <c r="C820" s="1" t="s">
        <v>13</v>
      </c>
      <c r="D820">
        <v>35771</v>
      </c>
      <c r="E820">
        <v>148500</v>
      </c>
      <c r="F820">
        <v>166975</v>
      </c>
      <c r="G820">
        <v>204930</v>
      </c>
      <c r="H820">
        <v>100</v>
      </c>
    </row>
    <row r="821" spans="1:8" x14ac:dyDescent="0.2">
      <c r="A821">
        <v>2015</v>
      </c>
      <c r="B821" s="1" t="s">
        <v>18</v>
      </c>
      <c r="C821" s="1" t="s">
        <v>14</v>
      </c>
      <c r="D821">
        <v>34807</v>
      </c>
      <c r="E821">
        <v>105000</v>
      </c>
      <c r="F821">
        <v>120040</v>
      </c>
      <c r="G821">
        <v>144900</v>
      </c>
      <c r="H821">
        <v>100</v>
      </c>
    </row>
    <row r="822" spans="1:8" x14ac:dyDescent="0.2">
      <c r="A822">
        <v>2015</v>
      </c>
      <c r="B822" s="1" t="s">
        <v>19</v>
      </c>
      <c r="C822" s="1" t="s">
        <v>11</v>
      </c>
      <c r="D822">
        <v>43098</v>
      </c>
      <c r="E822">
        <v>430000</v>
      </c>
      <c r="F822">
        <v>525282</v>
      </c>
      <c r="G822">
        <v>593400</v>
      </c>
      <c r="H822">
        <v>100</v>
      </c>
    </row>
    <row r="823" spans="1:8" x14ac:dyDescent="0.2">
      <c r="A823">
        <v>2015</v>
      </c>
      <c r="B823" s="1" t="s">
        <v>19</v>
      </c>
      <c r="C823" s="1" t="s">
        <v>12</v>
      </c>
      <c r="D823">
        <v>38258</v>
      </c>
      <c r="E823">
        <v>180000</v>
      </c>
      <c r="F823">
        <v>203326</v>
      </c>
      <c r="G823">
        <v>248400</v>
      </c>
      <c r="H823">
        <v>100</v>
      </c>
    </row>
    <row r="824" spans="1:8" x14ac:dyDescent="0.2">
      <c r="A824">
        <v>2015</v>
      </c>
      <c r="B824" s="1" t="s">
        <v>19</v>
      </c>
      <c r="C824" s="1" t="s">
        <v>13</v>
      </c>
      <c r="D824">
        <v>37579</v>
      </c>
      <c r="E824">
        <v>287000</v>
      </c>
      <c r="F824">
        <v>319458</v>
      </c>
      <c r="G824">
        <v>396060</v>
      </c>
      <c r="H824">
        <v>100</v>
      </c>
    </row>
    <row r="825" spans="1:8" x14ac:dyDescent="0.2">
      <c r="A825">
        <v>2015</v>
      </c>
      <c r="B825" s="1" t="s">
        <v>19</v>
      </c>
      <c r="C825" s="1" t="s">
        <v>14</v>
      </c>
      <c r="D825">
        <v>44635</v>
      </c>
      <c r="E825">
        <v>240000</v>
      </c>
      <c r="F825">
        <v>266008</v>
      </c>
      <c r="G825">
        <v>331200</v>
      </c>
      <c r="H825">
        <v>100</v>
      </c>
    </row>
    <row r="826" spans="1:8" x14ac:dyDescent="0.2">
      <c r="A826">
        <v>2015</v>
      </c>
      <c r="B826" s="1" t="s">
        <v>20</v>
      </c>
      <c r="C826" s="1" t="s">
        <v>11</v>
      </c>
      <c r="D826">
        <v>31606</v>
      </c>
      <c r="E826">
        <v>313000</v>
      </c>
      <c r="F826">
        <v>361392</v>
      </c>
      <c r="G826">
        <v>431940</v>
      </c>
      <c r="H826">
        <v>100</v>
      </c>
    </row>
    <row r="827" spans="1:8" x14ac:dyDescent="0.2">
      <c r="A827">
        <v>2015</v>
      </c>
      <c r="B827" s="1" t="s">
        <v>20</v>
      </c>
      <c r="C827" s="1" t="s">
        <v>12</v>
      </c>
      <c r="D827">
        <v>19653</v>
      </c>
      <c r="E827">
        <v>149000</v>
      </c>
      <c r="F827">
        <v>176603</v>
      </c>
      <c r="G827">
        <v>205620</v>
      </c>
      <c r="H827">
        <v>100</v>
      </c>
    </row>
    <row r="828" spans="1:8" x14ac:dyDescent="0.2">
      <c r="A828">
        <v>2015</v>
      </c>
      <c r="B828" s="1" t="s">
        <v>20</v>
      </c>
      <c r="C828" s="1" t="s">
        <v>13</v>
      </c>
      <c r="D828">
        <v>23236</v>
      </c>
      <c r="E828">
        <v>210000</v>
      </c>
      <c r="F828">
        <v>230929</v>
      </c>
      <c r="G828">
        <v>289800</v>
      </c>
      <c r="H828">
        <v>100</v>
      </c>
    </row>
    <row r="829" spans="1:8" x14ac:dyDescent="0.2">
      <c r="A829">
        <v>2015</v>
      </c>
      <c r="B829" s="1" t="s">
        <v>20</v>
      </c>
      <c r="C829" s="1" t="s">
        <v>14</v>
      </c>
      <c r="D829">
        <v>31358</v>
      </c>
      <c r="E829">
        <v>182000</v>
      </c>
      <c r="F829">
        <v>208191</v>
      </c>
      <c r="G829">
        <v>251160</v>
      </c>
      <c r="H829">
        <v>100</v>
      </c>
    </row>
    <row r="830" spans="1:8" x14ac:dyDescent="0.2">
      <c r="A830">
        <v>2015</v>
      </c>
      <c r="B830" s="1" t="s">
        <v>21</v>
      </c>
      <c r="C830" s="1" t="s">
        <v>11</v>
      </c>
      <c r="D830">
        <v>13621</v>
      </c>
      <c r="E830">
        <v>215000</v>
      </c>
      <c r="F830">
        <v>237579</v>
      </c>
      <c r="G830">
        <v>296700</v>
      </c>
      <c r="H830">
        <v>100</v>
      </c>
    </row>
    <row r="831" spans="1:8" x14ac:dyDescent="0.2">
      <c r="A831">
        <v>2015</v>
      </c>
      <c r="B831" s="1" t="s">
        <v>21</v>
      </c>
      <c r="C831" s="1" t="s">
        <v>12</v>
      </c>
      <c r="D831">
        <v>3583</v>
      </c>
      <c r="E831">
        <v>115000</v>
      </c>
      <c r="F831">
        <v>126360</v>
      </c>
      <c r="G831">
        <v>158700</v>
      </c>
      <c r="H831">
        <v>100</v>
      </c>
    </row>
    <row r="832" spans="1:8" x14ac:dyDescent="0.2">
      <c r="A832">
        <v>2015</v>
      </c>
      <c r="B832" s="1" t="s">
        <v>21</v>
      </c>
      <c r="C832" s="1" t="s">
        <v>13</v>
      </c>
      <c r="D832">
        <v>12386</v>
      </c>
      <c r="E832">
        <v>135000</v>
      </c>
      <c r="F832">
        <v>147465</v>
      </c>
      <c r="G832">
        <v>186300</v>
      </c>
      <c r="H832">
        <v>100</v>
      </c>
    </row>
    <row r="833" spans="1:8" x14ac:dyDescent="0.2">
      <c r="A833">
        <v>2015</v>
      </c>
      <c r="B833" s="1" t="s">
        <v>21</v>
      </c>
      <c r="C833" s="1" t="s">
        <v>14</v>
      </c>
      <c r="D833">
        <v>14019</v>
      </c>
      <c r="E833">
        <v>109000</v>
      </c>
      <c r="F833">
        <v>121467</v>
      </c>
      <c r="G833">
        <v>150420</v>
      </c>
      <c r="H833">
        <v>100</v>
      </c>
    </row>
    <row r="834" spans="1:8" x14ac:dyDescent="0.2">
      <c r="A834">
        <v>2015</v>
      </c>
      <c r="B834" s="1" t="s">
        <v>22</v>
      </c>
      <c r="C834" s="1" t="s">
        <v>11</v>
      </c>
      <c r="D834">
        <v>22537</v>
      </c>
      <c r="E834">
        <v>266000</v>
      </c>
      <c r="F834">
        <v>306524</v>
      </c>
      <c r="G834">
        <v>367080</v>
      </c>
      <c r="H834">
        <v>100</v>
      </c>
    </row>
    <row r="835" spans="1:8" x14ac:dyDescent="0.2">
      <c r="A835">
        <v>2015</v>
      </c>
      <c r="B835" s="1" t="s">
        <v>22</v>
      </c>
      <c r="C835" s="1" t="s">
        <v>12</v>
      </c>
      <c r="D835">
        <v>9045</v>
      </c>
      <c r="E835">
        <v>115000</v>
      </c>
      <c r="F835">
        <v>131427</v>
      </c>
      <c r="G835">
        <v>158700</v>
      </c>
      <c r="H835">
        <v>100</v>
      </c>
    </row>
    <row r="836" spans="1:8" x14ac:dyDescent="0.2">
      <c r="A836">
        <v>2015</v>
      </c>
      <c r="B836" s="1" t="s">
        <v>22</v>
      </c>
      <c r="C836" s="1" t="s">
        <v>13</v>
      </c>
      <c r="D836">
        <v>26443</v>
      </c>
      <c r="E836">
        <v>156500</v>
      </c>
      <c r="F836">
        <v>171891</v>
      </c>
      <c r="G836">
        <v>215970</v>
      </c>
      <c r="H836">
        <v>100</v>
      </c>
    </row>
    <row r="837" spans="1:8" x14ac:dyDescent="0.2">
      <c r="A837">
        <v>2015</v>
      </c>
      <c r="B837" s="1" t="s">
        <v>22</v>
      </c>
      <c r="C837" s="1" t="s">
        <v>14</v>
      </c>
      <c r="D837">
        <v>23466</v>
      </c>
      <c r="E837">
        <v>130000</v>
      </c>
      <c r="F837">
        <v>145811</v>
      </c>
      <c r="G837">
        <v>179400</v>
      </c>
      <c r="H837">
        <v>100</v>
      </c>
    </row>
    <row r="838" spans="1:8" x14ac:dyDescent="0.2">
      <c r="A838">
        <v>2015</v>
      </c>
      <c r="B838" s="1" t="s">
        <v>23</v>
      </c>
      <c r="C838" s="1" t="s">
        <v>11</v>
      </c>
      <c r="D838">
        <v>19423</v>
      </c>
      <c r="E838">
        <v>239950</v>
      </c>
      <c r="F838">
        <v>273188</v>
      </c>
      <c r="G838">
        <v>331131</v>
      </c>
      <c r="H838">
        <v>100</v>
      </c>
    </row>
    <row r="839" spans="1:8" x14ac:dyDescent="0.2">
      <c r="A839">
        <v>2015</v>
      </c>
      <c r="B839" s="1" t="s">
        <v>23</v>
      </c>
      <c r="C839" s="1" t="s">
        <v>12</v>
      </c>
      <c r="D839">
        <v>7431</v>
      </c>
      <c r="E839">
        <v>110000</v>
      </c>
      <c r="F839">
        <v>127321</v>
      </c>
      <c r="G839">
        <v>151800</v>
      </c>
      <c r="H839">
        <v>100</v>
      </c>
    </row>
    <row r="840" spans="1:8" x14ac:dyDescent="0.2">
      <c r="A840">
        <v>2015</v>
      </c>
      <c r="B840" s="1" t="s">
        <v>23</v>
      </c>
      <c r="C840" s="1" t="s">
        <v>13</v>
      </c>
      <c r="D840">
        <v>27026</v>
      </c>
      <c r="E840">
        <v>139000</v>
      </c>
      <c r="F840">
        <v>155462</v>
      </c>
      <c r="G840">
        <v>191820</v>
      </c>
      <c r="H840">
        <v>100</v>
      </c>
    </row>
    <row r="841" spans="1:8" x14ac:dyDescent="0.2">
      <c r="A841">
        <v>2015</v>
      </c>
      <c r="B841" s="1" t="s">
        <v>23</v>
      </c>
      <c r="C841" s="1" t="s">
        <v>14</v>
      </c>
      <c r="D841">
        <v>25652</v>
      </c>
      <c r="E841">
        <v>115000</v>
      </c>
      <c r="F841">
        <v>129640</v>
      </c>
      <c r="G841">
        <v>158700</v>
      </c>
      <c r="H841">
        <v>100</v>
      </c>
    </row>
    <row r="842" spans="1:8" x14ac:dyDescent="0.2">
      <c r="A842">
        <v>2016</v>
      </c>
      <c r="B842" s="1" t="s">
        <v>10</v>
      </c>
      <c r="C842" s="1" t="s">
        <v>11</v>
      </c>
      <c r="D842">
        <v>30202</v>
      </c>
      <c r="E842">
        <v>247000</v>
      </c>
      <c r="F842">
        <v>275652</v>
      </c>
      <c r="G842">
        <v>337485</v>
      </c>
      <c r="H842">
        <v>101</v>
      </c>
    </row>
    <row r="843" spans="1:8" x14ac:dyDescent="0.2">
      <c r="A843">
        <v>2016</v>
      </c>
      <c r="B843" s="1" t="s">
        <v>10</v>
      </c>
      <c r="C843" s="1" t="s">
        <v>12</v>
      </c>
      <c r="D843">
        <v>5767</v>
      </c>
      <c r="E843">
        <v>112000</v>
      </c>
      <c r="F843">
        <v>124364</v>
      </c>
      <c r="G843">
        <v>153030</v>
      </c>
      <c r="H843">
        <v>101</v>
      </c>
    </row>
    <row r="844" spans="1:8" x14ac:dyDescent="0.2">
      <c r="A844">
        <v>2016</v>
      </c>
      <c r="B844" s="1" t="s">
        <v>10</v>
      </c>
      <c r="C844" s="1" t="s">
        <v>13</v>
      </c>
      <c r="D844">
        <v>25556</v>
      </c>
      <c r="E844">
        <v>154000</v>
      </c>
      <c r="F844">
        <v>164937</v>
      </c>
      <c r="G844">
        <v>210416</v>
      </c>
      <c r="H844">
        <v>101</v>
      </c>
    </row>
    <row r="845" spans="1:8" x14ac:dyDescent="0.2">
      <c r="A845">
        <v>2016</v>
      </c>
      <c r="B845" s="1" t="s">
        <v>10</v>
      </c>
      <c r="C845" s="1" t="s">
        <v>14</v>
      </c>
      <c r="D845">
        <v>20722</v>
      </c>
      <c r="E845">
        <v>130000</v>
      </c>
      <c r="F845">
        <v>141795</v>
      </c>
      <c r="G845">
        <v>177624</v>
      </c>
      <c r="H845">
        <v>101</v>
      </c>
    </row>
    <row r="846" spans="1:8" x14ac:dyDescent="0.2">
      <c r="A846">
        <v>2016</v>
      </c>
      <c r="B846" s="1" t="s">
        <v>15</v>
      </c>
      <c r="C846" s="1" t="s">
        <v>11</v>
      </c>
      <c r="D846">
        <v>31518</v>
      </c>
      <c r="E846">
        <v>355000</v>
      </c>
      <c r="F846">
        <v>428215</v>
      </c>
      <c r="G846">
        <v>485050</v>
      </c>
      <c r="H846">
        <v>101</v>
      </c>
    </row>
    <row r="847" spans="1:8" x14ac:dyDescent="0.2">
      <c r="A847">
        <v>2016</v>
      </c>
      <c r="B847" s="1" t="s">
        <v>15</v>
      </c>
      <c r="C847" s="1" t="s">
        <v>12</v>
      </c>
      <c r="D847">
        <v>19962</v>
      </c>
      <c r="E847">
        <v>177000</v>
      </c>
      <c r="F847">
        <v>199574</v>
      </c>
      <c r="G847">
        <v>241842</v>
      </c>
      <c r="H847">
        <v>101</v>
      </c>
    </row>
    <row r="848" spans="1:8" x14ac:dyDescent="0.2">
      <c r="A848">
        <v>2016</v>
      </c>
      <c r="B848" s="1" t="s">
        <v>15</v>
      </c>
      <c r="C848" s="1" t="s">
        <v>13</v>
      </c>
      <c r="D848">
        <v>27251</v>
      </c>
      <c r="E848">
        <v>264000</v>
      </c>
      <c r="F848">
        <v>294868</v>
      </c>
      <c r="G848">
        <v>360713</v>
      </c>
      <c r="H848">
        <v>101</v>
      </c>
    </row>
    <row r="849" spans="1:8" x14ac:dyDescent="0.2">
      <c r="A849">
        <v>2016</v>
      </c>
      <c r="B849" s="1" t="s">
        <v>15</v>
      </c>
      <c r="C849" s="1" t="s">
        <v>14</v>
      </c>
      <c r="D849">
        <v>29296</v>
      </c>
      <c r="E849">
        <v>235000</v>
      </c>
      <c r="F849">
        <v>255314</v>
      </c>
      <c r="G849">
        <v>321089</v>
      </c>
      <c r="H849">
        <v>101</v>
      </c>
    </row>
    <row r="850" spans="1:8" x14ac:dyDescent="0.2">
      <c r="A850">
        <v>2016</v>
      </c>
      <c r="B850" s="1" t="s">
        <v>16</v>
      </c>
      <c r="C850" s="1" t="s">
        <v>11</v>
      </c>
      <c r="D850">
        <v>4505</v>
      </c>
      <c r="E850">
        <v>750000</v>
      </c>
      <c r="F850">
        <v>1001816</v>
      </c>
      <c r="G850">
        <v>1024752</v>
      </c>
      <c r="H850">
        <v>101</v>
      </c>
    </row>
    <row r="851" spans="1:8" x14ac:dyDescent="0.2">
      <c r="A851">
        <v>2016</v>
      </c>
      <c r="B851" s="1" t="s">
        <v>16</v>
      </c>
      <c r="C851" s="1" t="s">
        <v>12</v>
      </c>
      <c r="D851">
        <v>60263</v>
      </c>
      <c r="E851">
        <v>400000</v>
      </c>
      <c r="F851">
        <v>518144</v>
      </c>
      <c r="G851">
        <v>546535</v>
      </c>
      <c r="H851">
        <v>101</v>
      </c>
    </row>
    <row r="852" spans="1:8" x14ac:dyDescent="0.2">
      <c r="A852">
        <v>2016</v>
      </c>
      <c r="B852" s="1" t="s">
        <v>16</v>
      </c>
      <c r="C852" s="1" t="s">
        <v>13</v>
      </c>
      <c r="D852">
        <v>13018</v>
      </c>
      <c r="E852">
        <v>502500</v>
      </c>
      <c r="F852">
        <v>632243</v>
      </c>
      <c r="G852">
        <v>686584</v>
      </c>
      <c r="H852">
        <v>101</v>
      </c>
    </row>
    <row r="853" spans="1:8" x14ac:dyDescent="0.2">
      <c r="A853">
        <v>2016</v>
      </c>
      <c r="B853" s="1" t="s">
        <v>16</v>
      </c>
      <c r="C853" s="1" t="s">
        <v>14</v>
      </c>
      <c r="D853">
        <v>25529</v>
      </c>
      <c r="E853">
        <v>460000</v>
      </c>
      <c r="F853">
        <v>649466</v>
      </c>
      <c r="G853">
        <v>628515</v>
      </c>
      <c r="H853">
        <v>101</v>
      </c>
    </row>
    <row r="854" spans="1:8" x14ac:dyDescent="0.2">
      <c r="A854">
        <v>2016</v>
      </c>
      <c r="B854" s="1" t="s">
        <v>17</v>
      </c>
      <c r="C854" s="1" t="s">
        <v>11</v>
      </c>
      <c r="D854">
        <v>8505</v>
      </c>
      <c r="E854">
        <v>220000</v>
      </c>
      <c r="F854">
        <v>251736</v>
      </c>
      <c r="G854">
        <v>300594</v>
      </c>
      <c r="H854">
        <v>101</v>
      </c>
    </row>
    <row r="855" spans="1:8" x14ac:dyDescent="0.2">
      <c r="A855">
        <v>2016</v>
      </c>
      <c r="B855" s="1" t="s">
        <v>17</v>
      </c>
      <c r="C855" s="1" t="s">
        <v>12</v>
      </c>
      <c r="D855">
        <v>3949</v>
      </c>
      <c r="E855">
        <v>93000</v>
      </c>
      <c r="F855">
        <v>109736</v>
      </c>
      <c r="G855">
        <v>127069</v>
      </c>
      <c r="H855">
        <v>101</v>
      </c>
    </row>
    <row r="856" spans="1:8" x14ac:dyDescent="0.2">
      <c r="A856">
        <v>2016</v>
      </c>
      <c r="B856" s="1" t="s">
        <v>17</v>
      </c>
      <c r="C856" s="1" t="s">
        <v>13</v>
      </c>
      <c r="D856">
        <v>12502</v>
      </c>
      <c r="E856">
        <v>132950</v>
      </c>
      <c r="F856">
        <v>145389</v>
      </c>
      <c r="G856">
        <v>181654</v>
      </c>
      <c r="H856">
        <v>101</v>
      </c>
    </row>
    <row r="857" spans="1:8" x14ac:dyDescent="0.2">
      <c r="A857">
        <v>2016</v>
      </c>
      <c r="B857" s="1" t="s">
        <v>17</v>
      </c>
      <c r="C857" s="1" t="s">
        <v>14</v>
      </c>
      <c r="D857">
        <v>12151</v>
      </c>
      <c r="E857">
        <v>98000</v>
      </c>
      <c r="F857">
        <v>116957</v>
      </c>
      <c r="G857">
        <v>133901</v>
      </c>
      <c r="H857">
        <v>101</v>
      </c>
    </row>
    <row r="858" spans="1:8" x14ac:dyDescent="0.2">
      <c r="A858">
        <v>2016</v>
      </c>
      <c r="B858" s="1" t="s">
        <v>18</v>
      </c>
      <c r="C858" s="1" t="s">
        <v>11</v>
      </c>
      <c r="D858">
        <v>24185</v>
      </c>
      <c r="E858">
        <v>257000</v>
      </c>
      <c r="F858">
        <v>302957</v>
      </c>
      <c r="G858">
        <v>351149</v>
      </c>
      <c r="H858">
        <v>101</v>
      </c>
    </row>
    <row r="859" spans="1:8" x14ac:dyDescent="0.2">
      <c r="A859">
        <v>2016</v>
      </c>
      <c r="B859" s="1" t="s">
        <v>18</v>
      </c>
      <c r="C859" s="1" t="s">
        <v>12</v>
      </c>
      <c r="D859">
        <v>14660</v>
      </c>
      <c r="E859">
        <v>122500</v>
      </c>
      <c r="F859">
        <v>135623</v>
      </c>
      <c r="G859">
        <v>167376</v>
      </c>
      <c r="H859">
        <v>101</v>
      </c>
    </row>
    <row r="860" spans="1:8" x14ac:dyDescent="0.2">
      <c r="A860">
        <v>2016</v>
      </c>
      <c r="B860" s="1" t="s">
        <v>18</v>
      </c>
      <c r="C860" s="1" t="s">
        <v>13</v>
      </c>
      <c r="D860">
        <v>37554</v>
      </c>
      <c r="E860">
        <v>153500</v>
      </c>
      <c r="F860">
        <v>173063</v>
      </c>
      <c r="G860">
        <v>209733</v>
      </c>
      <c r="H860">
        <v>101</v>
      </c>
    </row>
    <row r="861" spans="1:8" x14ac:dyDescent="0.2">
      <c r="A861">
        <v>2016</v>
      </c>
      <c r="B861" s="1" t="s">
        <v>18</v>
      </c>
      <c r="C861" s="1" t="s">
        <v>14</v>
      </c>
      <c r="D861">
        <v>36049</v>
      </c>
      <c r="E861">
        <v>106000</v>
      </c>
      <c r="F861">
        <v>122989</v>
      </c>
      <c r="G861">
        <v>144832</v>
      </c>
      <c r="H861">
        <v>101</v>
      </c>
    </row>
    <row r="862" spans="1:8" x14ac:dyDescent="0.2">
      <c r="A862">
        <v>2016</v>
      </c>
      <c r="B862" s="1" t="s">
        <v>19</v>
      </c>
      <c r="C862" s="1" t="s">
        <v>11</v>
      </c>
      <c r="D862">
        <v>40487</v>
      </c>
      <c r="E862">
        <v>469000</v>
      </c>
      <c r="F862">
        <v>558501</v>
      </c>
      <c r="G862">
        <v>640812</v>
      </c>
      <c r="H862">
        <v>101</v>
      </c>
    </row>
    <row r="863" spans="1:8" x14ac:dyDescent="0.2">
      <c r="A863">
        <v>2016</v>
      </c>
      <c r="B863" s="1" t="s">
        <v>19</v>
      </c>
      <c r="C863" s="1" t="s">
        <v>12</v>
      </c>
      <c r="D863">
        <v>38871</v>
      </c>
      <c r="E863">
        <v>200000</v>
      </c>
      <c r="F863">
        <v>220523</v>
      </c>
      <c r="G863">
        <v>273267</v>
      </c>
      <c r="H863">
        <v>101</v>
      </c>
    </row>
    <row r="864" spans="1:8" x14ac:dyDescent="0.2">
      <c r="A864">
        <v>2016</v>
      </c>
      <c r="B864" s="1" t="s">
        <v>19</v>
      </c>
      <c r="C864" s="1" t="s">
        <v>13</v>
      </c>
      <c r="D864">
        <v>36983</v>
      </c>
      <c r="E864">
        <v>317500</v>
      </c>
      <c r="F864">
        <v>346584</v>
      </c>
      <c r="G864">
        <v>433812</v>
      </c>
      <c r="H864">
        <v>101</v>
      </c>
    </row>
    <row r="865" spans="1:8" x14ac:dyDescent="0.2">
      <c r="A865">
        <v>2016</v>
      </c>
      <c r="B865" s="1" t="s">
        <v>19</v>
      </c>
      <c r="C865" s="1" t="s">
        <v>14</v>
      </c>
      <c r="D865">
        <v>41702</v>
      </c>
      <c r="E865">
        <v>265000</v>
      </c>
      <c r="F865">
        <v>289786</v>
      </c>
      <c r="G865">
        <v>362079</v>
      </c>
      <c r="H865">
        <v>101</v>
      </c>
    </row>
    <row r="866" spans="1:8" x14ac:dyDescent="0.2">
      <c r="A866">
        <v>2016</v>
      </c>
      <c r="B866" s="1" t="s">
        <v>20</v>
      </c>
      <c r="C866" s="1" t="s">
        <v>11</v>
      </c>
      <c r="D866">
        <v>31462</v>
      </c>
      <c r="E866">
        <v>330000</v>
      </c>
      <c r="F866">
        <v>379111</v>
      </c>
      <c r="G866">
        <v>450891</v>
      </c>
      <c r="H866">
        <v>101</v>
      </c>
    </row>
    <row r="867" spans="1:8" x14ac:dyDescent="0.2">
      <c r="A867">
        <v>2016</v>
      </c>
      <c r="B867" s="1" t="s">
        <v>20</v>
      </c>
      <c r="C867" s="1" t="s">
        <v>12</v>
      </c>
      <c r="D867">
        <v>20771</v>
      </c>
      <c r="E867">
        <v>156000</v>
      </c>
      <c r="F867">
        <v>186318</v>
      </c>
      <c r="G867">
        <v>213149</v>
      </c>
      <c r="H867">
        <v>101</v>
      </c>
    </row>
    <row r="868" spans="1:8" x14ac:dyDescent="0.2">
      <c r="A868">
        <v>2016</v>
      </c>
      <c r="B868" s="1" t="s">
        <v>20</v>
      </c>
      <c r="C868" s="1" t="s">
        <v>13</v>
      </c>
      <c r="D868">
        <v>24214</v>
      </c>
      <c r="E868">
        <v>225000</v>
      </c>
      <c r="F868">
        <v>246045</v>
      </c>
      <c r="G868">
        <v>307426</v>
      </c>
      <c r="H868">
        <v>101</v>
      </c>
    </row>
    <row r="869" spans="1:8" x14ac:dyDescent="0.2">
      <c r="A869">
        <v>2016</v>
      </c>
      <c r="B869" s="1" t="s">
        <v>20</v>
      </c>
      <c r="C869" s="1" t="s">
        <v>14</v>
      </c>
      <c r="D869">
        <v>31168</v>
      </c>
      <c r="E869">
        <v>193000</v>
      </c>
      <c r="F869">
        <v>219911</v>
      </c>
      <c r="G869">
        <v>263703</v>
      </c>
      <c r="H869">
        <v>101</v>
      </c>
    </row>
    <row r="870" spans="1:8" x14ac:dyDescent="0.2">
      <c r="A870">
        <v>2016</v>
      </c>
      <c r="B870" s="1" t="s">
        <v>21</v>
      </c>
      <c r="C870" s="1" t="s">
        <v>11</v>
      </c>
      <c r="D870">
        <v>14354</v>
      </c>
      <c r="E870">
        <v>223000</v>
      </c>
      <c r="F870">
        <v>247632</v>
      </c>
      <c r="G870">
        <v>304693</v>
      </c>
      <c r="H870">
        <v>101</v>
      </c>
    </row>
    <row r="871" spans="1:8" x14ac:dyDescent="0.2">
      <c r="A871">
        <v>2016</v>
      </c>
      <c r="B871" s="1" t="s">
        <v>21</v>
      </c>
      <c r="C871" s="1" t="s">
        <v>12</v>
      </c>
      <c r="D871">
        <v>3856</v>
      </c>
      <c r="E871">
        <v>118000</v>
      </c>
      <c r="F871">
        <v>128713</v>
      </c>
      <c r="G871">
        <v>161228</v>
      </c>
      <c r="H871">
        <v>101</v>
      </c>
    </row>
    <row r="872" spans="1:8" x14ac:dyDescent="0.2">
      <c r="A872">
        <v>2016</v>
      </c>
      <c r="B872" s="1" t="s">
        <v>21</v>
      </c>
      <c r="C872" s="1" t="s">
        <v>13</v>
      </c>
      <c r="D872">
        <v>13114</v>
      </c>
      <c r="E872">
        <v>140000</v>
      </c>
      <c r="F872">
        <v>153641</v>
      </c>
      <c r="G872">
        <v>191287</v>
      </c>
      <c r="H872">
        <v>101</v>
      </c>
    </row>
    <row r="873" spans="1:8" x14ac:dyDescent="0.2">
      <c r="A873">
        <v>2016</v>
      </c>
      <c r="B873" s="1" t="s">
        <v>21</v>
      </c>
      <c r="C873" s="1" t="s">
        <v>14</v>
      </c>
      <c r="D873">
        <v>14358</v>
      </c>
      <c r="E873">
        <v>110000</v>
      </c>
      <c r="F873">
        <v>124378</v>
      </c>
      <c r="G873">
        <v>150297</v>
      </c>
      <c r="H873">
        <v>101</v>
      </c>
    </row>
    <row r="874" spans="1:8" x14ac:dyDescent="0.2">
      <c r="A874">
        <v>2016</v>
      </c>
      <c r="B874" s="1" t="s">
        <v>22</v>
      </c>
      <c r="C874" s="1" t="s">
        <v>11</v>
      </c>
      <c r="D874">
        <v>23330</v>
      </c>
      <c r="E874">
        <v>280000</v>
      </c>
      <c r="F874">
        <v>320254</v>
      </c>
      <c r="G874">
        <v>382574</v>
      </c>
      <c r="H874">
        <v>101</v>
      </c>
    </row>
    <row r="875" spans="1:8" x14ac:dyDescent="0.2">
      <c r="A875">
        <v>2016</v>
      </c>
      <c r="B875" s="1" t="s">
        <v>22</v>
      </c>
      <c r="C875" s="1" t="s">
        <v>12</v>
      </c>
      <c r="D875">
        <v>10263</v>
      </c>
      <c r="E875">
        <v>120000</v>
      </c>
      <c r="F875">
        <v>136258</v>
      </c>
      <c r="G875">
        <v>163960</v>
      </c>
      <c r="H875">
        <v>101</v>
      </c>
    </row>
    <row r="876" spans="1:8" x14ac:dyDescent="0.2">
      <c r="A876">
        <v>2016</v>
      </c>
      <c r="B876" s="1" t="s">
        <v>22</v>
      </c>
      <c r="C876" s="1" t="s">
        <v>13</v>
      </c>
      <c r="D876">
        <v>27845</v>
      </c>
      <c r="E876">
        <v>164995</v>
      </c>
      <c r="F876">
        <v>180718</v>
      </c>
      <c r="G876">
        <v>225439</v>
      </c>
      <c r="H876">
        <v>101</v>
      </c>
    </row>
    <row r="877" spans="1:8" x14ac:dyDescent="0.2">
      <c r="A877">
        <v>2016</v>
      </c>
      <c r="B877" s="1" t="s">
        <v>22</v>
      </c>
      <c r="C877" s="1" t="s">
        <v>14</v>
      </c>
      <c r="D877">
        <v>23960</v>
      </c>
      <c r="E877">
        <v>135500</v>
      </c>
      <c r="F877">
        <v>152209</v>
      </c>
      <c r="G877">
        <v>185139</v>
      </c>
      <c r="H877">
        <v>101</v>
      </c>
    </row>
    <row r="878" spans="1:8" x14ac:dyDescent="0.2">
      <c r="A878">
        <v>2016</v>
      </c>
      <c r="B878" s="1" t="s">
        <v>23</v>
      </c>
      <c r="C878" s="1" t="s">
        <v>11</v>
      </c>
      <c r="D878">
        <v>20313</v>
      </c>
      <c r="E878">
        <v>249950</v>
      </c>
      <c r="F878">
        <v>282968</v>
      </c>
      <c r="G878">
        <v>341516</v>
      </c>
      <c r="H878">
        <v>101</v>
      </c>
    </row>
    <row r="879" spans="1:8" x14ac:dyDescent="0.2">
      <c r="A879">
        <v>2016</v>
      </c>
      <c r="B879" s="1" t="s">
        <v>23</v>
      </c>
      <c r="C879" s="1" t="s">
        <v>12</v>
      </c>
      <c r="D879">
        <v>8410</v>
      </c>
      <c r="E879">
        <v>114972</v>
      </c>
      <c r="F879">
        <v>133781</v>
      </c>
      <c r="G879">
        <v>157091</v>
      </c>
      <c r="H879">
        <v>101</v>
      </c>
    </row>
    <row r="880" spans="1:8" x14ac:dyDescent="0.2">
      <c r="A880">
        <v>2016</v>
      </c>
      <c r="B880" s="1" t="s">
        <v>23</v>
      </c>
      <c r="C880" s="1" t="s">
        <v>13</v>
      </c>
      <c r="D880">
        <v>28191</v>
      </c>
      <c r="E880">
        <v>144995</v>
      </c>
      <c r="F880">
        <v>161473</v>
      </c>
      <c r="G880">
        <v>198112</v>
      </c>
      <c r="H880">
        <v>101</v>
      </c>
    </row>
    <row r="881" spans="1:8" x14ac:dyDescent="0.2">
      <c r="A881">
        <v>2016</v>
      </c>
      <c r="B881" s="1" t="s">
        <v>23</v>
      </c>
      <c r="C881" s="1" t="s">
        <v>14</v>
      </c>
      <c r="D881">
        <v>25344</v>
      </c>
      <c r="E881">
        <v>118000</v>
      </c>
      <c r="F881">
        <v>133188</v>
      </c>
      <c r="G881">
        <v>161228</v>
      </c>
      <c r="H881">
        <v>101</v>
      </c>
    </row>
    <row r="882" spans="1:8" x14ac:dyDescent="0.2">
      <c r="A882">
        <v>2017</v>
      </c>
      <c r="B882" s="1" t="s">
        <v>10</v>
      </c>
      <c r="C882" s="1" t="s">
        <v>11</v>
      </c>
      <c r="D882">
        <v>29843</v>
      </c>
      <c r="E882">
        <v>264000</v>
      </c>
      <c r="F882">
        <v>291215</v>
      </c>
      <c r="G882">
        <v>351660</v>
      </c>
      <c r="H882">
        <v>103.6</v>
      </c>
    </row>
    <row r="883" spans="1:8" x14ac:dyDescent="0.2">
      <c r="A883">
        <v>2017</v>
      </c>
      <c r="B883" s="1" t="s">
        <v>10</v>
      </c>
      <c r="C883" s="1" t="s">
        <v>12</v>
      </c>
      <c r="D883">
        <v>5354</v>
      </c>
      <c r="E883">
        <v>114950</v>
      </c>
      <c r="F883">
        <v>126750</v>
      </c>
      <c r="G883">
        <v>153119</v>
      </c>
      <c r="H883">
        <v>103.6</v>
      </c>
    </row>
    <row r="884" spans="1:8" x14ac:dyDescent="0.2">
      <c r="A884">
        <v>2017</v>
      </c>
      <c r="B884" s="1" t="s">
        <v>10</v>
      </c>
      <c r="C884" s="1" t="s">
        <v>13</v>
      </c>
      <c r="D884">
        <v>26276</v>
      </c>
      <c r="E884">
        <v>164995</v>
      </c>
      <c r="F884">
        <v>174983</v>
      </c>
      <c r="G884">
        <v>219781</v>
      </c>
      <c r="H884">
        <v>103.6</v>
      </c>
    </row>
    <row r="885" spans="1:8" x14ac:dyDescent="0.2">
      <c r="A885">
        <v>2017</v>
      </c>
      <c r="B885" s="1" t="s">
        <v>10</v>
      </c>
      <c r="C885" s="1" t="s">
        <v>14</v>
      </c>
      <c r="D885">
        <v>19245</v>
      </c>
      <c r="E885">
        <v>137500</v>
      </c>
      <c r="F885">
        <v>149345</v>
      </c>
      <c r="G885">
        <v>183156</v>
      </c>
      <c r="H885">
        <v>103.6</v>
      </c>
    </row>
    <row r="886" spans="1:8" x14ac:dyDescent="0.2">
      <c r="A886">
        <v>2017</v>
      </c>
      <c r="B886" s="1" t="s">
        <v>15</v>
      </c>
      <c r="C886" s="1" t="s">
        <v>11</v>
      </c>
      <c r="D886">
        <v>31214</v>
      </c>
      <c r="E886">
        <v>379995</v>
      </c>
      <c r="F886">
        <v>447954</v>
      </c>
      <c r="G886">
        <v>506171</v>
      </c>
      <c r="H886">
        <v>103.6</v>
      </c>
    </row>
    <row r="887" spans="1:8" x14ac:dyDescent="0.2">
      <c r="A887">
        <v>2017</v>
      </c>
      <c r="B887" s="1" t="s">
        <v>15</v>
      </c>
      <c r="C887" s="1" t="s">
        <v>12</v>
      </c>
      <c r="D887">
        <v>17387</v>
      </c>
      <c r="E887">
        <v>189995</v>
      </c>
      <c r="F887">
        <v>212146</v>
      </c>
      <c r="G887">
        <v>253082</v>
      </c>
      <c r="H887">
        <v>103.6</v>
      </c>
    </row>
    <row r="888" spans="1:8" x14ac:dyDescent="0.2">
      <c r="A888">
        <v>2017</v>
      </c>
      <c r="B888" s="1" t="s">
        <v>15</v>
      </c>
      <c r="C888" s="1" t="s">
        <v>13</v>
      </c>
      <c r="D888">
        <v>27759</v>
      </c>
      <c r="E888">
        <v>280000</v>
      </c>
      <c r="F888">
        <v>312793</v>
      </c>
      <c r="G888">
        <v>372973</v>
      </c>
      <c r="H888">
        <v>103.6</v>
      </c>
    </row>
    <row r="889" spans="1:8" x14ac:dyDescent="0.2">
      <c r="A889">
        <v>2017</v>
      </c>
      <c r="B889" s="1" t="s">
        <v>15</v>
      </c>
      <c r="C889" s="1" t="s">
        <v>14</v>
      </c>
      <c r="D889">
        <v>26520</v>
      </c>
      <c r="E889">
        <v>249000</v>
      </c>
      <c r="F889">
        <v>269375</v>
      </c>
      <c r="G889">
        <v>331680</v>
      </c>
      <c r="H889">
        <v>103.6</v>
      </c>
    </row>
    <row r="890" spans="1:8" x14ac:dyDescent="0.2">
      <c r="A890">
        <v>2017</v>
      </c>
      <c r="B890" s="1" t="s">
        <v>16</v>
      </c>
      <c r="C890" s="1" t="s">
        <v>11</v>
      </c>
      <c r="D890">
        <v>4095</v>
      </c>
      <c r="E890">
        <v>780000</v>
      </c>
      <c r="F890">
        <v>1042373</v>
      </c>
      <c r="G890">
        <v>1038996</v>
      </c>
      <c r="H890">
        <v>103.6</v>
      </c>
    </row>
    <row r="891" spans="1:8" x14ac:dyDescent="0.2">
      <c r="A891">
        <v>2017</v>
      </c>
      <c r="B891" s="1" t="s">
        <v>16</v>
      </c>
      <c r="C891" s="1" t="s">
        <v>12</v>
      </c>
      <c r="D891">
        <v>52714</v>
      </c>
      <c r="E891">
        <v>422000</v>
      </c>
      <c r="F891">
        <v>555913</v>
      </c>
      <c r="G891">
        <v>562124</v>
      </c>
      <c r="H891">
        <v>103.6</v>
      </c>
    </row>
    <row r="892" spans="1:8" x14ac:dyDescent="0.2">
      <c r="A892">
        <v>2017</v>
      </c>
      <c r="B892" s="1" t="s">
        <v>16</v>
      </c>
      <c r="C892" s="1" t="s">
        <v>13</v>
      </c>
      <c r="D892">
        <v>12849</v>
      </c>
      <c r="E892">
        <v>525000</v>
      </c>
      <c r="F892">
        <v>659204</v>
      </c>
      <c r="G892">
        <v>699324</v>
      </c>
      <c r="H892">
        <v>103.6</v>
      </c>
    </row>
    <row r="893" spans="1:8" x14ac:dyDescent="0.2">
      <c r="A893">
        <v>2017</v>
      </c>
      <c r="B893" s="1" t="s">
        <v>16</v>
      </c>
      <c r="C893" s="1" t="s">
        <v>14</v>
      </c>
      <c r="D893">
        <v>23726</v>
      </c>
      <c r="E893">
        <v>485000</v>
      </c>
      <c r="F893">
        <v>669657</v>
      </c>
      <c r="G893">
        <v>646042</v>
      </c>
      <c r="H893">
        <v>103.6</v>
      </c>
    </row>
    <row r="894" spans="1:8" x14ac:dyDescent="0.2">
      <c r="A894">
        <v>2017</v>
      </c>
      <c r="B894" s="1" t="s">
        <v>17</v>
      </c>
      <c r="C894" s="1" t="s">
        <v>11</v>
      </c>
      <c r="D894">
        <v>9401</v>
      </c>
      <c r="E894">
        <v>229950</v>
      </c>
      <c r="F894">
        <v>260341</v>
      </c>
      <c r="G894">
        <v>306304</v>
      </c>
      <c r="H894">
        <v>103.6</v>
      </c>
    </row>
    <row r="895" spans="1:8" x14ac:dyDescent="0.2">
      <c r="A895">
        <v>2017</v>
      </c>
      <c r="B895" s="1" t="s">
        <v>17</v>
      </c>
      <c r="C895" s="1" t="s">
        <v>12</v>
      </c>
      <c r="D895">
        <v>3928</v>
      </c>
      <c r="E895">
        <v>92500</v>
      </c>
      <c r="F895">
        <v>108349</v>
      </c>
      <c r="G895">
        <v>123214</v>
      </c>
      <c r="H895">
        <v>103.6</v>
      </c>
    </row>
    <row r="896" spans="1:8" x14ac:dyDescent="0.2">
      <c r="A896">
        <v>2017</v>
      </c>
      <c r="B896" s="1" t="s">
        <v>17</v>
      </c>
      <c r="C896" s="1" t="s">
        <v>13</v>
      </c>
      <c r="D896">
        <v>13397</v>
      </c>
      <c r="E896">
        <v>134950</v>
      </c>
      <c r="F896">
        <v>146678</v>
      </c>
      <c r="G896">
        <v>179760</v>
      </c>
      <c r="H896">
        <v>103.6</v>
      </c>
    </row>
    <row r="897" spans="1:8" x14ac:dyDescent="0.2">
      <c r="A897">
        <v>2017</v>
      </c>
      <c r="B897" s="1" t="s">
        <v>17</v>
      </c>
      <c r="C897" s="1" t="s">
        <v>14</v>
      </c>
      <c r="D897">
        <v>12307</v>
      </c>
      <c r="E897">
        <v>97845</v>
      </c>
      <c r="F897">
        <v>115678</v>
      </c>
      <c r="G897">
        <v>130334</v>
      </c>
      <c r="H897">
        <v>103.6</v>
      </c>
    </row>
    <row r="898" spans="1:8" x14ac:dyDescent="0.2">
      <c r="A898">
        <v>2017</v>
      </c>
      <c r="B898" s="1" t="s">
        <v>18</v>
      </c>
      <c r="C898" s="1" t="s">
        <v>11</v>
      </c>
      <c r="D898">
        <v>25251</v>
      </c>
      <c r="E898">
        <v>267500</v>
      </c>
      <c r="F898">
        <v>316836</v>
      </c>
      <c r="G898">
        <v>356322</v>
      </c>
      <c r="H898">
        <v>103.6</v>
      </c>
    </row>
    <row r="899" spans="1:8" x14ac:dyDescent="0.2">
      <c r="A899">
        <v>2017</v>
      </c>
      <c r="B899" s="1" t="s">
        <v>18</v>
      </c>
      <c r="C899" s="1" t="s">
        <v>12</v>
      </c>
      <c r="D899">
        <v>13964</v>
      </c>
      <c r="E899">
        <v>124950</v>
      </c>
      <c r="F899">
        <v>143885</v>
      </c>
      <c r="G899">
        <v>166439</v>
      </c>
      <c r="H899">
        <v>103.6</v>
      </c>
    </row>
    <row r="900" spans="1:8" x14ac:dyDescent="0.2">
      <c r="A900">
        <v>2017</v>
      </c>
      <c r="B900" s="1" t="s">
        <v>18</v>
      </c>
      <c r="C900" s="1" t="s">
        <v>13</v>
      </c>
      <c r="D900">
        <v>39597</v>
      </c>
      <c r="E900">
        <v>160000</v>
      </c>
      <c r="F900">
        <v>180553</v>
      </c>
      <c r="G900">
        <v>213127</v>
      </c>
      <c r="H900">
        <v>103.6</v>
      </c>
    </row>
    <row r="901" spans="1:8" x14ac:dyDescent="0.2">
      <c r="A901">
        <v>2017</v>
      </c>
      <c r="B901" s="1" t="s">
        <v>18</v>
      </c>
      <c r="C901" s="1" t="s">
        <v>14</v>
      </c>
      <c r="D901">
        <v>35838</v>
      </c>
      <c r="E901">
        <v>110000</v>
      </c>
      <c r="F901">
        <v>126974</v>
      </c>
      <c r="G901">
        <v>146525</v>
      </c>
      <c r="H901">
        <v>103.6</v>
      </c>
    </row>
    <row r="902" spans="1:8" x14ac:dyDescent="0.2">
      <c r="A902">
        <v>2017</v>
      </c>
      <c r="B902" s="1" t="s">
        <v>19</v>
      </c>
      <c r="C902" s="1" t="s">
        <v>11</v>
      </c>
      <c r="D902">
        <v>40421</v>
      </c>
      <c r="E902">
        <v>487000</v>
      </c>
      <c r="F902">
        <v>581645</v>
      </c>
      <c r="G902">
        <v>648707</v>
      </c>
      <c r="H902">
        <v>103.6</v>
      </c>
    </row>
    <row r="903" spans="1:8" x14ac:dyDescent="0.2">
      <c r="A903">
        <v>2017</v>
      </c>
      <c r="B903" s="1" t="s">
        <v>19</v>
      </c>
      <c r="C903" s="1" t="s">
        <v>12</v>
      </c>
      <c r="D903">
        <v>34611</v>
      </c>
      <c r="E903">
        <v>210000</v>
      </c>
      <c r="F903">
        <v>230356</v>
      </c>
      <c r="G903">
        <v>279730</v>
      </c>
      <c r="H903">
        <v>103.6</v>
      </c>
    </row>
    <row r="904" spans="1:8" x14ac:dyDescent="0.2">
      <c r="A904">
        <v>2017</v>
      </c>
      <c r="B904" s="1" t="s">
        <v>19</v>
      </c>
      <c r="C904" s="1" t="s">
        <v>13</v>
      </c>
      <c r="D904">
        <v>37930</v>
      </c>
      <c r="E904">
        <v>330000</v>
      </c>
      <c r="F904">
        <v>358934</v>
      </c>
      <c r="G904">
        <v>439575</v>
      </c>
      <c r="H904">
        <v>103.6</v>
      </c>
    </row>
    <row r="905" spans="1:8" x14ac:dyDescent="0.2">
      <c r="A905">
        <v>2017</v>
      </c>
      <c r="B905" s="1" t="s">
        <v>19</v>
      </c>
      <c r="C905" s="1" t="s">
        <v>14</v>
      </c>
      <c r="D905">
        <v>38647</v>
      </c>
      <c r="E905">
        <v>275000</v>
      </c>
      <c r="F905">
        <v>300177</v>
      </c>
      <c r="G905">
        <v>366313</v>
      </c>
      <c r="H905">
        <v>103.6</v>
      </c>
    </row>
    <row r="906" spans="1:8" x14ac:dyDescent="0.2">
      <c r="A906">
        <v>2017</v>
      </c>
      <c r="B906" s="1" t="s">
        <v>20</v>
      </c>
      <c r="C906" s="1" t="s">
        <v>11</v>
      </c>
      <c r="D906">
        <v>31453</v>
      </c>
      <c r="E906">
        <v>350000</v>
      </c>
      <c r="F906">
        <v>401686</v>
      </c>
      <c r="G906">
        <v>466216</v>
      </c>
      <c r="H906">
        <v>103.6</v>
      </c>
    </row>
    <row r="907" spans="1:8" x14ac:dyDescent="0.2">
      <c r="A907">
        <v>2017</v>
      </c>
      <c r="B907" s="1" t="s">
        <v>20</v>
      </c>
      <c r="C907" s="1" t="s">
        <v>12</v>
      </c>
      <c r="D907">
        <v>19300</v>
      </c>
      <c r="E907">
        <v>164000</v>
      </c>
      <c r="F907">
        <v>195874</v>
      </c>
      <c r="G907">
        <v>218456</v>
      </c>
      <c r="H907">
        <v>103.6</v>
      </c>
    </row>
    <row r="908" spans="1:8" x14ac:dyDescent="0.2">
      <c r="A908">
        <v>2017</v>
      </c>
      <c r="B908" s="1" t="s">
        <v>20</v>
      </c>
      <c r="C908" s="1" t="s">
        <v>13</v>
      </c>
      <c r="D908">
        <v>24655</v>
      </c>
      <c r="E908">
        <v>235000</v>
      </c>
      <c r="F908">
        <v>258733</v>
      </c>
      <c r="G908">
        <v>313031</v>
      </c>
      <c r="H908">
        <v>103.6</v>
      </c>
    </row>
    <row r="909" spans="1:8" x14ac:dyDescent="0.2">
      <c r="A909">
        <v>2017</v>
      </c>
      <c r="B909" s="1" t="s">
        <v>20</v>
      </c>
      <c r="C909" s="1" t="s">
        <v>14</v>
      </c>
      <c r="D909">
        <v>29598</v>
      </c>
      <c r="E909">
        <v>205000</v>
      </c>
      <c r="F909">
        <v>228745</v>
      </c>
      <c r="G909">
        <v>273069</v>
      </c>
      <c r="H909">
        <v>103.6</v>
      </c>
    </row>
    <row r="910" spans="1:8" x14ac:dyDescent="0.2">
      <c r="A910">
        <v>2017</v>
      </c>
      <c r="B910" s="1" t="s">
        <v>21</v>
      </c>
      <c r="C910" s="1" t="s">
        <v>11</v>
      </c>
      <c r="D910">
        <v>15017</v>
      </c>
      <c r="E910">
        <v>230000</v>
      </c>
      <c r="F910">
        <v>255768</v>
      </c>
      <c r="G910">
        <v>306371</v>
      </c>
      <c r="H910">
        <v>103.6</v>
      </c>
    </row>
    <row r="911" spans="1:8" x14ac:dyDescent="0.2">
      <c r="A911">
        <v>2017</v>
      </c>
      <c r="B911" s="1" t="s">
        <v>21</v>
      </c>
      <c r="C911" s="1" t="s">
        <v>12</v>
      </c>
      <c r="D911">
        <v>3955</v>
      </c>
      <c r="E911">
        <v>120000</v>
      </c>
      <c r="F911">
        <v>133714</v>
      </c>
      <c r="G911">
        <v>159846</v>
      </c>
      <c r="H911">
        <v>103.6</v>
      </c>
    </row>
    <row r="912" spans="1:8" x14ac:dyDescent="0.2">
      <c r="A912">
        <v>2017</v>
      </c>
      <c r="B912" s="1" t="s">
        <v>21</v>
      </c>
      <c r="C912" s="1" t="s">
        <v>13</v>
      </c>
      <c r="D912">
        <v>14069</v>
      </c>
      <c r="E912">
        <v>145000</v>
      </c>
      <c r="F912">
        <v>159428</v>
      </c>
      <c r="G912">
        <v>193147</v>
      </c>
      <c r="H912">
        <v>103.6</v>
      </c>
    </row>
    <row r="913" spans="1:8" x14ac:dyDescent="0.2">
      <c r="A913">
        <v>2017</v>
      </c>
      <c r="B913" s="1" t="s">
        <v>21</v>
      </c>
      <c r="C913" s="1" t="s">
        <v>14</v>
      </c>
      <c r="D913">
        <v>15056</v>
      </c>
      <c r="E913">
        <v>112000</v>
      </c>
      <c r="F913">
        <v>126086</v>
      </c>
      <c r="G913">
        <v>149189</v>
      </c>
      <c r="H913">
        <v>103.6</v>
      </c>
    </row>
    <row r="914" spans="1:8" x14ac:dyDescent="0.2">
      <c r="A914">
        <v>2017</v>
      </c>
      <c r="B914" s="1" t="s">
        <v>22</v>
      </c>
      <c r="C914" s="1" t="s">
        <v>11</v>
      </c>
      <c r="D914">
        <v>23692</v>
      </c>
      <c r="E914">
        <v>294850</v>
      </c>
      <c r="F914">
        <v>336954</v>
      </c>
      <c r="G914">
        <v>392754</v>
      </c>
      <c r="H914">
        <v>103.6</v>
      </c>
    </row>
    <row r="915" spans="1:8" x14ac:dyDescent="0.2">
      <c r="A915">
        <v>2017</v>
      </c>
      <c r="B915" s="1" t="s">
        <v>22</v>
      </c>
      <c r="C915" s="1" t="s">
        <v>12</v>
      </c>
      <c r="D915">
        <v>9798</v>
      </c>
      <c r="E915">
        <v>125000</v>
      </c>
      <c r="F915">
        <v>144035</v>
      </c>
      <c r="G915">
        <v>166506</v>
      </c>
      <c r="H915">
        <v>103.6</v>
      </c>
    </row>
    <row r="916" spans="1:8" x14ac:dyDescent="0.2">
      <c r="A916">
        <v>2017</v>
      </c>
      <c r="B916" s="1" t="s">
        <v>22</v>
      </c>
      <c r="C916" s="1" t="s">
        <v>13</v>
      </c>
      <c r="D916">
        <v>28869</v>
      </c>
      <c r="E916">
        <v>173000</v>
      </c>
      <c r="F916">
        <v>191104</v>
      </c>
      <c r="G916">
        <v>230444</v>
      </c>
      <c r="H916">
        <v>103.6</v>
      </c>
    </row>
    <row r="917" spans="1:8" x14ac:dyDescent="0.2">
      <c r="A917">
        <v>2017</v>
      </c>
      <c r="B917" s="1" t="s">
        <v>22</v>
      </c>
      <c r="C917" s="1" t="s">
        <v>14</v>
      </c>
      <c r="D917">
        <v>23651</v>
      </c>
      <c r="E917">
        <v>145000</v>
      </c>
      <c r="F917">
        <v>159570</v>
      </c>
      <c r="G917">
        <v>193147</v>
      </c>
      <c r="H917">
        <v>103.6</v>
      </c>
    </row>
    <row r="918" spans="1:8" x14ac:dyDescent="0.2">
      <c r="A918">
        <v>2017</v>
      </c>
      <c r="B918" s="1" t="s">
        <v>23</v>
      </c>
      <c r="C918" s="1" t="s">
        <v>11</v>
      </c>
      <c r="D918">
        <v>21196</v>
      </c>
      <c r="E918">
        <v>255000</v>
      </c>
      <c r="F918">
        <v>295513</v>
      </c>
      <c r="G918">
        <v>339672</v>
      </c>
      <c r="H918">
        <v>103.6</v>
      </c>
    </row>
    <row r="919" spans="1:8" x14ac:dyDescent="0.2">
      <c r="A919">
        <v>2017</v>
      </c>
      <c r="B919" s="1" t="s">
        <v>23</v>
      </c>
      <c r="C919" s="1" t="s">
        <v>12</v>
      </c>
      <c r="D919">
        <v>8455</v>
      </c>
      <c r="E919">
        <v>119950</v>
      </c>
      <c r="F919">
        <v>137675</v>
      </c>
      <c r="G919">
        <v>159779</v>
      </c>
      <c r="H919">
        <v>103.6</v>
      </c>
    </row>
    <row r="920" spans="1:8" x14ac:dyDescent="0.2">
      <c r="A920">
        <v>2017</v>
      </c>
      <c r="B920" s="1" t="s">
        <v>23</v>
      </c>
      <c r="C920" s="1" t="s">
        <v>13</v>
      </c>
      <c r="D920">
        <v>29780</v>
      </c>
      <c r="E920">
        <v>149950</v>
      </c>
      <c r="F920">
        <v>166788</v>
      </c>
      <c r="G920">
        <v>199740</v>
      </c>
      <c r="H920">
        <v>103.6</v>
      </c>
    </row>
    <row r="921" spans="1:8" x14ac:dyDescent="0.2">
      <c r="A921">
        <v>2017</v>
      </c>
      <c r="B921" s="1" t="s">
        <v>23</v>
      </c>
      <c r="C921" s="1" t="s">
        <v>14</v>
      </c>
      <c r="D921">
        <v>25839</v>
      </c>
      <c r="E921">
        <v>120000</v>
      </c>
      <c r="F921">
        <v>136429</v>
      </c>
      <c r="G921">
        <v>159846</v>
      </c>
      <c r="H921">
        <v>103.6</v>
      </c>
    </row>
    <row r="922" spans="1:8" x14ac:dyDescent="0.2">
      <c r="A922">
        <v>2018</v>
      </c>
      <c r="B922" s="1" t="s">
        <v>10</v>
      </c>
      <c r="C922" s="1" t="s">
        <v>11</v>
      </c>
      <c r="D922">
        <v>29364</v>
      </c>
      <c r="E922">
        <v>275000</v>
      </c>
      <c r="F922">
        <v>305423</v>
      </c>
      <c r="G922">
        <v>358019</v>
      </c>
      <c r="H922">
        <v>106</v>
      </c>
    </row>
    <row r="923" spans="1:8" x14ac:dyDescent="0.2">
      <c r="A923">
        <v>2018</v>
      </c>
      <c r="B923" s="1" t="s">
        <v>10</v>
      </c>
      <c r="C923" s="1" t="s">
        <v>12</v>
      </c>
      <c r="D923">
        <v>5003</v>
      </c>
      <c r="E923">
        <v>120000</v>
      </c>
      <c r="F923">
        <v>132361</v>
      </c>
      <c r="G923">
        <v>156226</v>
      </c>
      <c r="H923">
        <v>106</v>
      </c>
    </row>
    <row r="924" spans="1:8" x14ac:dyDescent="0.2">
      <c r="A924">
        <v>2018</v>
      </c>
      <c r="B924" s="1" t="s">
        <v>10</v>
      </c>
      <c r="C924" s="1" t="s">
        <v>13</v>
      </c>
      <c r="D924">
        <v>26031</v>
      </c>
      <c r="E924">
        <v>173000</v>
      </c>
      <c r="F924">
        <v>184473</v>
      </c>
      <c r="G924">
        <v>225226</v>
      </c>
      <c r="H924">
        <v>106</v>
      </c>
    </row>
    <row r="925" spans="1:8" x14ac:dyDescent="0.2">
      <c r="A925">
        <v>2018</v>
      </c>
      <c r="B925" s="1" t="s">
        <v>10</v>
      </c>
      <c r="C925" s="1" t="s">
        <v>14</v>
      </c>
      <c r="D925">
        <v>18775</v>
      </c>
      <c r="E925">
        <v>144950</v>
      </c>
      <c r="F925">
        <v>155061</v>
      </c>
      <c r="G925">
        <v>188708</v>
      </c>
      <c r="H925">
        <v>106</v>
      </c>
    </row>
    <row r="926" spans="1:8" x14ac:dyDescent="0.2">
      <c r="A926">
        <v>2018</v>
      </c>
      <c r="B926" s="1" t="s">
        <v>15</v>
      </c>
      <c r="C926" s="1" t="s">
        <v>11</v>
      </c>
      <c r="D926">
        <v>29697</v>
      </c>
      <c r="E926">
        <v>390000</v>
      </c>
      <c r="F926">
        <v>460230</v>
      </c>
      <c r="G926">
        <v>507736</v>
      </c>
      <c r="H926">
        <v>106</v>
      </c>
    </row>
    <row r="927" spans="1:8" x14ac:dyDescent="0.2">
      <c r="A927">
        <v>2018</v>
      </c>
      <c r="B927" s="1" t="s">
        <v>15</v>
      </c>
      <c r="C927" s="1" t="s">
        <v>12</v>
      </c>
      <c r="D927">
        <v>16199</v>
      </c>
      <c r="E927">
        <v>195000</v>
      </c>
      <c r="F927">
        <v>216776</v>
      </c>
      <c r="G927">
        <v>253868</v>
      </c>
      <c r="H927">
        <v>106</v>
      </c>
    </row>
    <row r="928" spans="1:8" x14ac:dyDescent="0.2">
      <c r="A928">
        <v>2018</v>
      </c>
      <c r="B928" s="1" t="s">
        <v>15</v>
      </c>
      <c r="C928" s="1" t="s">
        <v>13</v>
      </c>
      <c r="D928">
        <v>27089</v>
      </c>
      <c r="E928">
        <v>290000</v>
      </c>
      <c r="F928">
        <v>319918</v>
      </c>
      <c r="G928">
        <v>377547</v>
      </c>
      <c r="H928">
        <v>106</v>
      </c>
    </row>
    <row r="929" spans="1:8" x14ac:dyDescent="0.2">
      <c r="A929">
        <v>2018</v>
      </c>
      <c r="B929" s="1" t="s">
        <v>15</v>
      </c>
      <c r="C929" s="1" t="s">
        <v>14</v>
      </c>
      <c r="D929">
        <v>25148</v>
      </c>
      <c r="E929">
        <v>252000</v>
      </c>
      <c r="F929">
        <v>273647</v>
      </c>
      <c r="G929">
        <v>328075</v>
      </c>
      <c r="H929">
        <v>106</v>
      </c>
    </row>
    <row r="930" spans="1:8" x14ac:dyDescent="0.2">
      <c r="A930">
        <v>2018</v>
      </c>
      <c r="B930" s="1" t="s">
        <v>16</v>
      </c>
      <c r="C930" s="1" t="s">
        <v>11</v>
      </c>
      <c r="D930">
        <v>3993</v>
      </c>
      <c r="E930">
        <v>773000</v>
      </c>
      <c r="F930">
        <v>1064990</v>
      </c>
      <c r="G930">
        <v>1006358</v>
      </c>
      <c r="H930">
        <v>106</v>
      </c>
    </row>
    <row r="931" spans="1:8" x14ac:dyDescent="0.2">
      <c r="A931">
        <v>2018</v>
      </c>
      <c r="B931" s="1" t="s">
        <v>16</v>
      </c>
      <c r="C931" s="1" t="s">
        <v>12</v>
      </c>
      <c r="D931">
        <v>48436</v>
      </c>
      <c r="E931">
        <v>425000</v>
      </c>
      <c r="F931">
        <v>551096</v>
      </c>
      <c r="G931">
        <v>553302</v>
      </c>
      <c r="H931">
        <v>106</v>
      </c>
    </row>
    <row r="932" spans="1:8" x14ac:dyDescent="0.2">
      <c r="A932">
        <v>2018</v>
      </c>
      <c r="B932" s="1" t="s">
        <v>16</v>
      </c>
      <c r="C932" s="1" t="s">
        <v>13</v>
      </c>
      <c r="D932">
        <v>12241</v>
      </c>
      <c r="E932">
        <v>530000</v>
      </c>
      <c r="F932">
        <v>656282</v>
      </c>
      <c r="G932">
        <v>690000</v>
      </c>
      <c r="H932">
        <v>106</v>
      </c>
    </row>
    <row r="933" spans="1:8" x14ac:dyDescent="0.2">
      <c r="A933">
        <v>2018</v>
      </c>
      <c r="B933" s="1" t="s">
        <v>16</v>
      </c>
      <c r="C933" s="1" t="s">
        <v>14</v>
      </c>
      <c r="D933">
        <v>22815</v>
      </c>
      <c r="E933">
        <v>487500</v>
      </c>
      <c r="F933">
        <v>674643</v>
      </c>
      <c r="G933">
        <v>634670</v>
      </c>
      <c r="H933">
        <v>106</v>
      </c>
    </row>
    <row r="934" spans="1:8" x14ac:dyDescent="0.2">
      <c r="A934">
        <v>2018</v>
      </c>
      <c r="B934" s="1" t="s">
        <v>17</v>
      </c>
      <c r="C934" s="1" t="s">
        <v>11</v>
      </c>
      <c r="D934">
        <v>9401</v>
      </c>
      <c r="E934">
        <v>235000</v>
      </c>
      <c r="F934">
        <v>265183</v>
      </c>
      <c r="G934">
        <v>305943</v>
      </c>
      <c r="H934">
        <v>106</v>
      </c>
    </row>
    <row r="935" spans="1:8" x14ac:dyDescent="0.2">
      <c r="A935">
        <v>2018</v>
      </c>
      <c r="B935" s="1" t="s">
        <v>17</v>
      </c>
      <c r="C935" s="1" t="s">
        <v>12</v>
      </c>
      <c r="D935">
        <v>3651</v>
      </c>
      <c r="E935">
        <v>99000</v>
      </c>
      <c r="F935">
        <v>113498</v>
      </c>
      <c r="G935">
        <v>128887</v>
      </c>
      <c r="H935">
        <v>106</v>
      </c>
    </row>
    <row r="936" spans="1:8" x14ac:dyDescent="0.2">
      <c r="A936">
        <v>2018</v>
      </c>
      <c r="B936" s="1" t="s">
        <v>17</v>
      </c>
      <c r="C936" s="1" t="s">
        <v>13</v>
      </c>
      <c r="D936">
        <v>13053</v>
      </c>
      <c r="E936">
        <v>136000</v>
      </c>
      <c r="F936">
        <v>148533</v>
      </c>
      <c r="G936">
        <v>177057</v>
      </c>
      <c r="H936">
        <v>106</v>
      </c>
    </row>
    <row r="937" spans="1:8" x14ac:dyDescent="0.2">
      <c r="A937">
        <v>2018</v>
      </c>
      <c r="B937" s="1" t="s">
        <v>17</v>
      </c>
      <c r="C937" s="1" t="s">
        <v>14</v>
      </c>
      <c r="D937">
        <v>12221</v>
      </c>
      <c r="E937">
        <v>100000</v>
      </c>
      <c r="F937">
        <v>119595</v>
      </c>
      <c r="G937">
        <v>130189</v>
      </c>
      <c r="H937">
        <v>106</v>
      </c>
    </row>
    <row r="938" spans="1:8" x14ac:dyDescent="0.2">
      <c r="A938">
        <v>2018</v>
      </c>
      <c r="B938" s="1" t="s">
        <v>18</v>
      </c>
      <c r="C938" s="1" t="s">
        <v>11</v>
      </c>
      <c r="D938">
        <v>24573</v>
      </c>
      <c r="E938">
        <v>275000</v>
      </c>
      <c r="F938">
        <v>324366</v>
      </c>
      <c r="G938">
        <v>358019</v>
      </c>
      <c r="H938">
        <v>106</v>
      </c>
    </row>
    <row r="939" spans="1:8" x14ac:dyDescent="0.2">
      <c r="A939">
        <v>2018</v>
      </c>
      <c r="B939" s="1" t="s">
        <v>18</v>
      </c>
      <c r="C939" s="1" t="s">
        <v>12</v>
      </c>
      <c r="D939">
        <v>13749</v>
      </c>
      <c r="E939">
        <v>124000</v>
      </c>
      <c r="F939">
        <v>142250</v>
      </c>
      <c r="G939">
        <v>161434</v>
      </c>
      <c r="H939">
        <v>106</v>
      </c>
    </row>
    <row r="940" spans="1:8" x14ac:dyDescent="0.2">
      <c r="A940">
        <v>2018</v>
      </c>
      <c r="B940" s="1" t="s">
        <v>18</v>
      </c>
      <c r="C940" s="1" t="s">
        <v>13</v>
      </c>
      <c r="D940">
        <v>39126</v>
      </c>
      <c r="E940">
        <v>165000</v>
      </c>
      <c r="F940">
        <v>186889</v>
      </c>
      <c r="G940">
        <v>214811</v>
      </c>
      <c r="H940">
        <v>106</v>
      </c>
    </row>
    <row r="941" spans="1:8" x14ac:dyDescent="0.2">
      <c r="A941">
        <v>2018</v>
      </c>
      <c r="B941" s="1" t="s">
        <v>18</v>
      </c>
      <c r="C941" s="1" t="s">
        <v>14</v>
      </c>
      <c r="D941">
        <v>35278</v>
      </c>
      <c r="E941">
        <v>115000</v>
      </c>
      <c r="F941">
        <v>131841</v>
      </c>
      <c r="G941">
        <v>149717</v>
      </c>
      <c r="H941">
        <v>106</v>
      </c>
    </row>
    <row r="942" spans="1:8" x14ac:dyDescent="0.2">
      <c r="A942">
        <v>2018</v>
      </c>
      <c r="B942" s="1" t="s">
        <v>19</v>
      </c>
      <c r="C942" s="1" t="s">
        <v>11</v>
      </c>
      <c r="D942">
        <v>38842</v>
      </c>
      <c r="E942">
        <v>495000</v>
      </c>
      <c r="F942">
        <v>588638</v>
      </c>
      <c r="G942">
        <v>644434</v>
      </c>
      <c r="H942">
        <v>106</v>
      </c>
    </row>
    <row r="943" spans="1:8" x14ac:dyDescent="0.2">
      <c r="A943">
        <v>2018</v>
      </c>
      <c r="B943" s="1" t="s">
        <v>19</v>
      </c>
      <c r="C943" s="1" t="s">
        <v>12</v>
      </c>
      <c r="D943">
        <v>31865</v>
      </c>
      <c r="E943">
        <v>212500</v>
      </c>
      <c r="F943">
        <v>232217</v>
      </c>
      <c r="G943">
        <v>276651</v>
      </c>
      <c r="H943">
        <v>106</v>
      </c>
    </row>
    <row r="944" spans="1:8" x14ac:dyDescent="0.2">
      <c r="A944">
        <v>2018</v>
      </c>
      <c r="B944" s="1" t="s">
        <v>19</v>
      </c>
      <c r="C944" s="1" t="s">
        <v>13</v>
      </c>
      <c r="D944">
        <v>36794</v>
      </c>
      <c r="E944">
        <v>335000</v>
      </c>
      <c r="F944">
        <v>364829</v>
      </c>
      <c r="G944">
        <v>436132</v>
      </c>
      <c r="H944">
        <v>106</v>
      </c>
    </row>
    <row r="945" spans="1:8" x14ac:dyDescent="0.2">
      <c r="A945">
        <v>2018</v>
      </c>
      <c r="B945" s="1" t="s">
        <v>19</v>
      </c>
      <c r="C945" s="1" t="s">
        <v>14</v>
      </c>
      <c r="D945">
        <v>35951</v>
      </c>
      <c r="E945">
        <v>280000</v>
      </c>
      <c r="F945">
        <v>305931</v>
      </c>
      <c r="G945">
        <v>364528</v>
      </c>
      <c r="H945">
        <v>106</v>
      </c>
    </row>
    <row r="946" spans="1:8" x14ac:dyDescent="0.2">
      <c r="A946">
        <v>2018</v>
      </c>
      <c r="B946" s="1" t="s">
        <v>20</v>
      </c>
      <c r="C946" s="1" t="s">
        <v>11</v>
      </c>
      <c r="D946">
        <v>29889</v>
      </c>
      <c r="E946">
        <v>360000</v>
      </c>
      <c r="F946">
        <v>413842</v>
      </c>
      <c r="G946">
        <v>468679</v>
      </c>
      <c r="H946">
        <v>106</v>
      </c>
    </row>
    <row r="947" spans="1:8" x14ac:dyDescent="0.2">
      <c r="A947">
        <v>2018</v>
      </c>
      <c r="B947" s="1" t="s">
        <v>20</v>
      </c>
      <c r="C947" s="1" t="s">
        <v>12</v>
      </c>
      <c r="D947">
        <v>17805</v>
      </c>
      <c r="E947">
        <v>169000</v>
      </c>
      <c r="F947">
        <v>199885</v>
      </c>
      <c r="G947">
        <v>220019</v>
      </c>
      <c r="H947">
        <v>106</v>
      </c>
    </row>
    <row r="948" spans="1:8" x14ac:dyDescent="0.2">
      <c r="A948">
        <v>2018</v>
      </c>
      <c r="B948" s="1" t="s">
        <v>20</v>
      </c>
      <c r="C948" s="1" t="s">
        <v>13</v>
      </c>
      <c r="D948">
        <v>24090</v>
      </c>
      <c r="E948">
        <v>245000</v>
      </c>
      <c r="F948">
        <v>267590</v>
      </c>
      <c r="G948">
        <v>318962</v>
      </c>
      <c r="H948">
        <v>106</v>
      </c>
    </row>
    <row r="949" spans="1:8" x14ac:dyDescent="0.2">
      <c r="A949">
        <v>2018</v>
      </c>
      <c r="B949" s="1" t="s">
        <v>20</v>
      </c>
      <c r="C949" s="1" t="s">
        <v>14</v>
      </c>
      <c r="D949">
        <v>27969</v>
      </c>
      <c r="E949">
        <v>210500</v>
      </c>
      <c r="F949">
        <v>235857</v>
      </c>
      <c r="G949">
        <v>274047</v>
      </c>
      <c r="H949">
        <v>106</v>
      </c>
    </row>
    <row r="950" spans="1:8" x14ac:dyDescent="0.2">
      <c r="A950">
        <v>2018</v>
      </c>
      <c r="B950" s="1" t="s">
        <v>21</v>
      </c>
      <c r="C950" s="1" t="s">
        <v>11</v>
      </c>
      <c r="D950">
        <v>14684</v>
      </c>
      <c r="E950">
        <v>240000</v>
      </c>
      <c r="F950">
        <v>266852</v>
      </c>
      <c r="G950">
        <v>312453</v>
      </c>
      <c r="H950">
        <v>106</v>
      </c>
    </row>
    <row r="951" spans="1:8" x14ac:dyDescent="0.2">
      <c r="A951">
        <v>2018</v>
      </c>
      <c r="B951" s="1" t="s">
        <v>21</v>
      </c>
      <c r="C951" s="1" t="s">
        <v>12</v>
      </c>
      <c r="D951">
        <v>3774</v>
      </c>
      <c r="E951">
        <v>122500</v>
      </c>
      <c r="F951">
        <v>137485</v>
      </c>
      <c r="G951">
        <v>159481</v>
      </c>
      <c r="H951">
        <v>106</v>
      </c>
    </row>
    <row r="952" spans="1:8" x14ac:dyDescent="0.2">
      <c r="A952">
        <v>2018</v>
      </c>
      <c r="B952" s="1" t="s">
        <v>21</v>
      </c>
      <c r="C952" s="1" t="s">
        <v>13</v>
      </c>
      <c r="D952">
        <v>13876</v>
      </c>
      <c r="E952">
        <v>150000</v>
      </c>
      <c r="F952">
        <v>164584</v>
      </c>
      <c r="G952">
        <v>195283</v>
      </c>
      <c r="H952">
        <v>106</v>
      </c>
    </row>
    <row r="953" spans="1:8" x14ac:dyDescent="0.2">
      <c r="A953">
        <v>2018</v>
      </c>
      <c r="B953" s="1" t="s">
        <v>21</v>
      </c>
      <c r="C953" s="1" t="s">
        <v>14</v>
      </c>
      <c r="D953">
        <v>15249</v>
      </c>
      <c r="E953">
        <v>117500</v>
      </c>
      <c r="F953">
        <v>131220</v>
      </c>
      <c r="G953">
        <v>152972</v>
      </c>
      <c r="H953">
        <v>106</v>
      </c>
    </row>
    <row r="954" spans="1:8" x14ac:dyDescent="0.2">
      <c r="A954">
        <v>2018</v>
      </c>
      <c r="B954" s="1" t="s">
        <v>22</v>
      </c>
      <c r="C954" s="1" t="s">
        <v>11</v>
      </c>
      <c r="D954">
        <v>23469</v>
      </c>
      <c r="E954">
        <v>309995</v>
      </c>
      <c r="F954">
        <v>351448</v>
      </c>
      <c r="G954">
        <v>403578</v>
      </c>
      <c r="H954">
        <v>106</v>
      </c>
    </row>
    <row r="955" spans="1:8" x14ac:dyDescent="0.2">
      <c r="A955">
        <v>2018</v>
      </c>
      <c r="B955" s="1" t="s">
        <v>22</v>
      </c>
      <c r="C955" s="1" t="s">
        <v>12</v>
      </c>
      <c r="D955">
        <v>10205</v>
      </c>
      <c r="E955">
        <v>132000</v>
      </c>
      <c r="F955">
        <v>151665</v>
      </c>
      <c r="G955">
        <v>171849</v>
      </c>
      <c r="H955">
        <v>106</v>
      </c>
    </row>
    <row r="956" spans="1:8" x14ac:dyDescent="0.2">
      <c r="A956">
        <v>2018</v>
      </c>
      <c r="B956" s="1" t="s">
        <v>22</v>
      </c>
      <c r="C956" s="1" t="s">
        <v>13</v>
      </c>
      <c r="D956">
        <v>28983</v>
      </c>
      <c r="E956">
        <v>182000</v>
      </c>
      <c r="F956">
        <v>200657</v>
      </c>
      <c r="G956">
        <v>236943</v>
      </c>
      <c r="H956">
        <v>106</v>
      </c>
    </row>
    <row r="957" spans="1:8" x14ac:dyDescent="0.2">
      <c r="A957">
        <v>2018</v>
      </c>
      <c r="B957" s="1" t="s">
        <v>22</v>
      </c>
      <c r="C957" s="1" t="s">
        <v>14</v>
      </c>
      <c r="D957">
        <v>22303</v>
      </c>
      <c r="E957">
        <v>150000</v>
      </c>
      <c r="F957">
        <v>166670</v>
      </c>
      <c r="G957">
        <v>195283</v>
      </c>
      <c r="H957">
        <v>106</v>
      </c>
    </row>
    <row r="958" spans="1:8" x14ac:dyDescent="0.2">
      <c r="A958">
        <v>2018</v>
      </c>
      <c r="B958" s="1" t="s">
        <v>23</v>
      </c>
      <c r="C958" s="1" t="s">
        <v>11</v>
      </c>
      <c r="D958">
        <v>20848</v>
      </c>
      <c r="E958">
        <v>267000</v>
      </c>
      <c r="F958">
        <v>303251</v>
      </c>
      <c r="G958">
        <v>347604</v>
      </c>
      <c r="H958">
        <v>106</v>
      </c>
    </row>
    <row r="959" spans="1:8" x14ac:dyDescent="0.2">
      <c r="A959">
        <v>2018</v>
      </c>
      <c r="B959" s="1" t="s">
        <v>23</v>
      </c>
      <c r="C959" s="1" t="s">
        <v>12</v>
      </c>
      <c r="D959">
        <v>7669</v>
      </c>
      <c r="E959">
        <v>120000</v>
      </c>
      <c r="F959">
        <v>138342</v>
      </c>
      <c r="G959">
        <v>156226</v>
      </c>
      <c r="H959">
        <v>106</v>
      </c>
    </row>
    <row r="960" spans="1:8" x14ac:dyDescent="0.2">
      <c r="A960">
        <v>2018</v>
      </c>
      <c r="B960" s="1" t="s">
        <v>23</v>
      </c>
      <c r="C960" s="1" t="s">
        <v>13</v>
      </c>
      <c r="D960">
        <v>29922</v>
      </c>
      <c r="E960">
        <v>155000</v>
      </c>
      <c r="F960">
        <v>172650</v>
      </c>
      <c r="G960">
        <v>201792</v>
      </c>
      <c r="H960">
        <v>106</v>
      </c>
    </row>
    <row r="961" spans="1:8" x14ac:dyDescent="0.2">
      <c r="A961">
        <v>2018</v>
      </c>
      <c r="B961" s="1" t="s">
        <v>23</v>
      </c>
      <c r="C961" s="1" t="s">
        <v>14</v>
      </c>
      <c r="D961">
        <v>25341</v>
      </c>
      <c r="E961">
        <v>123000</v>
      </c>
      <c r="F961">
        <v>139630</v>
      </c>
      <c r="G961">
        <v>160132</v>
      </c>
      <c r="H961">
        <v>106</v>
      </c>
    </row>
    <row r="962" spans="1:8" x14ac:dyDescent="0.2">
      <c r="A962">
        <v>2019</v>
      </c>
      <c r="B962" s="1" t="s">
        <v>10</v>
      </c>
      <c r="C962" s="1" t="s">
        <v>11</v>
      </c>
      <c r="D962">
        <v>28184</v>
      </c>
      <c r="E962">
        <v>280000</v>
      </c>
      <c r="F962">
        <v>312304</v>
      </c>
      <c r="G962">
        <v>358442</v>
      </c>
      <c r="H962">
        <v>107.8</v>
      </c>
    </row>
    <row r="963" spans="1:8" x14ac:dyDescent="0.2">
      <c r="A963">
        <v>2019</v>
      </c>
      <c r="B963" s="1" t="s">
        <v>10</v>
      </c>
      <c r="C963" s="1" t="s">
        <v>12</v>
      </c>
      <c r="D963">
        <v>4454</v>
      </c>
      <c r="E963">
        <v>115000</v>
      </c>
      <c r="F963">
        <v>130294</v>
      </c>
      <c r="G963">
        <v>147217</v>
      </c>
      <c r="H963">
        <v>107.8</v>
      </c>
    </row>
    <row r="964" spans="1:8" x14ac:dyDescent="0.2">
      <c r="A964">
        <v>2019</v>
      </c>
      <c r="B964" s="1" t="s">
        <v>10</v>
      </c>
      <c r="C964" s="1" t="s">
        <v>13</v>
      </c>
      <c r="D964">
        <v>25357</v>
      </c>
      <c r="E964">
        <v>177500</v>
      </c>
      <c r="F964">
        <v>188205</v>
      </c>
      <c r="G964">
        <v>227226</v>
      </c>
      <c r="H964">
        <v>107.8</v>
      </c>
    </row>
    <row r="965" spans="1:8" x14ac:dyDescent="0.2">
      <c r="A965">
        <v>2019</v>
      </c>
      <c r="B965" s="1" t="s">
        <v>10</v>
      </c>
      <c r="C965" s="1" t="s">
        <v>14</v>
      </c>
      <c r="D965">
        <v>17588</v>
      </c>
      <c r="E965">
        <v>147500</v>
      </c>
      <c r="F965">
        <v>156947</v>
      </c>
      <c r="G965">
        <v>188822</v>
      </c>
      <c r="H965">
        <v>107.8</v>
      </c>
    </row>
    <row r="966" spans="1:8" x14ac:dyDescent="0.2">
      <c r="A966">
        <v>2019</v>
      </c>
      <c r="B966" s="1" t="s">
        <v>15</v>
      </c>
      <c r="C966" s="1" t="s">
        <v>11</v>
      </c>
      <c r="D966">
        <v>29922</v>
      </c>
      <c r="E966">
        <v>390000</v>
      </c>
      <c r="F966">
        <v>458464</v>
      </c>
      <c r="G966">
        <v>499258</v>
      </c>
      <c r="H966">
        <v>107.8</v>
      </c>
    </row>
    <row r="967" spans="1:8" x14ac:dyDescent="0.2">
      <c r="A967">
        <v>2019</v>
      </c>
      <c r="B967" s="1" t="s">
        <v>15</v>
      </c>
      <c r="C967" s="1" t="s">
        <v>12</v>
      </c>
      <c r="D967">
        <v>14400</v>
      </c>
      <c r="E967">
        <v>197500</v>
      </c>
      <c r="F967">
        <v>218105</v>
      </c>
      <c r="G967">
        <v>252829</v>
      </c>
      <c r="H967">
        <v>107.8</v>
      </c>
    </row>
    <row r="968" spans="1:8" x14ac:dyDescent="0.2">
      <c r="A968">
        <v>2019</v>
      </c>
      <c r="B968" s="1" t="s">
        <v>15</v>
      </c>
      <c r="C968" s="1" t="s">
        <v>13</v>
      </c>
      <c r="D968">
        <v>26311</v>
      </c>
      <c r="E968">
        <v>290000</v>
      </c>
      <c r="F968">
        <v>319701</v>
      </c>
      <c r="G968">
        <v>371243</v>
      </c>
      <c r="H968">
        <v>107.8</v>
      </c>
    </row>
    <row r="969" spans="1:8" x14ac:dyDescent="0.2">
      <c r="A969">
        <v>2019</v>
      </c>
      <c r="B969" s="1" t="s">
        <v>15</v>
      </c>
      <c r="C969" s="1" t="s">
        <v>14</v>
      </c>
      <c r="D969">
        <v>23927</v>
      </c>
      <c r="E969">
        <v>255000</v>
      </c>
      <c r="F969">
        <v>275475</v>
      </c>
      <c r="G969">
        <v>326438</v>
      </c>
      <c r="H969">
        <v>107.8</v>
      </c>
    </row>
    <row r="970" spans="1:8" x14ac:dyDescent="0.2">
      <c r="A970">
        <v>2019</v>
      </c>
      <c r="B970" s="1" t="s">
        <v>16</v>
      </c>
      <c r="C970" s="1" t="s">
        <v>11</v>
      </c>
      <c r="D970">
        <v>4026</v>
      </c>
      <c r="E970">
        <v>765000</v>
      </c>
      <c r="F970">
        <v>1062147</v>
      </c>
      <c r="G970">
        <v>979314</v>
      </c>
      <c r="H970">
        <v>107.8</v>
      </c>
    </row>
    <row r="971" spans="1:8" x14ac:dyDescent="0.2">
      <c r="A971">
        <v>2019</v>
      </c>
      <c r="B971" s="1" t="s">
        <v>16</v>
      </c>
      <c r="C971" s="1" t="s">
        <v>12</v>
      </c>
      <c r="D971">
        <v>44708</v>
      </c>
      <c r="E971">
        <v>428500</v>
      </c>
      <c r="F971">
        <v>558629</v>
      </c>
      <c r="G971">
        <v>548544</v>
      </c>
      <c r="H971">
        <v>107.8</v>
      </c>
    </row>
    <row r="972" spans="1:8" x14ac:dyDescent="0.2">
      <c r="A972">
        <v>2019</v>
      </c>
      <c r="B972" s="1" t="s">
        <v>16</v>
      </c>
      <c r="C972" s="1" t="s">
        <v>13</v>
      </c>
      <c r="D972">
        <v>12540</v>
      </c>
      <c r="E972">
        <v>525000</v>
      </c>
      <c r="F972">
        <v>653385</v>
      </c>
      <c r="G972">
        <v>672078</v>
      </c>
      <c r="H972">
        <v>107.8</v>
      </c>
    </row>
    <row r="973" spans="1:8" x14ac:dyDescent="0.2">
      <c r="A973">
        <v>2019</v>
      </c>
      <c r="B973" s="1" t="s">
        <v>16</v>
      </c>
      <c r="C973" s="1" t="s">
        <v>14</v>
      </c>
      <c r="D973">
        <v>22532</v>
      </c>
      <c r="E973">
        <v>490000</v>
      </c>
      <c r="F973">
        <v>677321</v>
      </c>
      <c r="G973">
        <v>627273</v>
      </c>
      <c r="H973">
        <v>107.8</v>
      </c>
    </row>
    <row r="974" spans="1:8" x14ac:dyDescent="0.2">
      <c r="A974">
        <v>2019</v>
      </c>
      <c r="B974" s="1" t="s">
        <v>17</v>
      </c>
      <c r="C974" s="1" t="s">
        <v>11</v>
      </c>
      <c r="D974">
        <v>9559</v>
      </c>
      <c r="E974">
        <v>245000</v>
      </c>
      <c r="F974">
        <v>270042</v>
      </c>
      <c r="G974">
        <v>313636</v>
      </c>
      <c r="H974">
        <v>107.8</v>
      </c>
    </row>
    <row r="975" spans="1:8" x14ac:dyDescent="0.2">
      <c r="A975">
        <v>2019</v>
      </c>
      <c r="B975" s="1" t="s">
        <v>17</v>
      </c>
      <c r="C975" s="1" t="s">
        <v>12</v>
      </c>
      <c r="D975">
        <v>3373</v>
      </c>
      <c r="E975">
        <v>93500</v>
      </c>
      <c r="F975">
        <v>110226</v>
      </c>
      <c r="G975">
        <v>119694</v>
      </c>
      <c r="H975">
        <v>107.8</v>
      </c>
    </row>
    <row r="976" spans="1:8" x14ac:dyDescent="0.2">
      <c r="A976">
        <v>2019</v>
      </c>
      <c r="B976" s="1" t="s">
        <v>17</v>
      </c>
      <c r="C976" s="1" t="s">
        <v>13</v>
      </c>
      <c r="D976">
        <v>13166</v>
      </c>
      <c r="E976">
        <v>138000</v>
      </c>
      <c r="F976">
        <v>150972</v>
      </c>
      <c r="G976">
        <v>176660</v>
      </c>
      <c r="H976">
        <v>107.8</v>
      </c>
    </row>
    <row r="977" spans="1:8" x14ac:dyDescent="0.2">
      <c r="A977">
        <v>2019</v>
      </c>
      <c r="B977" s="1" t="s">
        <v>17</v>
      </c>
      <c r="C977" s="1" t="s">
        <v>14</v>
      </c>
      <c r="D977">
        <v>11616</v>
      </c>
      <c r="E977">
        <v>100000</v>
      </c>
      <c r="F977">
        <v>120010</v>
      </c>
      <c r="G977">
        <v>128015</v>
      </c>
      <c r="H977">
        <v>107.8</v>
      </c>
    </row>
    <row r="978" spans="1:8" x14ac:dyDescent="0.2">
      <c r="A978">
        <v>2019</v>
      </c>
      <c r="B978" s="1" t="s">
        <v>18</v>
      </c>
      <c r="C978" s="1" t="s">
        <v>11</v>
      </c>
      <c r="D978">
        <v>24473</v>
      </c>
      <c r="E978">
        <v>280000</v>
      </c>
      <c r="F978">
        <v>328639</v>
      </c>
      <c r="G978">
        <v>358442</v>
      </c>
      <c r="H978">
        <v>107.8</v>
      </c>
    </row>
    <row r="979" spans="1:8" x14ac:dyDescent="0.2">
      <c r="A979">
        <v>2019</v>
      </c>
      <c r="B979" s="1" t="s">
        <v>18</v>
      </c>
      <c r="C979" s="1" t="s">
        <v>12</v>
      </c>
      <c r="D979">
        <v>13267</v>
      </c>
      <c r="E979">
        <v>127950</v>
      </c>
      <c r="F979">
        <v>148405</v>
      </c>
      <c r="G979">
        <v>163795</v>
      </c>
      <c r="H979">
        <v>107.8</v>
      </c>
    </row>
    <row r="980" spans="1:8" x14ac:dyDescent="0.2">
      <c r="A980">
        <v>2019</v>
      </c>
      <c r="B980" s="1" t="s">
        <v>18</v>
      </c>
      <c r="C980" s="1" t="s">
        <v>13</v>
      </c>
      <c r="D980">
        <v>38462</v>
      </c>
      <c r="E980">
        <v>171000</v>
      </c>
      <c r="F980">
        <v>192749</v>
      </c>
      <c r="G980">
        <v>218905</v>
      </c>
      <c r="H980">
        <v>107.8</v>
      </c>
    </row>
    <row r="981" spans="1:8" x14ac:dyDescent="0.2">
      <c r="A981">
        <v>2019</v>
      </c>
      <c r="B981" s="1" t="s">
        <v>18</v>
      </c>
      <c r="C981" s="1" t="s">
        <v>14</v>
      </c>
      <c r="D981">
        <v>33555</v>
      </c>
      <c r="E981">
        <v>118500</v>
      </c>
      <c r="F981">
        <v>135060</v>
      </c>
      <c r="G981">
        <v>151698</v>
      </c>
      <c r="H981">
        <v>107.8</v>
      </c>
    </row>
    <row r="982" spans="1:8" x14ac:dyDescent="0.2">
      <c r="A982">
        <v>2019</v>
      </c>
      <c r="B982" s="1" t="s">
        <v>19</v>
      </c>
      <c r="C982" s="1" t="s">
        <v>11</v>
      </c>
      <c r="D982">
        <v>38959</v>
      </c>
      <c r="E982">
        <v>495000</v>
      </c>
      <c r="F982">
        <v>589183</v>
      </c>
      <c r="G982">
        <v>633673</v>
      </c>
      <c r="H982">
        <v>107.8</v>
      </c>
    </row>
    <row r="983" spans="1:8" x14ac:dyDescent="0.2">
      <c r="A983">
        <v>2019</v>
      </c>
      <c r="B983" s="1" t="s">
        <v>19</v>
      </c>
      <c r="C983" s="1" t="s">
        <v>12</v>
      </c>
      <c r="D983">
        <v>28664</v>
      </c>
      <c r="E983">
        <v>210000</v>
      </c>
      <c r="F983">
        <v>232797</v>
      </c>
      <c r="G983">
        <v>268831</v>
      </c>
      <c r="H983">
        <v>107.8</v>
      </c>
    </row>
    <row r="984" spans="1:8" x14ac:dyDescent="0.2">
      <c r="A984">
        <v>2019</v>
      </c>
      <c r="B984" s="1" t="s">
        <v>19</v>
      </c>
      <c r="C984" s="1" t="s">
        <v>13</v>
      </c>
      <c r="D984">
        <v>36180</v>
      </c>
      <c r="E984">
        <v>335000</v>
      </c>
      <c r="F984">
        <v>364636</v>
      </c>
      <c r="G984">
        <v>428850</v>
      </c>
      <c r="H984">
        <v>107.8</v>
      </c>
    </row>
    <row r="985" spans="1:8" x14ac:dyDescent="0.2">
      <c r="A985">
        <v>2019</v>
      </c>
      <c r="B985" s="1" t="s">
        <v>19</v>
      </c>
      <c r="C985" s="1" t="s">
        <v>14</v>
      </c>
      <c r="D985">
        <v>33894</v>
      </c>
      <c r="E985">
        <v>278000</v>
      </c>
      <c r="F985">
        <v>304577</v>
      </c>
      <c r="G985">
        <v>355881</v>
      </c>
      <c r="H985">
        <v>107.8</v>
      </c>
    </row>
    <row r="986" spans="1:8" x14ac:dyDescent="0.2">
      <c r="A986">
        <v>2019</v>
      </c>
      <c r="B986" s="1" t="s">
        <v>20</v>
      </c>
      <c r="C986" s="1" t="s">
        <v>11</v>
      </c>
      <c r="D986">
        <v>28814</v>
      </c>
      <c r="E986">
        <v>365000</v>
      </c>
      <c r="F986">
        <v>418916</v>
      </c>
      <c r="G986">
        <v>467254</v>
      </c>
      <c r="H986">
        <v>107.8</v>
      </c>
    </row>
    <row r="987" spans="1:8" x14ac:dyDescent="0.2">
      <c r="A987">
        <v>2019</v>
      </c>
      <c r="B987" s="1" t="s">
        <v>20</v>
      </c>
      <c r="C987" s="1" t="s">
        <v>12</v>
      </c>
      <c r="D987">
        <v>16035</v>
      </c>
      <c r="E987">
        <v>166000</v>
      </c>
      <c r="F987">
        <v>201862</v>
      </c>
      <c r="G987">
        <v>212505</v>
      </c>
      <c r="H987">
        <v>107.8</v>
      </c>
    </row>
    <row r="988" spans="1:8" x14ac:dyDescent="0.2">
      <c r="A988">
        <v>2019</v>
      </c>
      <c r="B988" s="1" t="s">
        <v>20</v>
      </c>
      <c r="C988" s="1" t="s">
        <v>13</v>
      </c>
      <c r="D988">
        <v>23366</v>
      </c>
      <c r="E988">
        <v>247972</v>
      </c>
      <c r="F988">
        <v>270562</v>
      </c>
      <c r="G988">
        <v>317442</v>
      </c>
      <c r="H988">
        <v>107.8</v>
      </c>
    </row>
    <row r="989" spans="1:8" x14ac:dyDescent="0.2">
      <c r="A989">
        <v>2019</v>
      </c>
      <c r="B989" s="1" t="s">
        <v>20</v>
      </c>
      <c r="C989" s="1" t="s">
        <v>14</v>
      </c>
      <c r="D989">
        <v>26114</v>
      </c>
      <c r="E989">
        <v>212500</v>
      </c>
      <c r="F989">
        <v>236509</v>
      </c>
      <c r="G989">
        <v>272032</v>
      </c>
      <c r="H989">
        <v>107.8</v>
      </c>
    </row>
    <row r="990" spans="1:8" x14ac:dyDescent="0.2">
      <c r="A990">
        <v>2019</v>
      </c>
      <c r="B990" s="1" t="s">
        <v>21</v>
      </c>
      <c r="C990" s="1" t="s">
        <v>11</v>
      </c>
      <c r="D990">
        <v>13988</v>
      </c>
      <c r="E990">
        <v>249950</v>
      </c>
      <c r="F990">
        <v>272735</v>
      </c>
      <c r="G990">
        <v>319973</v>
      </c>
      <c r="H990">
        <v>107.8</v>
      </c>
    </row>
    <row r="991" spans="1:8" x14ac:dyDescent="0.2">
      <c r="A991">
        <v>2019</v>
      </c>
      <c r="B991" s="1" t="s">
        <v>21</v>
      </c>
      <c r="C991" s="1" t="s">
        <v>12</v>
      </c>
      <c r="D991">
        <v>3480</v>
      </c>
      <c r="E991">
        <v>125748</v>
      </c>
      <c r="F991">
        <v>142168</v>
      </c>
      <c r="G991">
        <v>160975</v>
      </c>
      <c r="H991">
        <v>107.8</v>
      </c>
    </row>
    <row r="992" spans="1:8" x14ac:dyDescent="0.2">
      <c r="A992">
        <v>2019</v>
      </c>
      <c r="B992" s="1" t="s">
        <v>21</v>
      </c>
      <c r="C992" s="1" t="s">
        <v>13</v>
      </c>
      <c r="D992">
        <v>13610</v>
      </c>
      <c r="E992">
        <v>155500</v>
      </c>
      <c r="F992">
        <v>170637</v>
      </c>
      <c r="G992">
        <v>199063</v>
      </c>
      <c r="H992">
        <v>107.8</v>
      </c>
    </row>
    <row r="993" spans="1:8" x14ac:dyDescent="0.2">
      <c r="A993">
        <v>2019</v>
      </c>
      <c r="B993" s="1" t="s">
        <v>21</v>
      </c>
      <c r="C993" s="1" t="s">
        <v>14</v>
      </c>
      <c r="D993">
        <v>14810</v>
      </c>
      <c r="E993">
        <v>121500</v>
      </c>
      <c r="F993">
        <v>135891</v>
      </c>
      <c r="G993">
        <v>155538</v>
      </c>
      <c r="H993">
        <v>107.8</v>
      </c>
    </row>
    <row r="994" spans="1:8" x14ac:dyDescent="0.2">
      <c r="A994">
        <v>2019</v>
      </c>
      <c r="B994" s="1" t="s">
        <v>22</v>
      </c>
      <c r="C994" s="1" t="s">
        <v>11</v>
      </c>
      <c r="D994">
        <v>22593</v>
      </c>
      <c r="E994">
        <v>315000</v>
      </c>
      <c r="F994">
        <v>355513</v>
      </c>
      <c r="G994">
        <v>403247</v>
      </c>
      <c r="H994">
        <v>107.8</v>
      </c>
    </row>
    <row r="995" spans="1:8" x14ac:dyDescent="0.2">
      <c r="A995">
        <v>2019</v>
      </c>
      <c r="B995" s="1" t="s">
        <v>22</v>
      </c>
      <c r="C995" s="1" t="s">
        <v>12</v>
      </c>
      <c r="D995">
        <v>9100</v>
      </c>
      <c r="E995">
        <v>130000</v>
      </c>
      <c r="F995">
        <v>151686</v>
      </c>
      <c r="G995">
        <v>166419</v>
      </c>
      <c r="H995">
        <v>107.8</v>
      </c>
    </row>
    <row r="996" spans="1:8" x14ac:dyDescent="0.2">
      <c r="A996">
        <v>2019</v>
      </c>
      <c r="B996" s="1" t="s">
        <v>22</v>
      </c>
      <c r="C996" s="1" t="s">
        <v>13</v>
      </c>
      <c r="D996">
        <v>28044</v>
      </c>
      <c r="E996">
        <v>187500</v>
      </c>
      <c r="F996">
        <v>204531</v>
      </c>
      <c r="G996">
        <v>240028</v>
      </c>
      <c r="H996">
        <v>107.8</v>
      </c>
    </row>
    <row r="997" spans="1:8" x14ac:dyDescent="0.2">
      <c r="A997">
        <v>2019</v>
      </c>
      <c r="B997" s="1" t="s">
        <v>22</v>
      </c>
      <c r="C997" s="1" t="s">
        <v>14</v>
      </c>
      <c r="D997">
        <v>21528</v>
      </c>
      <c r="E997">
        <v>155000</v>
      </c>
      <c r="F997">
        <v>170362</v>
      </c>
      <c r="G997">
        <v>198423</v>
      </c>
      <c r="H997">
        <v>107.8</v>
      </c>
    </row>
    <row r="998" spans="1:8" x14ac:dyDescent="0.2">
      <c r="A998">
        <v>2019</v>
      </c>
      <c r="B998" s="1" t="s">
        <v>23</v>
      </c>
      <c r="C998" s="1" t="s">
        <v>11</v>
      </c>
      <c r="D998">
        <v>20540</v>
      </c>
      <c r="E998">
        <v>275000</v>
      </c>
      <c r="F998">
        <v>311707</v>
      </c>
      <c r="G998">
        <v>352041</v>
      </c>
      <c r="H998">
        <v>107.8</v>
      </c>
    </row>
    <row r="999" spans="1:8" x14ac:dyDescent="0.2">
      <c r="A999">
        <v>2019</v>
      </c>
      <c r="B999" s="1" t="s">
        <v>23</v>
      </c>
      <c r="C999" s="1" t="s">
        <v>12</v>
      </c>
      <c r="D999">
        <v>7155</v>
      </c>
      <c r="E999">
        <v>122500</v>
      </c>
      <c r="F999">
        <v>142991</v>
      </c>
      <c r="G999">
        <v>156818</v>
      </c>
      <c r="H999">
        <v>107.8</v>
      </c>
    </row>
    <row r="1000" spans="1:8" x14ac:dyDescent="0.2">
      <c r="A1000">
        <v>2019</v>
      </c>
      <c r="B1000" s="1" t="s">
        <v>23</v>
      </c>
      <c r="C1000" s="1" t="s">
        <v>13</v>
      </c>
      <c r="D1000">
        <v>30067</v>
      </c>
      <c r="E1000">
        <v>160000</v>
      </c>
      <c r="F1000">
        <v>176999</v>
      </c>
      <c r="G1000">
        <v>204824</v>
      </c>
      <c r="H1000">
        <v>107.8</v>
      </c>
    </row>
    <row r="1001" spans="1:8" x14ac:dyDescent="0.2">
      <c r="A1001">
        <v>2019</v>
      </c>
      <c r="B1001" s="1" t="s">
        <v>23</v>
      </c>
      <c r="C1001" s="1" t="s">
        <v>14</v>
      </c>
      <c r="D1001">
        <v>24424</v>
      </c>
      <c r="E1001">
        <v>125000</v>
      </c>
      <c r="F1001">
        <v>142934</v>
      </c>
      <c r="G1001">
        <v>160019</v>
      </c>
      <c r="H1001">
        <v>107.8</v>
      </c>
    </row>
    <row r="1002" spans="1:8" x14ac:dyDescent="0.2">
      <c r="A1002">
        <v>2020</v>
      </c>
      <c r="B1002" s="1" t="s">
        <v>10</v>
      </c>
      <c r="C1002" s="1" t="s">
        <v>11</v>
      </c>
      <c r="D1002">
        <v>26608</v>
      </c>
      <c r="E1002">
        <v>295000</v>
      </c>
      <c r="F1002">
        <v>329417</v>
      </c>
      <c r="G1002">
        <v>373829</v>
      </c>
      <c r="H1002">
        <v>108.9</v>
      </c>
    </row>
    <row r="1003" spans="1:8" x14ac:dyDescent="0.2">
      <c r="A1003">
        <v>2020</v>
      </c>
      <c r="B1003" s="1" t="s">
        <v>10</v>
      </c>
      <c r="C1003" s="1" t="s">
        <v>12</v>
      </c>
      <c r="D1003">
        <v>3480</v>
      </c>
      <c r="E1003">
        <v>120000</v>
      </c>
      <c r="F1003">
        <v>134774</v>
      </c>
      <c r="G1003">
        <v>152066</v>
      </c>
      <c r="H1003">
        <v>108.9</v>
      </c>
    </row>
    <row r="1004" spans="1:8" x14ac:dyDescent="0.2">
      <c r="A1004">
        <v>2020</v>
      </c>
      <c r="B1004" s="1" t="s">
        <v>10</v>
      </c>
      <c r="C1004" s="1" t="s">
        <v>13</v>
      </c>
      <c r="D1004">
        <v>22029</v>
      </c>
      <c r="E1004">
        <v>185000</v>
      </c>
      <c r="F1004">
        <v>198573</v>
      </c>
      <c r="G1004">
        <v>234435</v>
      </c>
      <c r="H1004">
        <v>108.9</v>
      </c>
    </row>
    <row r="1005" spans="1:8" x14ac:dyDescent="0.2">
      <c r="A1005">
        <v>2020</v>
      </c>
      <c r="B1005" s="1" t="s">
        <v>10</v>
      </c>
      <c r="C1005" s="1" t="s">
        <v>14</v>
      </c>
      <c r="D1005">
        <v>14376</v>
      </c>
      <c r="E1005">
        <v>155000</v>
      </c>
      <c r="F1005">
        <v>166269</v>
      </c>
      <c r="G1005">
        <v>196419</v>
      </c>
      <c r="H1005">
        <v>108.9</v>
      </c>
    </row>
    <row r="1006" spans="1:8" x14ac:dyDescent="0.2">
      <c r="A1006">
        <v>2020</v>
      </c>
      <c r="B1006" s="1" t="s">
        <v>15</v>
      </c>
      <c r="C1006" s="1" t="s">
        <v>11</v>
      </c>
      <c r="D1006">
        <v>29716</v>
      </c>
      <c r="E1006">
        <v>412500</v>
      </c>
      <c r="F1006">
        <v>479573</v>
      </c>
      <c r="G1006">
        <v>522727</v>
      </c>
      <c r="H1006">
        <v>108.9</v>
      </c>
    </row>
    <row r="1007" spans="1:8" x14ac:dyDescent="0.2">
      <c r="A1007">
        <v>2020</v>
      </c>
      <c r="B1007" s="1" t="s">
        <v>15</v>
      </c>
      <c r="C1007" s="1" t="s">
        <v>12</v>
      </c>
      <c r="D1007">
        <v>11299</v>
      </c>
      <c r="E1007">
        <v>200000</v>
      </c>
      <c r="F1007">
        <v>221634</v>
      </c>
      <c r="G1007">
        <v>253444</v>
      </c>
      <c r="H1007">
        <v>108.9</v>
      </c>
    </row>
    <row r="1008" spans="1:8" x14ac:dyDescent="0.2">
      <c r="A1008">
        <v>2020</v>
      </c>
      <c r="B1008" s="1" t="s">
        <v>15</v>
      </c>
      <c r="C1008" s="1" t="s">
        <v>13</v>
      </c>
      <c r="D1008">
        <v>24554</v>
      </c>
      <c r="E1008">
        <v>300000</v>
      </c>
      <c r="F1008">
        <v>336063</v>
      </c>
      <c r="G1008">
        <v>380165</v>
      </c>
      <c r="H1008">
        <v>108.9</v>
      </c>
    </row>
    <row r="1009" spans="1:8" x14ac:dyDescent="0.2">
      <c r="A1009">
        <v>2020</v>
      </c>
      <c r="B1009" s="1" t="s">
        <v>15</v>
      </c>
      <c r="C1009" s="1" t="s">
        <v>14</v>
      </c>
      <c r="D1009">
        <v>20721</v>
      </c>
      <c r="E1009">
        <v>265000</v>
      </c>
      <c r="F1009">
        <v>289624</v>
      </c>
      <c r="G1009">
        <v>335813</v>
      </c>
      <c r="H1009">
        <v>108.9</v>
      </c>
    </row>
    <row r="1010" spans="1:8" x14ac:dyDescent="0.2">
      <c r="A1010">
        <v>2020</v>
      </c>
      <c r="B1010" s="1" t="s">
        <v>16</v>
      </c>
      <c r="C1010" s="1" t="s">
        <v>11</v>
      </c>
      <c r="D1010">
        <v>4068</v>
      </c>
      <c r="E1010">
        <v>800000</v>
      </c>
      <c r="F1010">
        <v>1137153</v>
      </c>
      <c r="G1010">
        <v>1013774</v>
      </c>
      <c r="H1010">
        <v>108.9</v>
      </c>
    </row>
    <row r="1011" spans="1:8" x14ac:dyDescent="0.2">
      <c r="A1011">
        <v>2020</v>
      </c>
      <c r="B1011" s="1" t="s">
        <v>16</v>
      </c>
      <c r="C1011" s="1" t="s">
        <v>12</v>
      </c>
      <c r="D1011">
        <v>40948</v>
      </c>
      <c r="E1011">
        <v>446250</v>
      </c>
      <c r="F1011">
        <v>576738</v>
      </c>
      <c r="G1011">
        <v>565496</v>
      </c>
      <c r="H1011">
        <v>108.9</v>
      </c>
    </row>
    <row r="1012" spans="1:8" x14ac:dyDescent="0.2">
      <c r="A1012">
        <v>2020</v>
      </c>
      <c r="B1012" s="1" t="s">
        <v>16</v>
      </c>
      <c r="C1012" s="1" t="s">
        <v>13</v>
      </c>
      <c r="D1012">
        <v>11875</v>
      </c>
      <c r="E1012">
        <v>550000</v>
      </c>
      <c r="F1012">
        <v>693060</v>
      </c>
      <c r="G1012">
        <v>696970</v>
      </c>
      <c r="H1012">
        <v>108.9</v>
      </c>
    </row>
    <row r="1013" spans="1:8" x14ac:dyDescent="0.2">
      <c r="A1013">
        <v>2020</v>
      </c>
      <c r="B1013" s="1" t="s">
        <v>16</v>
      </c>
      <c r="C1013" s="1" t="s">
        <v>14</v>
      </c>
      <c r="D1013">
        <v>21044</v>
      </c>
      <c r="E1013">
        <v>525000</v>
      </c>
      <c r="F1013">
        <v>730899</v>
      </c>
      <c r="G1013">
        <v>665289</v>
      </c>
      <c r="H1013">
        <v>108.9</v>
      </c>
    </row>
    <row r="1014" spans="1:8" x14ac:dyDescent="0.2">
      <c r="A1014">
        <v>2020</v>
      </c>
      <c r="B1014" s="1" t="s">
        <v>17</v>
      </c>
      <c r="C1014" s="1" t="s">
        <v>11</v>
      </c>
      <c r="D1014">
        <v>9309</v>
      </c>
      <c r="E1014">
        <v>250000</v>
      </c>
      <c r="F1014">
        <v>283522</v>
      </c>
      <c r="G1014">
        <v>316804</v>
      </c>
      <c r="H1014">
        <v>108.9</v>
      </c>
    </row>
    <row r="1015" spans="1:8" x14ac:dyDescent="0.2">
      <c r="A1015">
        <v>2020</v>
      </c>
      <c r="B1015" s="1" t="s">
        <v>17</v>
      </c>
      <c r="C1015" s="1" t="s">
        <v>12</v>
      </c>
      <c r="D1015">
        <v>2946</v>
      </c>
      <c r="E1015">
        <v>90000</v>
      </c>
      <c r="F1015">
        <v>110032</v>
      </c>
      <c r="G1015">
        <v>114050</v>
      </c>
      <c r="H1015">
        <v>108.9</v>
      </c>
    </row>
    <row r="1016" spans="1:8" x14ac:dyDescent="0.2">
      <c r="A1016">
        <v>2020</v>
      </c>
      <c r="B1016" s="1" t="s">
        <v>17</v>
      </c>
      <c r="C1016" s="1" t="s">
        <v>13</v>
      </c>
      <c r="D1016">
        <v>11487</v>
      </c>
      <c r="E1016">
        <v>144000</v>
      </c>
      <c r="F1016">
        <v>157326</v>
      </c>
      <c r="G1016">
        <v>182479</v>
      </c>
      <c r="H1016">
        <v>108.9</v>
      </c>
    </row>
    <row r="1017" spans="1:8" x14ac:dyDescent="0.2">
      <c r="A1017">
        <v>2020</v>
      </c>
      <c r="B1017" s="1" t="s">
        <v>17</v>
      </c>
      <c r="C1017" s="1" t="s">
        <v>14</v>
      </c>
      <c r="D1017">
        <v>10563</v>
      </c>
      <c r="E1017">
        <v>105000</v>
      </c>
      <c r="F1017">
        <v>125352</v>
      </c>
      <c r="G1017">
        <v>133058</v>
      </c>
      <c r="H1017">
        <v>108.9</v>
      </c>
    </row>
    <row r="1018" spans="1:8" x14ac:dyDescent="0.2">
      <c r="A1018">
        <v>2020</v>
      </c>
      <c r="B1018" s="1" t="s">
        <v>18</v>
      </c>
      <c r="C1018" s="1" t="s">
        <v>11</v>
      </c>
      <c r="D1018">
        <v>23500</v>
      </c>
      <c r="E1018">
        <v>295000</v>
      </c>
      <c r="F1018">
        <v>346803</v>
      </c>
      <c r="G1018">
        <v>373829</v>
      </c>
      <c r="H1018">
        <v>108.9</v>
      </c>
    </row>
    <row r="1019" spans="1:8" x14ac:dyDescent="0.2">
      <c r="A1019">
        <v>2020</v>
      </c>
      <c r="B1019" s="1" t="s">
        <v>18</v>
      </c>
      <c r="C1019" s="1" t="s">
        <v>12</v>
      </c>
      <c r="D1019">
        <v>10873</v>
      </c>
      <c r="E1019">
        <v>140000</v>
      </c>
      <c r="F1019">
        <v>168822</v>
      </c>
      <c r="G1019">
        <v>177410</v>
      </c>
      <c r="H1019">
        <v>108.9</v>
      </c>
    </row>
    <row r="1020" spans="1:8" x14ac:dyDescent="0.2">
      <c r="A1020">
        <v>2020</v>
      </c>
      <c r="B1020" s="1" t="s">
        <v>18</v>
      </c>
      <c r="C1020" s="1" t="s">
        <v>13</v>
      </c>
      <c r="D1020">
        <v>34174</v>
      </c>
      <c r="E1020">
        <v>180000</v>
      </c>
      <c r="F1020">
        <v>204237</v>
      </c>
      <c r="G1020">
        <v>228099</v>
      </c>
      <c r="H1020">
        <v>108.9</v>
      </c>
    </row>
    <row r="1021" spans="1:8" x14ac:dyDescent="0.2">
      <c r="A1021">
        <v>2020</v>
      </c>
      <c r="B1021" s="1" t="s">
        <v>18</v>
      </c>
      <c r="C1021" s="1" t="s">
        <v>14</v>
      </c>
      <c r="D1021">
        <v>28754</v>
      </c>
      <c r="E1021">
        <v>125000</v>
      </c>
      <c r="F1021">
        <v>144342</v>
      </c>
      <c r="G1021">
        <v>158402</v>
      </c>
      <c r="H1021">
        <v>108.9</v>
      </c>
    </row>
    <row r="1022" spans="1:8" x14ac:dyDescent="0.2">
      <c r="A1022">
        <v>2020</v>
      </c>
      <c r="B1022" s="1" t="s">
        <v>19</v>
      </c>
      <c r="C1022" s="1" t="s">
        <v>11</v>
      </c>
      <c r="D1022">
        <v>39454</v>
      </c>
      <c r="E1022">
        <v>520000</v>
      </c>
      <c r="F1022">
        <v>627416</v>
      </c>
      <c r="G1022">
        <v>658953</v>
      </c>
      <c r="H1022">
        <v>108.9</v>
      </c>
    </row>
    <row r="1023" spans="1:8" x14ac:dyDescent="0.2">
      <c r="A1023">
        <v>2020</v>
      </c>
      <c r="B1023" s="1" t="s">
        <v>19</v>
      </c>
      <c r="C1023" s="1" t="s">
        <v>12</v>
      </c>
      <c r="D1023">
        <v>23217</v>
      </c>
      <c r="E1023">
        <v>211500</v>
      </c>
      <c r="F1023">
        <v>236438</v>
      </c>
      <c r="G1023">
        <v>268017</v>
      </c>
      <c r="H1023">
        <v>108.9</v>
      </c>
    </row>
    <row r="1024" spans="1:8" x14ac:dyDescent="0.2">
      <c r="A1024">
        <v>2020</v>
      </c>
      <c r="B1024" s="1" t="s">
        <v>19</v>
      </c>
      <c r="C1024" s="1" t="s">
        <v>13</v>
      </c>
      <c r="D1024">
        <v>34181</v>
      </c>
      <c r="E1024">
        <v>350000</v>
      </c>
      <c r="F1024">
        <v>383287</v>
      </c>
      <c r="G1024">
        <v>443526</v>
      </c>
      <c r="H1024">
        <v>108.9</v>
      </c>
    </row>
    <row r="1025" spans="1:8" x14ac:dyDescent="0.2">
      <c r="A1025">
        <v>2020</v>
      </c>
      <c r="B1025" s="1" t="s">
        <v>19</v>
      </c>
      <c r="C1025" s="1" t="s">
        <v>14</v>
      </c>
      <c r="D1025">
        <v>30309</v>
      </c>
      <c r="E1025">
        <v>287500</v>
      </c>
      <c r="F1025">
        <v>318242</v>
      </c>
      <c r="G1025">
        <v>364325</v>
      </c>
      <c r="H1025">
        <v>108.9</v>
      </c>
    </row>
    <row r="1026" spans="1:8" x14ac:dyDescent="0.2">
      <c r="A1026">
        <v>2020</v>
      </c>
      <c r="B1026" s="1" t="s">
        <v>20</v>
      </c>
      <c r="C1026" s="1" t="s">
        <v>11</v>
      </c>
      <c r="D1026">
        <v>28584</v>
      </c>
      <c r="E1026">
        <v>383000</v>
      </c>
      <c r="F1026">
        <v>448077</v>
      </c>
      <c r="G1026">
        <v>485344</v>
      </c>
      <c r="H1026">
        <v>108.9</v>
      </c>
    </row>
    <row r="1027" spans="1:8" x14ac:dyDescent="0.2">
      <c r="A1027">
        <v>2020</v>
      </c>
      <c r="B1027" s="1" t="s">
        <v>20</v>
      </c>
      <c r="C1027" s="1" t="s">
        <v>12</v>
      </c>
      <c r="D1027">
        <v>12938</v>
      </c>
      <c r="E1027">
        <v>175000</v>
      </c>
      <c r="F1027">
        <v>212276</v>
      </c>
      <c r="G1027">
        <v>221763</v>
      </c>
      <c r="H1027">
        <v>108.9</v>
      </c>
    </row>
    <row r="1028" spans="1:8" x14ac:dyDescent="0.2">
      <c r="A1028">
        <v>2020</v>
      </c>
      <c r="B1028" s="1" t="s">
        <v>20</v>
      </c>
      <c r="C1028" s="1" t="s">
        <v>13</v>
      </c>
      <c r="D1028">
        <v>20809</v>
      </c>
      <c r="E1028">
        <v>260000</v>
      </c>
      <c r="F1028">
        <v>285875</v>
      </c>
      <c r="G1028">
        <v>329477</v>
      </c>
      <c r="H1028">
        <v>108.9</v>
      </c>
    </row>
    <row r="1029" spans="1:8" x14ac:dyDescent="0.2">
      <c r="A1029">
        <v>2020</v>
      </c>
      <c r="B1029" s="1" t="s">
        <v>20</v>
      </c>
      <c r="C1029" s="1" t="s">
        <v>14</v>
      </c>
      <c r="D1029">
        <v>22624</v>
      </c>
      <c r="E1029">
        <v>222995</v>
      </c>
      <c r="F1029">
        <v>251609</v>
      </c>
      <c r="G1029">
        <v>282583</v>
      </c>
      <c r="H1029">
        <v>108.9</v>
      </c>
    </row>
    <row r="1030" spans="1:8" x14ac:dyDescent="0.2">
      <c r="A1030">
        <v>2020</v>
      </c>
      <c r="B1030" s="1" t="s">
        <v>21</v>
      </c>
      <c r="C1030" s="1" t="s">
        <v>11</v>
      </c>
      <c r="D1030">
        <v>11921</v>
      </c>
      <c r="E1030">
        <v>260000</v>
      </c>
      <c r="F1030">
        <v>291001</v>
      </c>
      <c r="G1030">
        <v>329477</v>
      </c>
      <c r="H1030">
        <v>108.9</v>
      </c>
    </row>
    <row r="1031" spans="1:8" x14ac:dyDescent="0.2">
      <c r="A1031">
        <v>2020</v>
      </c>
      <c r="B1031" s="1" t="s">
        <v>21</v>
      </c>
      <c r="C1031" s="1" t="s">
        <v>12</v>
      </c>
      <c r="D1031">
        <v>2437</v>
      </c>
      <c r="E1031">
        <v>126950</v>
      </c>
      <c r="F1031">
        <v>142822</v>
      </c>
      <c r="G1031">
        <v>160873</v>
      </c>
      <c r="H1031">
        <v>108.9</v>
      </c>
    </row>
    <row r="1032" spans="1:8" x14ac:dyDescent="0.2">
      <c r="A1032">
        <v>2020</v>
      </c>
      <c r="B1032" s="1" t="s">
        <v>21</v>
      </c>
      <c r="C1032" s="1" t="s">
        <v>13</v>
      </c>
      <c r="D1032">
        <v>11025</v>
      </c>
      <c r="E1032">
        <v>165000</v>
      </c>
      <c r="F1032">
        <v>180544</v>
      </c>
      <c r="G1032">
        <v>209091</v>
      </c>
      <c r="H1032">
        <v>108.9</v>
      </c>
    </row>
    <row r="1033" spans="1:8" x14ac:dyDescent="0.2">
      <c r="A1033">
        <v>2020</v>
      </c>
      <c r="B1033" s="1" t="s">
        <v>21</v>
      </c>
      <c r="C1033" s="1" t="s">
        <v>14</v>
      </c>
      <c r="D1033">
        <v>11662</v>
      </c>
      <c r="E1033">
        <v>126000</v>
      </c>
      <c r="F1033">
        <v>142057</v>
      </c>
      <c r="G1033">
        <v>159669</v>
      </c>
      <c r="H1033">
        <v>108.9</v>
      </c>
    </row>
    <row r="1034" spans="1:8" x14ac:dyDescent="0.2">
      <c r="A1034">
        <v>2020</v>
      </c>
      <c r="B1034" s="1" t="s">
        <v>22</v>
      </c>
      <c r="C1034" s="1" t="s">
        <v>11</v>
      </c>
      <c r="D1034">
        <v>21013</v>
      </c>
      <c r="E1034">
        <v>329995</v>
      </c>
      <c r="F1034">
        <v>376134</v>
      </c>
      <c r="G1034">
        <v>418175</v>
      </c>
      <c r="H1034">
        <v>108.9</v>
      </c>
    </row>
    <row r="1035" spans="1:8" x14ac:dyDescent="0.2">
      <c r="A1035">
        <v>2020</v>
      </c>
      <c r="B1035" s="1" t="s">
        <v>22</v>
      </c>
      <c r="C1035" s="1" t="s">
        <v>12</v>
      </c>
      <c r="D1035">
        <v>7248</v>
      </c>
      <c r="E1035">
        <v>132994</v>
      </c>
      <c r="F1035">
        <v>154425</v>
      </c>
      <c r="G1035">
        <v>168532</v>
      </c>
      <c r="H1035">
        <v>108.9</v>
      </c>
    </row>
    <row r="1036" spans="1:8" x14ac:dyDescent="0.2">
      <c r="A1036">
        <v>2020</v>
      </c>
      <c r="B1036" s="1" t="s">
        <v>22</v>
      </c>
      <c r="C1036" s="1" t="s">
        <v>13</v>
      </c>
      <c r="D1036">
        <v>23898</v>
      </c>
      <c r="E1036">
        <v>200000</v>
      </c>
      <c r="F1036">
        <v>217660</v>
      </c>
      <c r="G1036">
        <v>253444</v>
      </c>
      <c r="H1036">
        <v>108.9</v>
      </c>
    </row>
    <row r="1037" spans="1:8" x14ac:dyDescent="0.2">
      <c r="A1037">
        <v>2020</v>
      </c>
      <c r="B1037" s="1" t="s">
        <v>22</v>
      </c>
      <c r="C1037" s="1" t="s">
        <v>14</v>
      </c>
      <c r="D1037">
        <v>17284</v>
      </c>
      <c r="E1037">
        <v>164000</v>
      </c>
      <c r="F1037">
        <v>179893</v>
      </c>
      <c r="G1037">
        <v>207824</v>
      </c>
      <c r="H1037">
        <v>108.9</v>
      </c>
    </row>
    <row r="1038" spans="1:8" x14ac:dyDescent="0.2">
      <c r="A1038">
        <v>2020</v>
      </c>
      <c r="B1038" s="1" t="s">
        <v>23</v>
      </c>
      <c r="C1038" s="1" t="s">
        <v>11</v>
      </c>
      <c r="D1038">
        <v>19096</v>
      </c>
      <c r="E1038">
        <v>290000</v>
      </c>
      <c r="F1038">
        <v>330802</v>
      </c>
      <c r="G1038">
        <v>367493</v>
      </c>
      <c r="H1038">
        <v>108.9</v>
      </c>
    </row>
    <row r="1039" spans="1:8" x14ac:dyDescent="0.2">
      <c r="A1039">
        <v>2020</v>
      </c>
      <c r="B1039" s="1" t="s">
        <v>23</v>
      </c>
      <c r="C1039" s="1" t="s">
        <v>12</v>
      </c>
      <c r="D1039">
        <v>5886</v>
      </c>
      <c r="E1039">
        <v>125000</v>
      </c>
      <c r="F1039">
        <v>144834</v>
      </c>
      <c r="G1039">
        <v>158402</v>
      </c>
      <c r="H1039">
        <v>108.9</v>
      </c>
    </row>
    <row r="1040" spans="1:8" x14ac:dyDescent="0.2">
      <c r="A1040">
        <v>2020</v>
      </c>
      <c r="B1040" s="1" t="s">
        <v>23</v>
      </c>
      <c r="C1040" s="1" t="s">
        <v>13</v>
      </c>
      <c r="D1040">
        <v>25805</v>
      </c>
      <c r="E1040">
        <v>168500</v>
      </c>
      <c r="F1040">
        <v>188165</v>
      </c>
      <c r="G1040">
        <v>213526</v>
      </c>
      <c r="H1040">
        <v>108.9</v>
      </c>
    </row>
    <row r="1041" spans="1:8" x14ac:dyDescent="0.2">
      <c r="A1041">
        <v>2020</v>
      </c>
      <c r="B1041" s="1" t="s">
        <v>23</v>
      </c>
      <c r="C1041" s="1" t="s">
        <v>14</v>
      </c>
      <c r="D1041">
        <v>21049</v>
      </c>
      <c r="E1041">
        <v>130000</v>
      </c>
      <c r="F1041">
        <v>150869</v>
      </c>
      <c r="G1041">
        <v>164738</v>
      </c>
      <c r="H1041">
        <v>108.9</v>
      </c>
    </row>
    <row r="1042" spans="1:8" x14ac:dyDescent="0.2">
      <c r="A1042">
        <v>2021</v>
      </c>
      <c r="B1042" s="1" t="s">
        <v>10</v>
      </c>
      <c r="C1042" s="1" t="s">
        <v>11</v>
      </c>
      <c r="D1042">
        <v>38183</v>
      </c>
      <c r="E1042">
        <v>315000</v>
      </c>
      <c r="F1042">
        <v>353260</v>
      </c>
      <c r="G1042">
        <v>389516</v>
      </c>
      <c r="H1042">
        <v>111.6</v>
      </c>
    </row>
    <row r="1043" spans="1:8" x14ac:dyDescent="0.2">
      <c r="A1043">
        <v>2021</v>
      </c>
      <c r="B1043" s="1" t="s">
        <v>10</v>
      </c>
      <c r="C1043" s="1" t="s">
        <v>12</v>
      </c>
      <c r="D1043">
        <v>4892</v>
      </c>
      <c r="E1043">
        <v>126998</v>
      </c>
      <c r="F1043">
        <v>144138</v>
      </c>
      <c r="G1043">
        <v>157040</v>
      </c>
      <c r="H1043">
        <v>111.6</v>
      </c>
    </row>
    <row r="1044" spans="1:8" x14ac:dyDescent="0.2">
      <c r="A1044">
        <v>2021</v>
      </c>
      <c r="B1044" s="1" t="s">
        <v>10</v>
      </c>
      <c r="C1044" s="1" t="s">
        <v>13</v>
      </c>
      <c r="D1044">
        <v>30451</v>
      </c>
      <c r="E1044">
        <v>202000</v>
      </c>
      <c r="F1044">
        <v>214828</v>
      </c>
      <c r="G1044">
        <v>249785</v>
      </c>
      <c r="H1044">
        <v>111.6</v>
      </c>
    </row>
    <row r="1045" spans="1:8" x14ac:dyDescent="0.2">
      <c r="A1045">
        <v>2021</v>
      </c>
      <c r="B1045" s="1" t="s">
        <v>10</v>
      </c>
      <c r="C1045" s="1" t="s">
        <v>14</v>
      </c>
      <c r="D1045">
        <v>20028</v>
      </c>
      <c r="E1045">
        <v>170000</v>
      </c>
      <c r="F1045">
        <v>182634</v>
      </c>
      <c r="G1045">
        <v>210215</v>
      </c>
      <c r="H1045">
        <v>111.6</v>
      </c>
    </row>
    <row r="1046" spans="1:8" x14ac:dyDescent="0.2">
      <c r="A1046">
        <v>2021</v>
      </c>
      <c r="B1046" s="1" t="s">
        <v>15</v>
      </c>
      <c r="C1046" s="1" t="s">
        <v>11</v>
      </c>
      <c r="D1046">
        <v>43460</v>
      </c>
      <c r="E1046">
        <v>435000</v>
      </c>
      <c r="F1046">
        <v>515324</v>
      </c>
      <c r="G1046">
        <v>537903</v>
      </c>
      <c r="H1046">
        <v>111.6</v>
      </c>
    </row>
    <row r="1047" spans="1:8" x14ac:dyDescent="0.2">
      <c r="A1047">
        <v>2021</v>
      </c>
      <c r="B1047" s="1" t="s">
        <v>15</v>
      </c>
      <c r="C1047" s="1" t="s">
        <v>12</v>
      </c>
      <c r="D1047">
        <v>17274</v>
      </c>
      <c r="E1047">
        <v>207500</v>
      </c>
      <c r="F1047">
        <v>229298</v>
      </c>
      <c r="G1047">
        <v>256586</v>
      </c>
      <c r="H1047">
        <v>111.6</v>
      </c>
    </row>
    <row r="1048" spans="1:8" x14ac:dyDescent="0.2">
      <c r="A1048">
        <v>2021</v>
      </c>
      <c r="B1048" s="1" t="s">
        <v>15</v>
      </c>
      <c r="C1048" s="1" t="s">
        <v>13</v>
      </c>
      <c r="D1048">
        <v>36244</v>
      </c>
      <c r="E1048">
        <v>320000</v>
      </c>
      <c r="F1048">
        <v>356307</v>
      </c>
      <c r="G1048">
        <v>395699</v>
      </c>
      <c r="H1048">
        <v>111.6</v>
      </c>
    </row>
    <row r="1049" spans="1:8" x14ac:dyDescent="0.2">
      <c r="A1049">
        <v>2021</v>
      </c>
      <c r="B1049" s="1" t="s">
        <v>15</v>
      </c>
      <c r="C1049" s="1" t="s">
        <v>14</v>
      </c>
      <c r="D1049">
        <v>31634</v>
      </c>
      <c r="E1049">
        <v>284000</v>
      </c>
      <c r="F1049">
        <v>308745</v>
      </c>
      <c r="G1049">
        <v>351183</v>
      </c>
      <c r="H1049">
        <v>111.6</v>
      </c>
    </row>
    <row r="1050" spans="1:8" x14ac:dyDescent="0.2">
      <c r="A1050">
        <v>2021</v>
      </c>
      <c r="B1050" s="1" t="s">
        <v>16</v>
      </c>
      <c r="C1050" s="1" t="s">
        <v>11</v>
      </c>
      <c r="D1050">
        <v>5977</v>
      </c>
      <c r="E1050">
        <v>850000</v>
      </c>
      <c r="F1050">
        <v>1210461</v>
      </c>
      <c r="G1050">
        <v>1051075</v>
      </c>
      <c r="H1050">
        <v>111.6</v>
      </c>
    </row>
    <row r="1051" spans="1:8" x14ac:dyDescent="0.2">
      <c r="A1051">
        <v>2021</v>
      </c>
      <c r="B1051" s="1" t="s">
        <v>16</v>
      </c>
      <c r="C1051" s="1" t="s">
        <v>12</v>
      </c>
      <c r="D1051">
        <v>59243</v>
      </c>
      <c r="E1051">
        <v>440000</v>
      </c>
      <c r="F1051">
        <v>550678</v>
      </c>
      <c r="G1051">
        <v>544086</v>
      </c>
      <c r="H1051">
        <v>111.6</v>
      </c>
    </row>
    <row r="1052" spans="1:8" x14ac:dyDescent="0.2">
      <c r="A1052">
        <v>2021</v>
      </c>
      <c r="B1052" s="1" t="s">
        <v>16</v>
      </c>
      <c r="C1052" s="1" t="s">
        <v>13</v>
      </c>
      <c r="D1052">
        <v>17789</v>
      </c>
      <c r="E1052">
        <v>580000</v>
      </c>
      <c r="F1052">
        <v>737724</v>
      </c>
      <c r="G1052">
        <v>717204</v>
      </c>
      <c r="H1052">
        <v>111.6</v>
      </c>
    </row>
    <row r="1053" spans="1:8" x14ac:dyDescent="0.2">
      <c r="A1053">
        <v>2021</v>
      </c>
      <c r="B1053" s="1" t="s">
        <v>16</v>
      </c>
      <c r="C1053" s="1" t="s">
        <v>14</v>
      </c>
      <c r="D1053">
        <v>32741</v>
      </c>
      <c r="E1053">
        <v>550000</v>
      </c>
      <c r="F1053">
        <v>753127</v>
      </c>
      <c r="G1053">
        <v>680108</v>
      </c>
      <c r="H1053">
        <v>111.6</v>
      </c>
    </row>
    <row r="1054" spans="1:8" x14ac:dyDescent="0.2">
      <c r="A1054">
        <v>2021</v>
      </c>
      <c r="B1054" s="1" t="s">
        <v>17</v>
      </c>
      <c r="C1054" s="1" t="s">
        <v>11</v>
      </c>
      <c r="D1054">
        <v>12296</v>
      </c>
      <c r="E1054">
        <v>267950</v>
      </c>
      <c r="F1054">
        <v>306636</v>
      </c>
      <c r="G1054">
        <v>331336</v>
      </c>
      <c r="H1054">
        <v>111.6</v>
      </c>
    </row>
    <row r="1055" spans="1:8" x14ac:dyDescent="0.2">
      <c r="A1055">
        <v>2021</v>
      </c>
      <c r="B1055" s="1" t="s">
        <v>17</v>
      </c>
      <c r="C1055" s="1" t="s">
        <v>12</v>
      </c>
      <c r="D1055">
        <v>4331</v>
      </c>
      <c r="E1055">
        <v>99000</v>
      </c>
      <c r="F1055">
        <v>120143</v>
      </c>
      <c r="G1055">
        <v>122419</v>
      </c>
      <c r="H1055">
        <v>111.6</v>
      </c>
    </row>
    <row r="1056" spans="1:8" x14ac:dyDescent="0.2">
      <c r="A1056">
        <v>2021</v>
      </c>
      <c r="B1056" s="1" t="s">
        <v>17</v>
      </c>
      <c r="C1056" s="1" t="s">
        <v>13</v>
      </c>
      <c r="D1056">
        <v>16009</v>
      </c>
      <c r="E1056">
        <v>151000</v>
      </c>
      <c r="F1056">
        <v>167596</v>
      </c>
      <c r="G1056">
        <v>186720</v>
      </c>
      <c r="H1056">
        <v>111.6</v>
      </c>
    </row>
    <row r="1057" spans="1:8" x14ac:dyDescent="0.2">
      <c r="A1057">
        <v>2021</v>
      </c>
      <c r="B1057" s="1" t="s">
        <v>17</v>
      </c>
      <c r="C1057" s="1" t="s">
        <v>14</v>
      </c>
      <c r="D1057">
        <v>15004</v>
      </c>
      <c r="E1057">
        <v>112500</v>
      </c>
      <c r="F1057">
        <v>133912</v>
      </c>
      <c r="G1057">
        <v>139113</v>
      </c>
      <c r="H1057">
        <v>111.6</v>
      </c>
    </row>
    <row r="1058" spans="1:8" x14ac:dyDescent="0.2">
      <c r="A1058">
        <v>2021</v>
      </c>
      <c r="B1058" s="1" t="s">
        <v>18</v>
      </c>
      <c r="C1058" s="1" t="s">
        <v>11</v>
      </c>
      <c r="D1058">
        <v>31926</v>
      </c>
      <c r="E1058">
        <v>323000</v>
      </c>
      <c r="F1058">
        <v>381495</v>
      </c>
      <c r="G1058">
        <v>399409</v>
      </c>
      <c r="H1058">
        <v>111.6</v>
      </c>
    </row>
    <row r="1059" spans="1:8" x14ac:dyDescent="0.2">
      <c r="A1059">
        <v>2021</v>
      </c>
      <c r="B1059" s="1" t="s">
        <v>18</v>
      </c>
      <c r="C1059" s="1" t="s">
        <v>12</v>
      </c>
      <c r="D1059">
        <v>15339</v>
      </c>
      <c r="E1059">
        <v>150000</v>
      </c>
      <c r="F1059">
        <v>178155</v>
      </c>
      <c r="G1059">
        <v>185484</v>
      </c>
      <c r="H1059">
        <v>111.6</v>
      </c>
    </row>
    <row r="1060" spans="1:8" x14ac:dyDescent="0.2">
      <c r="A1060">
        <v>2021</v>
      </c>
      <c r="B1060" s="1" t="s">
        <v>18</v>
      </c>
      <c r="C1060" s="1" t="s">
        <v>13</v>
      </c>
      <c r="D1060">
        <v>46707</v>
      </c>
      <c r="E1060">
        <v>195000</v>
      </c>
      <c r="F1060">
        <v>222870</v>
      </c>
      <c r="G1060">
        <v>241129</v>
      </c>
      <c r="H1060">
        <v>111.6</v>
      </c>
    </row>
    <row r="1061" spans="1:8" x14ac:dyDescent="0.2">
      <c r="A1061">
        <v>2021</v>
      </c>
      <c r="B1061" s="1" t="s">
        <v>18</v>
      </c>
      <c r="C1061" s="1" t="s">
        <v>14</v>
      </c>
      <c r="D1061">
        <v>40385</v>
      </c>
      <c r="E1061">
        <v>140000</v>
      </c>
      <c r="F1061">
        <v>160787</v>
      </c>
      <c r="G1061">
        <v>173118</v>
      </c>
      <c r="H1061">
        <v>111.6</v>
      </c>
    </row>
    <row r="1062" spans="1:8" x14ac:dyDescent="0.2">
      <c r="A1062">
        <v>2021</v>
      </c>
      <c r="B1062" s="1" t="s">
        <v>19</v>
      </c>
      <c r="C1062" s="1" t="s">
        <v>11</v>
      </c>
      <c r="D1062">
        <v>57350</v>
      </c>
      <c r="E1062">
        <v>557500</v>
      </c>
      <c r="F1062">
        <v>674399</v>
      </c>
      <c r="G1062">
        <v>689382</v>
      </c>
      <c r="H1062">
        <v>111.6</v>
      </c>
    </row>
    <row r="1063" spans="1:8" x14ac:dyDescent="0.2">
      <c r="A1063">
        <v>2021</v>
      </c>
      <c r="B1063" s="1" t="s">
        <v>19</v>
      </c>
      <c r="C1063" s="1" t="s">
        <v>12</v>
      </c>
      <c r="D1063">
        <v>37141</v>
      </c>
      <c r="E1063">
        <v>224000</v>
      </c>
      <c r="F1063">
        <v>249926</v>
      </c>
      <c r="G1063">
        <v>276989</v>
      </c>
      <c r="H1063">
        <v>111.6</v>
      </c>
    </row>
    <row r="1064" spans="1:8" x14ac:dyDescent="0.2">
      <c r="A1064">
        <v>2021</v>
      </c>
      <c r="B1064" s="1" t="s">
        <v>19</v>
      </c>
      <c r="C1064" s="1" t="s">
        <v>13</v>
      </c>
      <c r="D1064">
        <v>50057</v>
      </c>
      <c r="E1064">
        <v>370000</v>
      </c>
      <c r="F1064">
        <v>406710</v>
      </c>
      <c r="G1064">
        <v>457527</v>
      </c>
      <c r="H1064">
        <v>111.6</v>
      </c>
    </row>
    <row r="1065" spans="1:8" x14ac:dyDescent="0.2">
      <c r="A1065">
        <v>2021</v>
      </c>
      <c r="B1065" s="1" t="s">
        <v>19</v>
      </c>
      <c r="C1065" s="1" t="s">
        <v>14</v>
      </c>
      <c r="D1065">
        <v>47596</v>
      </c>
      <c r="E1065">
        <v>306000</v>
      </c>
      <c r="F1065">
        <v>338464</v>
      </c>
      <c r="G1065">
        <v>378387</v>
      </c>
      <c r="H1065">
        <v>111.6</v>
      </c>
    </row>
    <row r="1066" spans="1:8" x14ac:dyDescent="0.2">
      <c r="A1066">
        <v>2021</v>
      </c>
      <c r="B1066" s="1" t="s">
        <v>20</v>
      </c>
      <c r="C1066" s="1" t="s">
        <v>11</v>
      </c>
      <c r="D1066">
        <v>39988</v>
      </c>
      <c r="E1066">
        <v>415000</v>
      </c>
      <c r="F1066">
        <v>488494</v>
      </c>
      <c r="G1066">
        <v>513172</v>
      </c>
      <c r="H1066">
        <v>111.6</v>
      </c>
    </row>
    <row r="1067" spans="1:8" x14ac:dyDescent="0.2">
      <c r="A1067">
        <v>2021</v>
      </c>
      <c r="B1067" s="1" t="s">
        <v>20</v>
      </c>
      <c r="C1067" s="1" t="s">
        <v>12</v>
      </c>
      <c r="D1067">
        <v>20695</v>
      </c>
      <c r="E1067">
        <v>185000</v>
      </c>
      <c r="F1067">
        <v>224865</v>
      </c>
      <c r="G1067">
        <v>228763</v>
      </c>
      <c r="H1067">
        <v>111.6</v>
      </c>
    </row>
    <row r="1068" spans="1:8" x14ac:dyDescent="0.2">
      <c r="A1068">
        <v>2021</v>
      </c>
      <c r="B1068" s="1" t="s">
        <v>20</v>
      </c>
      <c r="C1068" s="1" t="s">
        <v>13</v>
      </c>
      <c r="D1068">
        <v>29168</v>
      </c>
      <c r="E1068">
        <v>275000</v>
      </c>
      <c r="F1068">
        <v>305092</v>
      </c>
      <c r="G1068">
        <v>340054</v>
      </c>
      <c r="H1068">
        <v>111.6</v>
      </c>
    </row>
    <row r="1069" spans="1:8" x14ac:dyDescent="0.2">
      <c r="A1069">
        <v>2021</v>
      </c>
      <c r="B1069" s="1" t="s">
        <v>20</v>
      </c>
      <c r="C1069" s="1" t="s">
        <v>14</v>
      </c>
      <c r="D1069">
        <v>33450</v>
      </c>
      <c r="E1069">
        <v>240000</v>
      </c>
      <c r="F1069">
        <v>274513</v>
      </c>
      <c r="G1069">
        <v>296774</v>
      </c>
      <c r="H1069">
        <v>111.6</v>
      </c>
    </row>
    <row r="1070" spans="1:8" x14ac:dyDescent="0.2">
      <c r="A1070">
        <v>2021</v>
      </c>
      <c r="B1070" s="1" t="s">
        <v>21</v>
      </c>
      <c r="C1070" s="1" t="s">
        <v>11</v>
      </c>
      <c r="D1070">
        <v>17607</v>
      </c>
      <c r="E1070">
        <v>291995</v>
      </c>
      <c r="F1070">
        <v>326432</v>
      </c>
      <c r="G1070">
        <v>361069</v>
      </c>
      <c r="H1070">
        <v>111.6</v>
      </c>
    </row>
    <row r="1071" spans="1:8" x14ac:dyDescent="0.2">
      <c r="A1071">
        <v>2021</v>
      </c>
      <c r="B1071" s="1" t="s">
        <v>21</v>
      </c>
      <c r="C1071" s="1" t="s">
        <v>12</v>
      </c>
      <c r="D1071">
        <v>3726</v>
      </c>
      <c r="E1071">
        <v>133000</v>
      </c>
      <c r="F1071">
        <v>151967</v>
      </c>
      <c r="G1071">
        <v>164462</v>
      </c>
      <c r="H1071">
        <v>111.6</v>
      </c>
    </row>
    <row r="1072" spans="1:8" x14ac:dyDescent="0.2">
      <c r="A1072">
        <v>2021</v>
      </c>
      <c r="B1072" s="1" t="s">
        <v>21</v>
      </c>
      <c r="C1072" s="1" t="s">
        <v>13</v>
      </c>
      <c r="D1072">
        <v>15738</v>
      </c>
      <c r="E1072">
        <v>179950</v>
      </c>
      <c r="F1072">
        <v>197789</v>
      </c>
      <c r="G1072">
        <v>222519</v>
      </c>
      <c r="H1072">
        <v>111.6</v>
      </c>
    </row>
    <row r="1073" spans="1:8" x14ac:dyDescent="0.2">
      <c r="A1073">
        <v>2021</v>
      </c>
      <c r="B1073" s="1" t="s">
        <v>21</v>
      </c>
      <c r="C1073" s="1" t="s">
        <v>14</v>
      </c>
      <c r="D1073">
        <v>17240</v>
      </c>
      <c r="E1073">
        <v>139000</v>
      </c>
      <c r="F1073">
        <v>157635</v>
      </c>
      <c r="G1073">
        <v>171882</v>
      </c>
      <c r="H1073">
        <v>111.6</v>
      </c>
    </row>
    <row r="1074" spans="1:8" x14ac:dyDescent="0.2">
      <c r="A1074">
        <v>2021</v>
      </c>
      <c r="B1074" s="1" t="s">
        <v>22</v>
      </c>
      <c r="C1074" s="1" t="s">
        <v>11</v>
      </c>
      <c r="D1074">
        <v>29667</v>
      </c>
      <c r="E1074">
        <v>353000</v>
      </c>
      <c r="F1074">
        <v>406843</v>
      </c>
      <c r="G1074">
        <v>436505</v>
      </c>
      <c r="H1074">
        <v>111.6</v>
      </c>
    </row>
    <row r="1075" spans="1:8" x14ac:dyDescent="0.2">
      <c r="A1075">
        <v>2021</v>
      </c>
      <c r="B1075" s="1" t="s">
        <v>22</v>
      </c>
      <c r="C1075" s="1" t="s">
        <v>12</v>
      </c>
      <c r="D1075">
        <v>9714</v>
      </c>
      <c r="E1075">
        <v>135000</v>
      </c>
      <c r="F1075">
        <v>159612</v>
      </c>
      <c r="G1075">
        <v>166935</v>
      </c>
      <c r="H1075">
        <v>111.6</v>
      </c>
    </row>
    <row r="1076" spans="1:8" x14ac:dyDescent="0.2">
      <c r="A1076">
        <v>2021</v>
      </c>
      <c r="B1076" s="1" t="s">
        <v>22</v>
      </c>
      <c r="C1076" s="1" t="s">
        <v>13</v>
      </c>
      <c r="D1076">
        <v>33628</v>
      </c>
      <c r="E1076">
        <v>218000</v>
      </c>
      <c r="F1076">
        <v>234558</v>
      </c>
      <c r="G1076">
        <v>269570</v>
      </c>
      <c r="H1076">
        <v>111.6</v>
      </c>
    </row>
    <row r="1077" spans="1:8" x14ac:dyDescent="0.2">
      <c r="A1077">
        <v>2021</v>
      </c>
      <c r="B1077" s="1" t="s">
        <v>22</v>
      </c>
      <c r="C1077" s="1" t="s">
        <v>14</v>
      </c>
      <c r="D1077">
        <v>24736</v>
      </c>
      <c r="E1077">
        <v>179000</v>
      </c>
      <c r="F1077">
        <v>197272</v>
      </c>
      <c r="G1077">
        <v>221344</v>
      </c>
      <c r="H1077">
        <v>111.6</v>
      </c>
    </row>
    <row r="1078" spans="1:8" x14ac:dyDescent="0.2">
      <c r="A1078">
        <v>2021</v>
      </c>
      <c r="B1078" s="1" t="s">
        <v>23</v>
      </c>
      <c r="C1078" s="1" t="s">
        <v>11</v>
      </c>
      <c r="D1078">
        <v>26229</v>
      </c>
      <c r="E1078">
        <v>315000</v>
      </c>
      <c r="F1078">
        <v>361814</v>
      </c>
      <c r="G1078">
        <v>389516</v>
      </c>
      <c r="H1078">
        <v>111.6</v>
      </c>
    </row>
    <row r="1079" spans="1:8" x14ac:dyDescent="0.2">
      <c r="A1079">
        <v>2021</v>
      </c>
      <c r="B1079" s="1" t="s">
        <v>23</v>
      </c>
      <c r="C1079" s="1" t="s">
        <v>12</v>
      </c>
      <c r="D1079">
        <v>8297</v>
      </c>
      <c r="E1079">
        <v>127495</v>
      </c>
      <c r="F1079">
        <v>151747</v>
      </c>
      <c r="G1079">
        <v>157655</v>
      </c>
      <c r="H1079">
        <v>111.6</v>
      </c>
    </row>
    <row r="1080" spans="1:8" x14ac:dyDescent="0.2">
      <c r="A1080">
        <v>2021</v>
      </c>
      <c r="B1080" s="1" t="s">
        <v>23</v>
      </c>
      <c r="C1080" s="1" t="s">
        <v>13</v>
      </c>
      <c r="D1080">
        <v>35199</v>
      </c>
      <c r="E1080">
        <v>181000</v>
      </c>
      <c r="F1080">
        <v>202871</v>
      </c>
      <c r="G1080">
        <v>223817</v>
      </c>
      <c r="H1080">
        <v>111.6</v>
      </c>
    </row>
    <row r="1081" spans="1:8" x14ac:dyDescent="0.2">
      <c r="A1081">
        <v>2021</v>
      </c>
      <c r="B1081" s="1" t="s">
        <v>23</v>
      </c>
      <c r="C1081" s="1" t="s">
        <v>14</v>
      </c>
      <c r="D1081">
        <v>29194</v>
      </c>
      <c r="E1081">
        <v>141500</v>
      </c>
      <c r="F1081">
        <v>165034</v>
      </c>
      <c r="G1081">
        <v>174973</v>
      </c>
      <c r="H1081">
        <v>111.6</v>
      </c>
    </row>
    <row r="1082" spans="1:8" x14ac:dyDescent="0.2">
      <c r="A1082">
        <v>2022</v>
      </c>
      <c r="B1082" s="1" t="s">
        <v>10</v>
      </c>
      <c r="C1082" s="1" t="s">
        <v>11</v>
      </c>
      <c r="D1082">
        <v>29735</v>
      </c>
      <c r="E1082">
        <v>343500</v>
      </c>
      <c r="F1082">
        <v>382696</v>
      </c>
      <c r="G1082">
        <v>393386</v>
      </c>
      <c r="H1082">
        <v>120.5</v>
      </c>
    </row>
    <row r="1083" spans="1:8" x14ac:dyDescent="0.2">
      <c r="A1083">
        <v>2022</v>
      </c>
      <c r="B1083" s="1" t="s">
        <v>10</v>
      </c>
      <c r="C1083" s="1" t="s">
        <v>12</v>
      </c>
      <c r="D1083">
        <v>5614</v>
      </c>
      <c r="E1083">
        <v>135000</v>
      </c>
      <c r="F1083">
        <v>149726</v>
      </c>
      <c r="G1083">
        <v>154606</v>
      </c>
      <c r="H1083">
        <v>120.5</v>
      </c>
    </row>
    <row r="1084" spans="1:8" x14ac:dyDescent="0.2">
      <c r="A1084">
        <v>2022</v>
      </c>
      <c r="B1084" s="1" t="s">
        <v>10</v>
      </c>
      <c r="C1084" s="1" t="s">
        <v>13</v>
      </c>
      <c r="D1084">
        <v>26915</v>
      </c>
      <c r="E1084">
        <v>225000</v>
      </c>
      <c r="F1084">
        <v>235163</v>
      </c>
      <c r="G1084">
        <v>257676</v>
      </c>
      <c r="H1084">
        <v>120.5</v>
      </c>
    </row>
    <row r="1085" spans="1:8" x14ac:dyDescent="0.2">
      <c r="A1085">
        <v>2022</v>
      </c>
      <c r="B1085" s="1" t="s">
        <v>10</v>
      </c>
      <c r="C1085" s="1" t="s">
        <v>14</v>
      </c>
      <c r="D1085">
        <v>18154</v>
      </c>
      <c r="E1085">
        <v>185000</v>
      </c>
      <c r="F1085">
        <v>196507</v>
      </c>
      <c r="G1085">
        <v>211867</v>
      </c>
      <c r="H1085">
        <v>120.5</v>
      </c>
    </row>
    <row r="1086" spans="1:8" x14ac:dyDescent="0.2">
      <c r="A1086">
        <v>2022</v>
      </c>
      <c r="B1086" s="1" t="s">
        <v>15</v>
      </c>
      <c r="C1086" s="1" t="s">
        <v>11</v>
      </c>
      <c r="D1086">
        <v>33091</v>
      </c>
      <c r="E1086">
        <v>475000</v>
      </c>
      <c r="F1086">
        <v>562895</v>
      </c>
      <c r="G1086">
        <v>543983</v>
      </c>
      <c r="H1086">
        <v>120.5</v>
      </c>
    </row>
    <row r="1087" spans="1:8" x14ac:dyDescent="0.2">
      <c r="A1087">
        <v>2022</v>
      </c>
      <c r="B1087" s="1" t="s">
        <v>15</v>
      </c>
      <c r="C1087" s="1" t="s">
        <v>12</v>
      </c>
      <c r="D1087">
        <v>18176</v>
      </c>
      <c r="E1087">
        <v>224995</v>
      </c>
      <c r="F1087">
        <v>242248</v>
      </c>
      <c r="G1087">
        <v>257671</v>
      </c>
      <c r="H1087">
        <v>120.5</v>
      </c>
    </row>
    <row r="1088" spans="1:8" x14ac:dyDescent="0.2">
      <c r="A1088">
        <v>2022</v>
      </c>
      <c r="B1088" s="1" t="s">
        <v>15</v>
      </c>
      <c r="C1088" s="1" t="s">
        <v>13</v>
      </c>
      <c r="D1088">
        <v>28686</v>
      </c>
      <c r="E1088">
        <v>349995</v>
      </c>
      <c r="F1088">
        <v>383392</v>
      </c>
      <c r="G1088">
        <v>400824</v>
      </c>
      <c r="H1088">
        <v>120.5</v>
      </c>
    </row>
    <row r="1089" spans="1:8" x14ac:dyDescent="0.2">
      <c r="A1089">
        <v>2022</v>
      </c>
      <c r="B1089" s="1" t="s">
        <v>15</v>
      </c>
      <c r="C1089" s="1" t="s">
        <v>14</v>
      </c>
      <c r="D1089">
        <v>25218</v>
      </c>
      <c r="E1089">
        <v>305000</v>
      </c>
      <c r="F1089">
        <v>329485</v>
      </c>
      <c r="G1089">
        <v>349295</v>
      </c>
      <c r="H1089">
        <v>120.5</v>
      </c>
    </row>
    <row r="1090" spans="1:8" x14ac:dyDescent="0.2">
      <c r="A1090">
        <v>2022</v>
      </c>
      <c r="B1090" s="1" t="s">
        <v>16</v>
      </c>
      <c r="C1090" s="1" t="s">
        <v>11</v>
      </c>
      <c r="D1090">
        <v>4601</v>
      </c>
      <c r="E1090">
        <v>945000</v>
      </c>
      <c r="F1090">
        <v>1382019</v>
      </c>
      <c r="G1090">
        <v>1082241</v>
      </c>
      <c r="H1090">
        <v>120.5</v>
      </c>
    </row>
    <row r="1091" spans="1:8" x14ac:dyDescent="0.2">
      <c r="A1091">
        <v>2022</v>
      </c>
      <c r="B1091" s="1" t="s">
        <v>16</v>
      </c>
      <c r="C1091" s="1" t="s">
        <v>12</v>
      </c>
      <c r="D1091">
        <v>55462</v>
      </c>
      <c r="E1091">
        <v>450000</v>
      </c>
      <c r="F1091">
        <v>587666</v>
      </c>
      <c r="G1091">
        <v>515353</v>
      </c>
      <c r="H1091">
        <v>120.5</v>
      </c>
    </row>
    <row r="1092" spans="1:8" x14ac:dyDescent="0.2">
      <c r="A1092">
        <v>2022</v>
      </c>
      <c r="B1092" s="1" t="s">
        <v>16</v>
      </c>
      <c r="C1092" s="1" t="s">
        <v>13</v>
      </c>
      <c r="D1092">
        <v>13773</v>
      </c>
      <c r="E1092">
        <v>632000</v>
      </c>
      <c r="F1092">
        <v>809563</v>
      </c>
      <c r="G1092">
        <v>723784</v>
      </c>
      <c r="H1092">
        <v>120.5</v>
      </c>
    </row>
    <row r="1093" spans="1:8" x14ac:dyDescent="0.2">
      <c r="A1093">
        <v>2022</v>
      </c>
      <c r="B1093" s="1" t="s">
        <v>16</v>
      </c>
      <c r="C1093" s="1" t="s">
        <v>14</v>
      </c>
      <c r="D1093">
        <v>25645</v>
      </c>
      <c r="E1093">
        <v>600000</v>
      </c>
      <c r="F1093">
        <v>850677</v>
      </c>
      <c r="G1093">
        <v>687137</v>
      </c>
      <c r="H1093">
        <v>120.5</v>
      </c>
    </row>
    <row r="1094" spans="1:8" x14ac:dyDescent="0.2">
      <c r="A1094">
        <v>2022</v>
      </c>
      <c r="B1094" s="1" t="s">
        <v>17</v>
      </c>
      <c r="C1094" s="1" t="s">
        <v>11</v>
      </c>
      <c r="D1094">
        <v>10223</v>
      </c>
      <c r="E1094">
        <v>288995</v>
      </c>
      <c r="F1094">
        <v>328554</v>
      </c>
      <c r="G1094">
        <v>330965</v>
      </c>
      <c r="H1094">
        <v>120.5</v>
      </c>
    </row>
    <row r="1095" spans="1:8" x14ac:dyDescent="0.2">
      <c r="A1095">
        <v>2022</v>
      </c>
      <c r="B1095" s="1" t="s">
        <v>17</v>
      </c>
      <c r="C1095" s="1" t="s">
        <v>12</v>
      </c>
      <c r="D1095">
        <v>4409</v>
      </c>
      <c r="E1095">
        <v>100000</v>
      </c>
      <c r="F1095">
        <v>122226</v>
      </c>
      <c r="G1095">
        <v>114523</v>
      </c>
      <c r="H1095">
        <v>120.5</v>
      </c>
    </row>
    <row r="1096" spans="1:8" x14ac:dyDescent="0.2">
      <c r="A1096">
        <v>2022</v>
      </c>
      <c r="B1096" s="1" t="s">
        <v>17</v>
      </c>
      <c r="C1096" s="1" t="s">
        <v>13</v>
      </c>
      <c r="D1096">
        <v>14230</v>
      </c>
      <c r="E1096">
        <v>161500</v>
      </c>
      <c r="F1096">
        <v>177831</v>
      </c>
      <c r="G1096">
        <v>184954</v>
      </c>
      <c r="H1096">
        <v>120.5</v>
      </c>
    </row>
    <row r="1097" spans="1:8" x14ac:dyDescent="0.2">
      <c r="A1097">
        <v>2022</v>
      </c>
      <c r="B1097" s="1" t="s">
        <v>17</v>
      </c>
      <c r="C1097" s="1" t="s">
        <v>14</v>
      </c>
      <c r="D1097">
        <v>13699</v>
      </c>
      <c r="E1097">
        <v>117500</v>
      </c>
      <c r="F1097">
        <v>139697</v>
      </c>
      <c r="G1097">
        <v>134564</v>
      </c>
      <c r="H1097">
        <v>120.5</v>
      </c>
    </row>
    <row r="1098" spans="1:8" x14ac:dyDescent="0.2">
      <c r="A1098">
        <v>2022</v>
      </c>
      <c r="B1098" s="1" t="s">
        <v>18</v>
      </c>
      <c r="C1098" s="1" t="s">
        <v>11</v>
      </c>
      <c r="D1098">
        <v>24667</v>
      </c>
      <c r="E1098">
        <v>349995</v>
      </c>
      <c r="F1098">
        <v>411841</v>
      </c>
      <c r="G1098">
        <v>400824</v>
      </c>
      <c r="H1098">
        <v>120.5</v>
      </c>
    </row>
    <row r="1099" spans="1:8" x14ac:dyDescent="0.2">
      <c r="A1099">
        <v>2022</v>
      </c>
      <c r="B1099" s="1" t="s">
        <v>18</v>
      </c>
      <c r="C1099" s="1" t="s">
        <v>12</v>
      </c>
      <c r="D1099">
        <v>14747</v>
      </c>
      <c r="E1099">
        <v>148000</v>
      </c>
      <c r="F1099">
        <v>177980</v>
      </c>
      <c r="G1099">
        <v>169494</v>
      </c>
      <c r="H1099">
        <v>120.5</v>
      </c>
    </row>
    <row r="1100" spans="1:8" x14ac:dyDescent="0.2">
      <c r="A1100">
        <v>2022</v>
      </c>
      <c r="B1100" s="1" t="s">
        <v>18</v>
      </c>
      <c r="C1100" s="1" t="s">
        <v>13</v>
      </c>
      <c r="D1100">
        <v>39423</v>
      </c>
      <c r="E1100">
        <v>217000</v>
      </c>
      <c r="F1100">
        <v>241117</v>
      </c>
      <c r="G1100">
        <v>248515</v>
      </c>
      <c r="H1100">
        <v>120.5</v>
      </c>
    </row>
    <row r="1101" spans="1:8" x14ac:dyDescent="0.2">
      <c r="A1101">
        <v>2022</v>
      </c>
      <c r="B1101" s="1" t="s">
        <v>18</v>
      </c>
      <c r="C1101" s="1" t="s">
        <v>14</v>
      </c>
      <c r="D1101">
        <v>35418</v>
      </c>
      <c r="E1101">
        <v>149500</v>
      </c>
      <c r="F1101">
        <v>170086</v>
      </c>
      <c r="G1101">
        <v>171212</v>
      </c>
      <c r="H1101">
        <v>120.5</v>
      </c>
    </row>
    <row r="1102" spans="1:8" x14ac:dyDescent="0.2">
      <c r="A1102">
        <v>2022</v>
      </c>
      <c r="B1102" s="1" t="s">
        <v>19</v>
      </c>
      <c r="C1102" s="1" t="s">
        <v>11</v>
      </c>
      <c r="D1102">
        <v>42490</v>
      </c>
      <c r="E1102">
        <v>605000</v>
      </c>
      <c r="F1102">
        <v>741385</v>
      </c>
      <c r="G1102">
        <v>692863</v>
      </c>
      <c r="H1102">
        <v>120.5</v>
      </c>
    </row>
    <row r="1103" spans="1:8" x14ac:dyDescent="0.2">
      <c r="A1103">
        <v>2022</v>
      </c>
      <c r="B1103" s="1" t="s">
        <v>19</v>
      </c>
      <c r="C1103" s="1" t="s">
        <v>12</v>
      </c>
      <c r="D1103">
        <v>35890</v>
      </c>
      <c r="E1103">
        <v>230000</v>
      </c>
      <c r="F1103">
        <v>258057</v>
      </c>
      <c r="G1103">
        <v>263402</v>
      </c>
      <c r="H1103">
        <v>120.5</v>
      </c>
    </row>
    <row r="1104" spans="1:8" x14ac:dyDescent="0.2">
      <c r="A1104">
        <v>2022</v>
      </c>
      <c r="B1104" s="1" t="s">
        <v>19</v>
      </c>
      <c r="C1104" s="1" t="s">
        <v>13</v>
      </c>
      <c r="D1104">
        <v>38912</v>
      </c>
      <c r="E1104">
        <v>405000</v>
      </c>
      <c r="F1104">
        <v>445064</v>
      </c>
      <c r="G1104">
        <v>463817</v>
      </c>
      <c r="H1104">
        <v>120.5</v>
      </c>
    </row>
    <row r="1105" spans="1:8" x14ac:dyDescent="0.2">
      <c r="A1105">
        <v>2022</v>
      </c>
      <c r="B1105" s="1" t="s">
        <v>19</v>
      </c>
      <c r="C1105" s="1" t="s">
        <v>14</v>
      </c>
      <c r="D1105">
        <v>36679</v>
      </c>
      <c r="E1105">
        <v>335000</v>
      </c>
      <c r="F1105">
        <v>368200</v>
      </c>
      <c r="G1105">
        <v>383651</v>
      </c>
      <c r="H1105">
        <v>120.5</v>
      </c>
    </row>
    <row r="1106" spans="1:8" x14ac:dyDescent="0.2">
      <c r="A1106">
        <v>2022</v>
      </c>
      <c r="B1106" s="1" t="s">
        <v>20</v>
      </c>
      <c r="C1106" s="1" t="s">
        <v>11</v>
      </c>
      <c r="D1106">
        <v>29174</v>
      </c>
      <c r="E1106">
        <v>455000</v>
      </c>
      <c r="F1106">
        <v>543593</v>
      </c>
      <c r="G1106">
        <v>521079</v>
      </c>
      <c r="H1106">
        <v>120.5</v>
      </c>
    </row>
    <row r="1107" spans="1:8" x14ac:dyDescent="0.2">
      <c r="A1107">
        <v>2022</v>
      </c>
      <c r="B1107" s="1" t="s">
        <v>20</v>
      </c>
      <c r="C1107" s="1" t="s">
        <v>12</v>
      </c>
      <c r="D1107">
        <v>19540</v>
      </c>
      <c r="E1107">
        <v>190000</v>
      </c>
      <c r="F1107">
        <v>228264</v>
      </c>
      <c r="G1107">
        <v>217593</v>
      </c>
      <c r="H1107">
        <v>120.5</v>
      </c>
    </row>
    <row r="1108" spans="1:8" x14ac:dyDescent="0.2">
      <c r="A1108">
        <v>2022</v>
      </c>
      <c r="B1108" s="1" t="s">
        <v>20</v>
      </c>
      <c r="C1108" s="1" t="s">
        <v>13</v>
      </c>
      <c r="D1108">
        <v>23679</v>
      </c>
      <c r="E1108">
        <v>310000</v>
      </c>
      <c r="F1108">
        <v>339404</v>
      </c>
      <c r="G1108">
        <v>355021</v>
      </c>
      <c r="H1108">
        <v>120.5</v>
      </c>
    </row>
    <row r="1109" spans="1:8" x14ac:dyDescent="0.2">
      <c r="A1109">
        <v>2022</v>
      </c>
      <c r="B1109" s="1" t="s">
        <v>20</v>
      </c>
      <c r="C1109" s="1" t="s">
        <v>14</v>
      </c>
      <c r="D1109">
        <v>26653</v>
      </c>
      <c r="E1109">
        <v>265000</v>
      </c>
      <c r="F1109">
        <v>299073</v>
      </c>
      <c r="G1109">
        <v>303485</v>
      </c>
      <c r="H1109">
        <v>120.5</v>
      </c>
    </row>
    <row r="1110" spans="1:8" x14ac:dyDescent="0.2">
      <c r="A1110">
        <v>2022</v>
      </c>
      <c r="B1110" s="1" t="s">
        <v>21</v>
      </c>
      <c r="C1110" s="1" t="s">
        <v>11</v>
      </c>
      <c r="D1110">
        <v>13663</v>
      </c>
      <c r="E1110">
        <v>325000</v>
      </c>
      <c r="F1110">
        <v>360542</v>
      </c>
      <c r="G1110">
        <v>372199</v>
      </c>
      <c r="H1110">
        <v>120.5</v>
      </c>
    </row>
    <row r="1111" spans="1:8" x14ac:dyDescent="0.2">
      <c r="A1111">
        <v>2022</v>
      </c>
      <c r="B1111" s="1" t="s">
        <v>21</v>
      </c>
      <c r="C1111" s="1" t="s">
        <v>12</v>
      </c>
      <c r="D1111">
        <v>3989</v>
      </c>
      <c r="E1111">
        <v>142500</v>
      </c>
      <c r="F1111">
        <v>155748</v>
      </c>
      <c r="G1111">
        <v>163195</v>
      </c>
      <c r="H1111">
        <v>120.5</v>
      </c>
    </row>
    <row r="1112" spans="1:8" x14ac:dyDescent="0.2">
      <c r="A1112">
        <v>2022</v>
      </c>
      <c r="B1112" s="1" t="s">
        <v>21</v>
      </c>
      <c r="C1112" s="1" t="s">
        <v>13</v>
      </c>
      <c r="D1112">
        <v>13639</v>
      </c>
      <c r="E1112">
        <v>200000</v>
      </c>
      <c r="F1112">
        <v>219592</v>
      </c>
      <c r="G1112">
        <v>229046</v>
      </c>
      <c r="H1112">
        <v>120.5</v>
      </c>
    </row>
    <row r="1113" spans="1:8" x14ac:dyDescent="0.2">
      <c r="A1113">
        <v>2022</v>
      </c>
      <c r="B1113" s="1" t="s">
        <v>21</v>
      </c>
      <c r="C1113" s="1" t="s">
        <v>14</v>
      </c>
      <c r="D1113">
        <v>15827</v>
      </c>
      <c r="E1113">
        <v>151000</v>
      </c>
      <c r="F1113">
        <v>173052</v>
      </c>
      <c r="G1113">
        <v>172929</v>
      </c>
      <c r="H1113">
        <v>120.5</v>
      </c>
    </row>
    <row r="1114" spans="1:8" x14ac:dyDescent="0.2">
      <c r="A1114">
        <v>2022</v>
      </c>
      <c r="B1114" s="1" t="s">
        <v>22</v>
      </c>
      <c r="C1114" s="1" t="s">
        <v>11</v>
      </c>
      <c r="D1114">
        <v>22174</v>
      </c>
      <c r="E1114">
        <v>380000</v>
      </c>
      <c r="F1114">
        <v>440208</v>
      </c>
      <c r="G1114">
        <v>435187</v>
      </c>
      <c r="H1114">
        <v>120.5</v>
      </c>
    </row>
    <row r="1115" spans="1:8" x14ac:dyDescent="0.2">
      <c r="A1115">
        <v>2022</v>
      </c>
      <c r="B1115" s="1" t="s">
        <v>22</v>
      </c>
      <c r="C1115" s="1" t="s">
        <v>12</v>
      </c>
      <c r="D1115">
        <v>10618</v>
      </c>
      <c r="E1115">
        <v>140000</v>
      </c>
      <c r="F1115">
        <v>164491</v>
      </c>
      <c r="G1115">
        <v>160332</v>
      </c>
      <c r="H1115">
        <v>120.5</v>
      </c>
    </row>
    <row r="1116" spans="1:8" x14ac:dyDescent="0.2">
      <c r="A1116">
        <v>2022</v>
      </c>
      <c r="B1116" s="1" t="s">
        <v>22</v>
      </c>
      <c r="C1116" s="1" t="s">
        <v>13</v>
      </c>
      <c r="D1116">
        <v>28168</v>
      </c>
      <c r="E1116">
        <v>238950</v>
      </c>
      <c r="F1116">
        <v>254814</v>
      </c>
      <c r="G1116">
        <v>273652</v>
      </c>
      <c r="H1116">
        <v>120.5</v>
      </c>
    </row>
    <row r="1117" spans="1:8" x14ac:dyDescent="0.2">
      <c r="A1117">
        <v>2022</v>
      </c>
      <c r="B1117" s="1" t="s">
        <v>22</v>
      </c>
      <c r="C1117" s="1" t="s">
        <v>14</v>
      </c>
      <c r="D1117">
        <v>21505</v>
      </c>
      <c r="E1117">
        <v>193000</v>
      </c>
      <c r="F1117">
        <v>210353</v>
      </c>
      <c r="G1117">
        <v>221029</v>
      </c>
      <c r="H1117">
        <v>120.5</v>
      </c>
    </row>
    <row r="1118" spans="1:8" x14ac:dyDescent="0.2">
      <c r="A1118">
        <v>2022</v>
      </c>
      <c r="B1118" s="1" t="s">
        <v>23</v>
      </c>
      <c r="C1118" s="1" t="s">
        <v>11</v>
      </c>
      <c r="D1118">
        <v>20478</v>
      </c>
      <c r="E1118">
        <v>333416</v>
      </c>
      <c r="F1118">
        <v>385860</v>
      </c>
      <c r="G1118">
        <v>381838</v>
      </c>
      <c r="H1118">
        <v>120.5</v>
      </c>
    </row>
    <row r="1119" spans="1:8" x14ac:dyDescent="0.2">
      <c r="A1119">
        <v>2022</v>
      </c>
      <c r="B1119" s="1" t="s">
        <v>23</v>
      </c>
      <c r="C1119" s="1" t="s">
        <v>12</v>
      </c>
      <c r="D1119">
        <v>8099</v>
      </c>
      <c r="E1119">
        <v>135000</v>
      </c>
      <c r="F1119">
        <v>161262</v>
      </c>
      <c r="G1119">
        <v>154606</v>
      </c>
      <c r="H1119">
        <v>120.5</v>
      </c>
    </row>
    <row r="1120" spans="1:8" x14ac:dyDescent="0.2">
      <c r="A1120">
        <v>2022</v>
      </c>
      <c r="B1120" s="1" t="s">
        <v>23</v>
      </c>
      <c r="C1120" s="1" t="s">
        <v>13</v>
      </c>
      <c r="D1120">
        <v>30341</v>
      </c>
      <c r="E1120">
        <v>195000</v>
      </c>
      <c r="F1120">
        <v>217192</v>
      </c>
      <c r="G1120">
        <v>223320</v>
      </c>
      <c r="H1120">
        <v>120.5</v>
      </c>
    </row>
    <row r="1121" spans="1:8" x14ac:dyDescent="0.2">
      <c r="A1121">
        <v>2022</v>
      </c>
      <c r="B1121" s="1" t="s">
        <v>23</v>
      </c>
      <c r="C1121" s="1" t="s">
        <v>14</v>
      </c>
      <c r="D1121">
        <v>25945</v>
      </c>
      <c r="E1121">
        <v>150000</v>
      </c>
      <c r="F1121">
        <v>171867</v>
      </c>
      <c r="G1121">
        <v>171784</v>
      </c>
      <c r="H1121">
        <v>120.5</v>
      </c>
    </row>
    <row r="1122" spans="1:8" x14ac:dyDescent="0.2">
      <c r="A1122">
        <v>2023</v>
      </c>
      <c r="B1122" s="1" t="s">
        <v>10</v>
      </c>
      <c r="C1122" s="1" t="s">
        <v>11</v>
      </c>
      <c r="D1122">
        <v>23042</v>
      </c>
      <c r="E1122">
        <v>345000</v>
      </c>
      <c r="F1122">
        <v>385236</v>
      </c>
      <c r="G1122">
        <v>370218</v>
      </c>
      <c r="H1122">
        <v>128.6</v>
      </c>
    </row>
    <row r="1123" spans="1:8" x14ac:dyDescent="0.2">
      <c r="A1123">
        <v>2023</v>
      </c>
      <c r="B1123" s="1" t="s">
        <v>10</v>
      </c>
      <c r="C1123" s="1" t="s">
        <v>12</v>
      </c>
      <c r="D1123">
        <v>4229</v>
      </c>
      <c r="E1123">
        <v>135000</v>
      </c>
      <c r="F1123">
        <v>152180</v>
      </c>
      <c r="G1123">
        <v>144868</v>
      </c>
      <c r="H1123">
        <v>128.6</v>
      </c>
    </row>
    <row r="1124" spans="1:8" x14ac:dyDescent="0.2">
      <c r="A1124">
        <v>2023</v>
      </c>
      <c r="B1124" s="1" t="s">
        <v>10</v>
      </c>
      <c r="C1124" s="1" t="s">
        <v>13</v>
      </c>
      <c r="D1124">
        <v>21079</v>
      </c>
      <c r="E1124">
        <v>225000</v>
      </c>
      <c r="F1124">
        <v>235004</v>
      </c>
      <c r="G1124">
        <v>241446</v>
      </c>
      <c r="H1124">
        <v>128.6</v>
      </c>
    </row>
    <row r="1125" spans="1:8" x14ac:dyDescent="0.2">
      <c r="A1125">
        <v>2023</v>
      </c>
      <c r="B1125" s="1" t="s">
        <v>10</v>
      </c>
      <c r="C1125" s="1" t="s">
        <v>14</v>
      </c>
      <c r="D1125">
        <v>13747</v>
      </c>
      <c r="E1125">
        <v>185000</v>
      </c>
      <c r="F1125">
        <v>196244</v>
      </c>
      <c r="G1125">
        <v>198523</v>
      </c>
      <c r="H1125">
        <v>128.6</v>
      </c>
    </row>
    <row r="1126" spans="1:8" x14ac:dyDescent="0.2">
      <c r="A1126">
        <v>2023</v>
      </c>
      <c r="B1126" s="1" t="s">
        <v>15</v>
      </c>
      <c r="C1126" s="1" t="s">
        <v>11</v>
      </c>
      <c r="D1126">
        <v>24507</v>
      </c>
      <c r="E1126">
        <v>470000</v>
      </c>
      <c r="F1126">
        <v>557396</v>
      </c>
      <c r="G1126">
        <v>504355</v>
      </c>
      <c r="H1126">
        <v>128.6</v>
      </c>
    </row>
    <row r="1127" spans="1:8" x14ac:dyDescent="0.2">
      <c r="A1127">
        <v>2023</v>
      </c>
      <c r="B1127" s="1" t="s">
        <v>15</v>
      </c>
      <c r="C1127" s="1" t="s">
        <v>12</v>
      </c>
      <c r="D1127">
        <v>12797</v>
      </c>
      <c r="E1127">
        <v>220000</v>
      </c>
      <c r="F1127">
        <v>240715</v>
      </c>
      <c r="G1127">
        <v>236081</v>
      </c>
      <c r="H1127">
        <v>128.6</v>
      </c>
    </row>
    <row r="1128" spans="1:8" x14ac:dyDescent="0.2">
      <c r="A1128">
        <v>2023</v>
      </c>
      <c r="B1128" s="1" t="s">
        <v>15</v>
      </c>
      <c r="C1128" s="1" t="s">
        <v>13</v>
      </c>
      <c r="D1128">
        <v>22140</v>
      </c>
      <c r="E1128">
        <v>345000</v>
      </c>
      <c r="F1128">
        <v>381015</v>
      </c>
      <c r="G1128">
        <v>370218</v>
      </c>
      <c r="H1128">
        <v>128.6</v>
      </c>
    </row>
    <row r="1129" spans="1:8" x14ac:dyDescent="0.2">
      <c r="A1129">
        <v>2023</v>
      </c>
      <c r="B1129" s="1" t="s">
        <v>15</v>
      </c>
      <c r="C1129" s="1" t="s">
        <v>14</v>
      </c>
      <c r="D1129">
        <v>18633</v>
      </c>
      <c r="E1129">
        <v>300000</v>
      </c>
      <c r="F1129">
        <v>326196</v>
      </c>
      <c r="G1129">
        <v>321928</v>
      </c>
      <c r="H1129">
        <v>128.6</v>
      </c>
    </row>
    <row r="1130" spans="1:8" x14ac:dyDescent="0.2">
      <c r="A1130">
        <v>2023</v>
      </c>
      <c r="B1130" s="1" t="s">
        <v>16</v>
      </c>
      <c r="C1130" s="1" t="s">
        <v>11</v>
      </c>
      <c r="D1130">
        <v>3610</v>
      </c>
      <c r="E1130">
        <v>935000</v>
      </c>
      <c r="F1130">
        <v>1346422</v>
      </c>
      <c r="G1130">
        <v>1003344</v>
      </c>
      <c r="H1130">
        <v>128.6</v>
      </c>
    </row>
    <row r="1131" spans="1:8" x14ac:dyDescent="0.2">
      <c r="A1131">
        <v>2023</v>
      </c>
      <c r="B1131" s="1" t="s">
        <v>16</v>
      </c>
      <c r="C1131" s="1" t="s">
        <v>12</v>
      </c>
      <c r="D1131">
        <v>42379</v>
      </c>
      <c r="E1131">
        <v>450000</v>
      </c>
      <c r="F1131">
        <v>621455</v>
      </c>
      <c r="G1131">
        <v>482893</v>
      </c>
      <c r="H1131">
        <v>128.6</v>
      </c>
    </row>
    <row r="1132" spans="1:8" x14ac:dyDescent="0.2">
      <c r="A1132">
        <v>2023</v>
      </c>
      <c r="B1132" s="1" t="s">
        <v>16</v>
      </c>
      <c r="C1132" s="1" t="s">
        <v>13</v>
      </c>
      <c r="D1132">
        <v>10701</v>
      </c>
      <c r="E1132">
        <v>625000</v>
      </c>
      <c r="F1132">
        <v>830059</v>
      </c>
      <c r="G1132">
        <v>670684</v>
      </c>
      <c r="H1132">
        <v>128.6</v>
      </c>
    </row>
    <row r="1133" spans="1:8" x14ac:dyDescent="0.2">
      <c r="A1133">
        <v>2023</v>
      </c>
      <c r="B1133" s="1" t="s">
        <v>16</v>
      </c>
      <c r="C1133" s="1" t="s">
        <v>14</v>
      </c>
      <c r="D1133">
        <v>19609</v>
      </c>
      <c r="E1133">
        <v>585000</v>
      </c>
      <c r="F1133">
        <v>827392</v>
      </c>
      <c r="G1133">
        <v>627760</v>
      </c>
      <c r="H1133">
        <v>128.6</v>
      </c>
    </row>
    <row r="1134" spans="1:8" x14ac:dyDescent="0.2">
      <c r="A1134">
        <v>2023</v>
      </c>
      <c r="B1134" s="1" t="s">
        <v>17</v>
      </c>
      <c r="C1134" s="1" t="s">
        <v>11</v>
      </c>
      <c r="D1134">
        <v>8341</v>
      </c>
      <c r="E1134">
        <v>293995</v>
      </c>
      <c r="F1134">
        <v>330109</v>
      </c>
      <c r="G1134">
        <v>315485</v>
      </c>
      <c r="H1134">
        <v>128.6</v>
      </c>
    </row>
    <row r="1135" spans="1:8" x14ac:dyDescent="0.2">
      <c r="A1135">
        <v>2023</v>
      </c>
      <c r="B1135" s="1" t="s">
        <v>17</v>
      </c>
      <c r="C1135" s="1" t="s">
        <v>12</v>
      </c>
      <c r="D1135">
        <v>3646</v>
      </c>
      <c r="E1135">
        <v>104958</v>
      </c>
      <c r="F1135">
        <v>121352</v>
      </c>
      <c r="G1135">
        <v>112629</v>
      </c>
      <c r="H1135">
        <v>128.6</v>
      </c>
    </row>
    <row r="1136" spans="1:8" x14ac:dyDescent="0.2">
      <c r="A1136">
        <v>2023</v>
      </c>
      <c r="B1136" s="1" t="s">
        <v>17</v>
      </c>
      <c r="C1136" s="1" t="s">
        <v>13</v>
      </c>
      <c r="D1136">
        <v>12111</v>
      </c>
      <c r="E1136">
        <v>165000</v>
      </c>
      <c r="F1136">
        <v>182376</v>
      </c>
      <c r="G1136">
        <v>177061</v>
      </c>
      <c r="H1136">
        <v>128.6</v>
      </c>
    </row>
    <row r="1137" spans="1:8" x14ac:dyDescent="0.2">
      <c r="A1137">
        <v>2023</v>
      </c>
      <c r="B1137" s="1" t="s">
        <v>17</v>
      </c>
      <c r="C1137" s="1" t="s">
        <v>14</v>
      </c>
      <c r="D1137">
        <v>11186</v>
      </c>
      <c r="E1137">
        <v>120000</v>
      </c>
      <c r="F1137">
        <v>143070</v>
      </c>
      <c r="G1137">
        <v>128771</v>
      </c>
      <c r="H1137">
        <v>128.6</v>
      </c>
    </row>
    <row r="1138" spans="1:8" x14ac:dyDescent="0.2">
      <c r="A1138">
        <v>2023</v>
      </c>
      <c r="B1138" s="1" t="s">
        <v>18</v>
      </c>
      <c r="C1138" s="1" t="s">
        <v>11</v>
      </c>
      <c r="D1138">
        <v>19663</v>
      </c>
      <c r="E1138">
        <v>359995</v>
      </c>
      <c r="F1138">
        <v>419677</v>
      </c>
      <c r="G1138">
        <v>386309</v>
      </c>
      <c r="H1138">
        <v>128.6</v>
      </c>
    </row>
    <row r="1139" spans="1:8" x14ac:dyDescent="0.2">
      <c r="A1139">
        <v>2023</v>
      </c>
      <c r="B1139" s="1" t="s">
        <v>18</v>
      </c>
      <c r="C1139" s="1" t="s">
        <v>12</v>
      </c>
      <c r="D1139">
        <v>11973</v>
      </c>
      <c r="E1139">
        <v>145000</v>
      </c>
      <c r="F1139">
        <v>171942</v>
      </c>
      <c r="G1139">
        <v>155599</v>
      </c>
      <c r="H1139">
        <v>128.6</v>
      </c>
    </row>
    <row r="1140" spans="1:8" x14ac:dyDescent="0.2">
      <c r="A1140">
        <v>2023</v>
      </c>
      <c r="B1140" s="1" t="s">
        <v>18</v>
      </c>
      <c r="C1140" s="1" t="s">
        <v>13</v>
      </c>
      <c r="D1140">
        <v>31334</v>
      </c>
      <c r="E1140">
        <v>220000</v>
      </c>
      <c r="F1140">
        <v>242635</v>
      </c>
      <c r="G1140">
        <v>236081</v>
      </c>
      <c r="H1140">
        <v>128.6</v>
      </c>
    </row>
    <row r="1141" spans="1:8" x14ac:dyDescent="0.2">
      <c r="A1141">
        <v>2023</v>
      </c>
      <c r="B1141" s="1" t="s">
        <v>18</v>
      </c>
      <c r="C1141" s="1" t="s">
        <v>14</v>
      </c>
      <c r="D1141">
        <v>28311</v>
      </c>
      <c r="E1141">
        <v>150000</v>
      </c>
      <c r="F1141">
        <v>171103</v>
      </c>
      <c r="G1141">
        <v>160964</v>
      </c>
      <c r="H1141">
        <v>128.6</v>
      </c>
    </row>
    <row r="1142" spans="1:8" x14ac:dyDescent="0.2">
      <c r="A1142">
        <v>2023</v>
      </c>
      <c r="B1142" s="1" t="s">
        <v>19</v>
      </c>
      <c r="C1142" s="1" t="s">
        <v>11</v>
      </c>
      <c r="D1142">
        <v>31642</v>
      </c>
      <c r="E1142">
        <v>600000</v>
      </c>
      <c r="F1142">
        <v>734397</v>
      </c>
      <c r="G1142">
        <v>643857</v>
      </c>
      <c r="H1142">
        <v>128.6</v>
      </c>
    </row>
    <row r="1143" spans="1:8" x14ac:dyDescent="0.2">
      <c r="A1143">
        <v>2023</v>
      </c>
      <c r="B1143" s="1" t="s">
        <v>19</v>
      </c>
      <c r="C1143" s="1" t="s">
        <v>12</v>
      </c>
      <c r="D1143">
        <v>26533</v>
      </c>
      <c r="E1143">
        <v>230000</v>
      </c>
      <c r="F1143">
        <v>256350</v>
      </c>
      <c r="G1143">
        <v>246812</v>
      </c>
      <c r="H1143">
        <v>128.6</v>
      </c>
    </row>
    <row r="1144" spans="1:8" x14ac:dyDescent="0.2">
      <c r="A1144">
        <v>2023</v>
      </c>
      <c r="B1144" s="1" t="s">
        <v>19</v>
      </c>
      <c r="C1144" s="1" t="s">
        <v>13</v>
      </c>
      <c r="D1144">
        <v>29985</v>
      </c>
      <c r="E1144">
        <v>400000</v>
      </c>
      <c r="F1144">
        <v>438879</v>
      </c>
      <c r="G1144">
        <v>429238</v>
      </c>
      <c r="H1144">
        <v>128.6</v>
      </c>
    </row>
    <row r="1145" spans="1:8" x14ac:dyDescent="0.2">
      <c r="A1145">
        <v>2023</v>
      </c>
      <c r="B1145" s="1" t="s">
        <v>19</v>
      </c>
      <c r="C1145" s="1" t="s">
        <v>14</v>
      </c>
      <c r="D1145">
        <v>27695</v>
      </c>
      <c r="E1145">
        <v>327000</v>
      </c>
      <c r="F1145">
        <v>361463</v>
      </c>
      <c r="G1145">
        <v>350902</v>
      </c>
      <c r="H1145">
        <v>128.6</v>
      </c>
    </row>
    <row r="1146" spans="1:8" x14ac:dyDescent="0.2">
      <c r="A1146">
        <v>2023</v>
      </c>
      <c r="B1146" s="1" t="s">
        <v>20</v>
      </c>
      <c r="C1146" s="1" t="s">
        <v>11</v>
      </c>
      <c r="D1146">
        <v>23418</v>
      </c>
      <c r="E1146">
        <v>460000</v>
      </c>
      <c r="F1146">
        <v>542365</v>
      </c>
      <c r="G1146">
        <v>493624</v>
      </c>
      <c r="H1146">
        <v>128.6</v>
      </c>
    </row>
    <row r="1147" spans="1:8" x14ac:dyDescent="0.2">
      <c r="A1147">
        <v>2023</v>
      </c>
      <c r="B1147" s="1" t="s">
        <v>20</v>
      </c>
      <c r="C1147" s="1" t="s">
        <v>12</v>
      </c>
      <c r="D1147">
        <v>14311</v>
      </c>
      <c r="E1147">
        <v>190000</v>
      </c>
      <c r="F1147">
        <v>230047</v>
      </c>
      <c r="G1147">
        <v>203888</v>
      </c>
      <c r="H1147">
        <v>128.6</v>
      </c>
    </row>
    <row r="1148" spans="1:8" x14ac:dyDescent="0.2">
      <c r="A1148">
        <v>2023</v>
      </c>
      <c r="B1148" s="1" t="s">
        <v>20</v>
      </c>
      <c r="C1148" s="1" t="s">
        <v>13</v>
      </c>
      <c r="D1148">
        <v>19504</v>
      </c>
      <c r="E1148">
        <v>306000</v>
      </c>
      <c r="F1148">
        <v>338080</v>
      </c>
      <c r="G1148">
        <v>328367</v>
      </c>
      <c r="H1148">
        <v>128.6</v>
      </c>
    </row>
    <row r="1149" spans="1:8" x14ac:dyDescent="0.2">
      <c r="A1149">
        <v>2023</v>
      </c>
      <c r="B1149" s="1" t="s">
        <v>20</v>
      </c>
      <c r="C1149" s="1" t="s">
        <v>14</v>
      </c>
      <c r="D1149">
        <v>21470</v>
      </c>
      <c r="E1149">
        <v>265000</v>
      </c>
      <c r="F1149">
        <v>295185</v>
      </c>
      <c r="G1149">
        <v>284370</v>
      </c>
      <c r="H1149">
        <v>128.6</v>
      </c>
    </row>
    <row r="1150" spans="1:8" x14ac:dyDescent="0.2">
      <c r="A1150">
        <v>2023</v>
      </c>
      <c r="B1150" s="1" t="s">
        <v>21</v>
      </c>
      <c r="C1150" s="1" t="s">
        <v>11</v>
      </c>
      <c r="D1150">
        <v>10199</v>
      </c>
      <c r="E1150">
        <v>325000</v>
      </c>
      <c r="F1150">
        <v>359727</v>
      </c>
      <c r="G1150">
        <v>348756</v>
      </c>
      <c r="H1150">
        <v>128.6</v>
      </c>
    </row>
    <row r="1151" spans="1:8" x14ac:dyDescent="0.2">
      <c r="A1151">
        <v>2023</v>
      </c>
      <c r="B1151" s="1" t="s">
        <v>21</v>
      </c>
      <c r="C1151" s="1" t="s">
        <v>12</v>
      </c>
      <c r="D1151">
        <v>3075</v>
      </c>
      <c r="E1151">
        <v>140000</v>
      </c>
      <c r="F1151">
        <v>155247</v>
      </c>
      <c r="G1151">
        <v>150233</v>
      </c>
      <c r="H1151">
        <v>128.6</v>
      </c>
    </row>
    <row r="1152" spans="1:8" x14ac:dyDescent="0.2">
      <c r="A1152">
        <v>2023</v>
      </c>
      <c r="B1152" s="1" t="s">
        <v>21</v>
      </c>
      <c r="C1152" s="1" t="s">
        <v>13</v>
      </c>
      <c r="D1152">
        <v>11055</v>
      </c>
      <c r="E1152">
        <v>200000</v>
      </c>
      <c r="F1152">
        <v>221153</v>
      </c>
      <c r="G1152">
        <v>214619</v>
      </c>
      <c r="H1152">
        <v>128.6</v>
      </c>
    </row>
    <row r="1153" spans="1:8" x14ac:dyDescent="0.2">
      <c r="A1153">
        <v>2023</v>
      </c>
      <c r="B1153" s="1" t="s">
        <v>21</v>
      </c>
      <c r="C1153" s="1" t="s">
        <v>14</v>
      </c>
      <c r="D1153">
        <v>12289</v>
      </c>
      <c r="E1153">
        <v>152500</v>
      </c>
      <c r="F1153">
        <v>171315</v>
      </c>
      <c r="G1153">
        <v>163647</v>
      </c>
      <c r="H1153">
        <v>128.6</v>
      </c>
    </row>
    <row r="1154" spans="1:8" x14ac:dyDescent="0.2">
      <c r="A1154">
        <v>2023</v>
      </c>
      <c r="B1154" s="1" t="s">
        <v>22</v>
      </c>
      <c r="C1154" s="1" t="s">
        <v>11</v>
      </c>
      <c r="D1154">
        <v>17387</v>
      </c>
      <c r="E1154">
        <v>390000</v>
      </c>
      <c r="F1154">
        <v>445583</v>
      </c>
      <c r="G1154">
        <v>418507</v>
      </c>
      <c r="H1154">
        <v>128.6</v>
      </c>
    </row>
    <row r="1155" spans="1:8" x14ac:dyDescent="0.2">
      <c r="A1155">
        <v>2023</v>
      </c>
      <c r="B1155" s="1" t="s">
        <v>22</v>
      </c>
      <c r="C1155" s="1" t="s">
        <v>12</v>
      </c>
      <c r="D1155">
        <v>7733</v>
      </c>
      <c r="E1155">
        <v>140000</v>
      </c>
      <c r="F1155">
        <v>163407</v>
      </c>
      <c r="G1155">
        <v>150233</v>
      </c>
      <c r="H1155">
        <v>128.6</v>
      </c>
    </row>
    <row r="1156" spans="1:8" x14ac:dyDescent="0.2">
      <c r="A1156">
        <v>2023</v>
      </c>
      <c r="B1156" s="1" t="s">
        <v>22</v>
      </c>
      <c r="C1156" s="1" t="s">
        <v>13</v>
      </c>
      <c r="D1156">
        <v>22901</v>
      </c>
      <c r="E1156">
        <v>240000</v>
      </c>
      <c r="F1156">
        <v>256000</v>
      </c>
      <c r="G1156">
        <v>257543</v>
      </c>
      <c r="H1156">
        <v>128.6</v>
      </c>
    </row>
    <row r="1157" spans="1:8" x14ac:dyDescent="0.2">
      <c r="A1157">
        <v>2023</v>
      </c>
      <c r="B1157" s="1" t="s">
        <v>22</v>
      </c>
      <c r="C1157" s="1" t="s">
        <v>14</v>
      </c>
      <c r="D1157">
        <v>16988</v>
      </c>
      <c r="E1157">
        <v>193000</v>
      </c>
      <c r="F1157">
        <v>209356</v>
      </c>
      <c r="G1157">
        <v>207107</v>
      </c>
      <c r="H1157">
        <v>128.6</v>
      </c>
    </row>
    <row r="1158" spans="1:8" x14ac:dyDescent="0.2">
      <c r="A1158">
        <v>2023</v>
      </c>
      <c r="B1158" s="1" t="s">
        <v>23</v>
      </c>
      <c r="C1158" s="1" t="s">
        <v>11</v>
      </c>
      <c r="D1158">
        <v>16195</v>
      </c>
      <c r="E1158">
        <v>344950</v>
      </c>
      <c r="F1158">
        <v>395158</v>
      </c>
      <c r="G1158">
        <v>370164</v>
      </c>
      <c r="H1158">
        <v>128.6</v>
      </c>
    </row>
    <row r="1159" spans="1:8" x14ac:dyDescent="0.2">
      <c r="A1159">
        <v>2023</v>
      </c>
      <c r="B1159" s="1" t="s">
        <v>23</v>
      </c>
      <c r="C1159" s="1" t="s">
        <v>12</v>
      </c>
      <c r="D1159">
        <v>6294</v>
      </c>
      <c r="E1159">
        <v>137000</v>
      </c>
      <c r="F1159">
        <v>164238</v>
      </c>
      <c r="G1159">
        <v>147014</v>
      </c>
      <c r="H1159">
        <v>128.6</v>
      </c>
    </row>
    <row r="1160" spans="1:8" x14ac:dyDescent="0.2">
      <c r="A1160">
        <v>2023</v>
      </c>
      <c r="B1160" s="1" t="s">
        <v>23</v>
      </c>
      <c r="C1160" s="1" t="s">
        <v>13</v>
      </c>
      <c r="D1160">
        <v>24991</v>
      </c>
      <c r="E1160">
        <v>200000</v>
      </c>
      <c r="F1160">
        <v>221809</v>
      </c>
      <c r="G1160">
        <v>214619</v>
      </c>
      <c r="H1160">
        <v>128.6</v>
      </c>
    </row>
    <row r="1161" spans="1:8" x14ac:dyDescent="0.2">
      <c r="A1161">
        <v>2023</v>
      </c>
      <c r="B1161" s="1" t="s">
        <v>23</v>
      </c>
      <c r="C1161" s="1" t="s">
        <v>14</v>
      </c>
      <c r="D1161">
        <v>20885</v>
      </c>
      <c r="E1161">
        <v>150000</v>
      </c>
      <c r="F1161">
        <v>172960</v>
      </c>
      <c r="G1161">
        <v>160964</v>
      </c>
      <c r="H1161">
        <v>128.6</v>
      </c>
    </row>
    <row r="1162" spans="1:8" x14ac:dyDescent="0.2">
      <c r="A1162">
        <v>2024</v>
      </c>
      <c r="B1162" s="1" t="s">
        <v>10</v>
      </c>
      <c r="C1162" s="1" t="s">
        <v>11</v>
      </c>
      <c r="D1162">
        <v>26041</v>
      </c>
      <c r="E1162">
        <v>345000</v>
      </c>
      <c r="F1162">
        <v>382352</v>
      </c>
      <c r="G1162">
        <v>358239</v>
      </c>
      <c r="H1162">
        <v>132.9</v>
      </c>
    </row>
    <row r="1163" spans="1:8" x14ac:dyDescent="0.2">
      <c r="A1163">
        <v>2024</v>
      </c>
      <c r="B1163" s="1" t="s">
        <v>10</v>
      </c>
      <c r="C1163" s="1" t="s">
        <v>12</v>
      </c>
      <c r="D1163">
        <v>3753</v>
      </c>
      <c r="E1163">
        <v>136500</v>
      </c>
      <c r="F1163">
        <v>151737</v>
      </c>
      <c r="G1163">
        <v>141738</v>
      </c>
      <c r="H1163">
        <v>132.9</v>
      </c>
    </row>
    <row r="1164" spans="1:8" x14ac:dyDescent="0.2">
      <c r="A1164">
        <v>2024</v>
      </c>
      <c r="B1164" s="1" t="s">
        <v>10</v>
      </c>
      <c r="C1164" s="1" t="s">
        <v>13</v>
      </c>
      <c r="D1164">
        <v>23120</v>
      </c>
      <c r="E1164">
        <v>227023</v>
      </c>
      <c r="F1164">
        <v>237363</v>
      </c>
      <c r="G1164">
        <v>235735</v>
      </c>
      <c r="H1164">
        <v>132.9</v>
      </c>
    </row>
    <row r="1165" spans="1:8" x14ac:dyDescent="0.2">
      <c r="A1165">
        <v>2024</v>
      </c>
      <c r="B1165" s="1" t="s">
        <v>10</v>
      </c>
      <c r="C1165" s="1" t="s">
        <v>14</v>
      </c>
      <c r="D1165">
        <v>14107</v>
      </c>
      <c r="E1165">
        <v>185000</v>
      </c>
      <c r="F1165">
        <v>198478</v>
      </c>
      <c r="G1165">
        <v>192099</v>
      </c>
      <c r="H1165">
        <v>132.9</v>
      </c>
    </row>
    <row r="1166" spans="1:8" x14ac:dyDescent="0.2">
      <c r="A1166">
        <v>2024</v>
      </c>
      <c r="B1166" s="1" t="s">
        <v>15</v>
      </c>
      <c r="C1166" s="1" t="s">
        <v>11</v>
      </c>
      <c r="D1166">
        <v>28004</v>
      </c>
      <c r="E1166">
        <v>462500</v>
      </c>
      <c r="F1166">
        <v>548061</v>
      </c>
      <c r="G1166">
        <v>480248</v>
      </c>
      <c r="H1166">
        <v>132.9</v>
      </c>
    </row>
    <row r="1167" spans="1:8" x14ac:dyDescent="0.2">
      <c r="A1167">
        <v>2024</v>
      </c>
      <c r="B1167" s="1" t="s">
        <v>15</v>
      </c>
      <c r="C1167" s="1" t="s">
        <v>12</v>
      </c>
      <c r="D1167">
        <v>12370</v>
      </c>
      <c r="E1167">
        <v>215000</v>
      </c>
      <c r="F1167">
        <v>238127</v>
      </c>
      <c r="G1167">
        <v>223251</v>
      </c>
      <c r="H1167">
        <v>132.9</v>
      </c>
    </row>
    <row r="1168" spans="1:8" x14ac:dyDescent="0.2">
      <c r="A1168">
        <v>2024</v>
      </c>
      <c r="B1168" s="1" t="s">
        <v>15</v>
      </c>
      <c r="C1168" s="1" t="s">
        <v>13</v>
      </c>
      <c r="D1168">
        <v>24705</v>
      </c>
      <c r="E1168">
        <v>340000</v>
      </c>
      <c r="F1168">
        <v>377058</v>
      </c>
      <c r="G1168">
        <v>353047</v>
      </c>
      <c r="H1168">
        <v>132.9</v>
      </c>
    </row>
    <row r="1169" spans="1:8" x14ac:dyDescent="0.2">
      <c r="A1169">
        <v>2024</v>
      </c>
      <c r="B1169" s="1" t="s">
        <v>15</v>
      </c>
      <c r="C1169" s="1" t="s">
        <v>14</v>
      </c>
      <c r="D1169">
        <v>20679</v>
      </c>
      <c r="E1169">
        <v>300000</v>
      </c>
      <c r="F1169">
        <v>327022</v>
      </c>
      <c r="G1169">
        <v>311512</v>
      </c>
      <c r="H1169">
        <v>132.9</v>
      </c>
    </row>
    <row r="1170" spans="1:8" x14ac:dyDescent="0.2">
      <c r="A1170">
        <v>2024</v>
      </c>
      <c r="B1170" s="1" t="s">
        <v>16</v>
      </c>
      <c r="C1170" s="1" t="s">
        <v>11</v>
      </c>
      <c r="D1170">
        <v>3942</v>
      </c>
      <c r="E1170">
        <v>900000</v>
      </c>
      <c r="F1170">
        <v>1274943</v>
      </c>
      <c r="G1170">
        <v>934537</v>
      </c>
      <c r="H1170">
        <v>132.9</v>
      </c>
    </row>
    <row r="1171" spans="1:8" x14ac:dyDescent="0.2">
      <c r="A1171">
        <v>2024</v>
      </c>
      <c r="B1171" s="1" t="s">
        <v>16</v>
      </c>
      <c r="C1171" s="1" t="s">
        <v>12</v>
      </c>
      <c r="D1171">
        <v>44613</v>
      </c>
      <c r="E1171">
        <v>450000</v>
      </c>
      <c r="F1171">
        <v>598237</v>
      </c>
      <c r="G1171">
        <v>467269</v>
      </c>
      <c r="H1171">
        <v>132.9</v>
      </c>
    </row>
    <row r="1172" spans="1:8" x14ac:dyDescent="0.2">
      <c r="A1172">
        <v>2024</v>
      </c>
      <c r="B1172" s="1" t="s">
        <v>16</v>
      </c>
      <c r="C1172" s="1" t="s">
        <v>13</v>
      </c>
      <c r="D1172">
        <v>12452</v>
      </c>
      <c r="E1172">
        <v>615000</v>
      </c>
      <c r="F1172">
        <v>795213</v>
      </c>
      <c r="G1172">
        <v>638600</v>
      </c>
      <c r="H1172">
        <v>132.9</v>
      </c>
    </row>
    <row r="1173" spans="1:8" x14ac:dyDescent="0.2">
      <c r="A1173">
        <v>2024</v>
      </c>
      <c r="B1173" s="1" t="s">
        <v>16</v>
      </c>
      <c r="C1173" s="1" t="s">
        <v>14</v>
      </c>
      <c r="D1173">
        <v>22583</v>
      </c>
      <c r="E1173">
        <v>592500</v>
      </c>
      <c r="F1173">
        <v>817940</v>
      </c>
      <c r="G1173">
        <v>615237</v>
      </c>
      <c r="H1173">
        <v>132.9</v>
      </c>
    </row>
    <row r="1174" spans="1:8" x14ac:dyDescent="0.2">
      <c r="A1174">
        <v>2024</v>
      </c>
      <c r="B1174" s="1" t="s">
        <v>17</v>
      </c>
      <c r="C1174" s="1" t="s">
        <v>11</v>
      </c>
      <c r="D1174">
        <v>8997</v>
      </c>
      <c r="E1174">
        <v>292995</v>
      </c>
      <c r="F1174">
        <v>330312</v>
      </c>
      <c r="G1174">
        <v>304239</v>
      </c>
      <c r="H1174">
        <v>132.9</v>
      </c>
    </row>
    <row r="1175" spans="1:8" x14ac:dyDescent="0.2">
      <c r="A1175">
        <v>2024</v>
      </c>
      <c r="B1175" s="1" t="s">
        <v>17</v>
      </c>
      <c r="C1175" s="1" t="s">
        <v>12</v>
      </c>
      <c r="D1175">
        <v>3431</v>
      </c>
      <c r="E1175">
        <v>105000</v>
      </c>
      <c r="F1175">
        <v>122891</v>
      </c>
      <c r="G1175">
        <v>109029</v>
      </c>
      <c r="H1175">
        <v>132.9</v>
      </c>
    </row>
    <row r="1176" spans="1:8" x14ac:dyDescent="0.2">
      <c r="A1176">
        <v>2024</v>
      </c>
      <c r="B1176" s="1" t="s">
        <v>17</v>
      </c>
      <c r="C1176" s="1" t="s">
        <v>13</v>
      </c>
      <c r="D1176">
        <v>12499</v>
      </c>
      <c r="E1176">
        <v>167000</v>
      </c>
      <c r="F1176">
        <v>184628</v>
      </c>
      <c r="G1176">
        <v>173409</v>
      </c>
      <c r="H1176">
        <v>132.9</v>
      </c>
    </row>
    <row r="1177" spans="1:8" x14ac:dyDescent="0.2">
      <c r="A1177">
        <v>2024</v>
      </c>
      <c r="B1177" s="1" t="s">
        <v>17</v>
      </c>
      <c r="C1177" s="1" t="s">
        <v>14</v>
      </c>
      <c r="D1177">
        <v>11701</v>
      </c>
      <c r="E1177">
        <v>125000</v>
      </c>
      <c r="F1177">
        <v>146557</v>
      </c>
      <c r="G1177">
        <v>129797</v>
      </c>
      <c r="H1177">
        <v>132.9</v>
      </c>
    </row>
    <row r="1178" spans="1:8" x14ac:dyDescent="0.2">
      <c r="A1178">
        <v>2024</v>
      </c>
      <c r="B1178" s="1" t="s">
        <v>18</v>
      </c>
      <c r="C1178" s="1" t="s">
        <v>11</v>
      </c>
      <c r="D1178">
        <v>21568</v>
      </c>
      <c r="E1178">
        <v>360000</v>
      </c>
      <c r="F1178">
        <v>419484</v>
      </c>
      <c r="G1178">
        <v>373815</v>
      </c>
      <c r="H1178">
        <v>132.9</v>
      </c>
    </row>
    <row r="1179" spans="1:8" x14ac:dyDescent="0.2">
      <c r="A1179">
        <v>2024</v>
      </c>
      <c r="B1179" s="1" t="s">
        <v>18</v>
      </c>
      <c r="C1179" s="1" t="s">
        <v>12</v>
      </c>
      <c r="D1179">
        <v>11485</v>
      </c>
      <c r="E1179">
        <v>150000</v>
      </c>
      <c r="F1179">
        <v>180673</v>
      </c>
      <c r="G1179">
        <v>155756</v>
      </c>
      <c r="H1179">
        <v>132.9</v>
      </c>
    </row>
    <row r="1180" spans="1:8" x14ac:dyDescent="0.2">
      <c r="A1180">
        <v>2024</v>
      </c>
      <c r="B1180" s="1" t="s">
        <v>18</v>
      </c>
      <c r="C1180" s="1" t="s">
        <v>13</v>
      </c>
      <c r="D1180">
        <v>34640</v>
      </c>
      <c r="E1180">
        <v>225688</v>
      </c>
      <c r="F1180">
        <v>249691</v>
      </c>
      <c r="G1180">
        <v>234348</v>
      </c>
      <c r="H1180">
        <v>132.9</v>
      </c>
    </row>
    <row r="1181" spans="1:8" x14ac:dyDescent="0.2">
      <c r="A1181">
        <v>2024</v>
      </c>
      <c r="B1181" s="1" t="s">
        <v>18</v>
      </c>
      <c r="C1181" s="1" t="s">
        <v>14</v>
      </c>
      <c r="D1181">
        <v>29300</v>
      </c>
      <c r="E1181">
        <v>157000</v>
      </c>
      <c r="F1181">
        <v>178084</v>
      </c>
      <c r="G1181">
        <v>163025</v>
      </c>
      <c r="H1181">
        <v>132.9</v>
      </c>
    </row>
    <row r="1182" spans="1:8" x14ac:dyDescent="0.2">
      <c r="A1182">
        <v>2024</v>
      </c>
      <c r="B1182" s="1" t="s">
        <v>19</v>
      </c>
      <c r="C1182" s="1" t="s">
        <v>11</v>
      </c>
      <c r="D1182">
        <v>35491</v>
      </c>
      <c r="E1182">
        <v>590000</v>
      </c>
      <c r="F1182">
        <v>708738</v>
      </c>
      <c r="G1182">
        <v>612641</v>
      </c>
      <c r="H1182">
        <v>132.9</v>
      </c>
    </row>
    <row r="1183" spans="1:8" x14ac:dyDescent="0.2">
      <c r="A1183">
        <v>2024</v>
      </c>
      <c r="B1183" s="1" t="s">
        <v>19</v>
      </c>
      <c r="C1183" s="1" t="s">
        <v>12</v>
      </c>
      <c r="D1183">
        <v>25771</v>
      </c>
      <c r="E1183">
        <v>230000</v>
      </c>
      <c r="F1183">
        <v>256929</v>
      </c>
      <c r="G1183">
        <v>238826</v>
      </c>
      <c r="H1183">
        <v>132.9</v>
      </c>
    </row>
    <row r="1184" spans="1:8" x14ac:dyDescent="0.2">
      <c r="A1184">
        <v>2024</v>
      </c>
      <c r="B1184" s="1" t="s">
        <v>19</v>
      </c>
      <c r="C1184" s="1" t="s">
        <v>13</v>
      </c>
      <c r="D1184">
        <v>33788</v>
      </c>
      <c r="E1184">
        <v>395000</v>
      </c>
      <c r="F1184">
        <v>433859</v>
      </c>
      <c r="G1184">
        <v>410158</v>
      </c>
      <c r="H1184">
        <v>132.9</v>
      </c>
    </row>
    <row r="1185" spans="1:8" x14ac:dyDescent="0.2">
      <c r="A1185">
        <v>2024</v>
      </c>
      <c r="B1185" s="1" t="s">
        <v>19</v>
      </c>
      <c r="C1185" s="1" t="s">
        <v>14</v>
      </c>
      <c r="D1185">
        <v>30582</v>
      </c>
      <c r="E1185">
        <v>325000</v>
      </c>
      <c r="F1185">
        <v>359494</v>
      </c>
      <c r="G1185">
        <v>337472</v>
      </c>
      <c r="H1185">
        <v>132.9</v>
      </c>
    </row>
    <row r="1186" spans="1:8" x14ac:dyDescent="0.2">
      <c r="A1186">
        <v>2024</v>
      </c>
      <c r="B1186" s="1" t="s">
        <v>20</v>
      </c>
      <c r="C1186" s="1" t="s">
        <v>11</v>
      </c>
      <c r="D1186">
        <v>25506</v>
      </c>
      <c r="E1186">
        <v>449997</v>
      </c>
      <c r="F1186">
        <v>525282</v>
      </c>
      <c r="G1186">
        <v>467266</v>
      </c>
      <c r="H1186">
        <v>132.9</v>
      </c>
    </row>
    <row r="1187" spans="1:8" x14ac:dyDescent="0.2">
      <c r="A1187">
        <v>2024</v>
      </c>
      <c r="B1187" s="1" t="s">
        <v>20</v>
      </c>
      <c r="C1187" s="1" t="s">
        <v>12</v>
      </c>
      <c r="D1187">
        <v>14185</v>
      </c>
      <c r="E1187">
        <v>191000</v>
      </c>
      <c r="F1187">
        <v>228884</v>
      </c>
      <c r="G1187">
        <v>198330</v>
      </c>
      <c r="H1187">
        <v>132.9</v>
      </c>
    </row>
    <row r="1188" spans="1:8" x14ac:dyDescent="0.2">
      <c r="A1188">
        <v>2024</v>
      </c>
      <c r="B1188" s="1" t="s">
        <v>20</v>
      </c>
      <c r="C1188" s="1" t="s">
        <v>13</v>
      </c>
      <c r="D1188">
        <v>21238</v>
      </c>
      <c r="E1188">
        <v>300000</v>
      </c>
      <c r="F1188">
        <v>332929</v>
      </c>
      <c r="G1188">
        <v>311512</v>
      </c>
      <c r="H1188">
        <v>132.9</v>
      </c>
    </row>
    <row r="1189" spans="1:8" x14ac:dyDescent="0.2">
      <c r="A1189">
        <v>2024</v>
      </c>
      <c r="B1189" s="1" t="s">
        <v>20</v>
      </c>
      <c r="C1189" s="1" t="s">
        <v>14</v>
      </c>
      <c r="D1189">
        <v>22933</v>
      </c>
      <c r="E1189">
        <v>260000</v>
      </c>
      <c r="F1189">
        <v>294030</v>
      </c>
      <c r="G1189">
        <v>269977</v>
      </c>
      <c r="H1189">
        <v>132.9</v>
      </c>
    </row>
    <row r="1190" spans="1:8" x14ac:dyDescent="0.2">
      <c r="A1190">
        <v>2024</v>
      </c>
      <c r="B1190" s="1" t="s">
        <v>21</v>
      </c>
      <c r="C1190" s="1" t="s">
        <v>11</v>
      </c>
      <c r="D1190">
        <v>11342</v>
      </c>
      <c r="E1190">
        <v>325000</v>
      </c>
      <c r="F1190">
        <v>354225</v>
      </c>
      <c r="G1190">
        <v>337472</v>
      </c>
      <c r="H1190">
        <v>132.9</v>
      </c>
    </row>
    <row r="1191" spans="1:8" x14ac:dyDescent="0.2">
      <c r="A1191">
        <v>2024</v>
      </c>
      <c r="B1191" s="1" t="s">
        <v>21</v>
      </c>
      <c r="C1191" s="1" t="s">
        <v>12</v>
      </c>
      <c r="D1191">
        <v>2861</v>
      </c>
      <c r="E1191">
        <v>144500</v>
      </c>
      <c r="F1191">
        <v>158270</v>
      </c>
      <c r="G1191">
        <v>150045</v>
      </c>
      <c r="H1191">
        <v>132.9</v>
      </c>
    </row>
    <row r="1192" spans="1:8" x14ac:dyDescent="0.2">
      <c r="A1192">
        <v>2024</v>
      </c>
      <c r="B1192" s="1" t="s">
        <v>21</v>
      </c>
      <c r="C1192" s="1" t="s">
        <v>13</v>
      </c>
      <c r="D1192">
        <v>11885</v>
      </c>
      <c r="E1192">
        <v>209995</v>
      </c>
      <c r="F1192">
        <v>225145</v>
      </c>
      <c r="G1192">
        <v>218053</v>
      </c>
      <c r="H1192">
        <v>132.9</v>
      </c>
    </row>
    <row r="1193" spans="1:8" x14ac:dyDescent="0.2">
      <c r="A1193">
        <v>2024</v>
      </c>
      <c r="B1193" s="1" t="s">
        <v>21</v>
      </c>
      <c r="C1193" s="1" t="s">
        <v>14</v>
      </c>
      <c r="D1193">
        <v>12571</v>
      </c>
      <c r="E1193">
        <v>158500</v>
      </c>
      <c r="F1193">
        <v>177057</v>
      </c>
      <c r="G1193">
        <v>164582</v>
      </c>
      <c r="H1193">
        <v>132.9</v>
      </c>
    </row>
    <row r="1194" spans="1:8" x14ac:dyDescent="0.2">
      <c r="A1194">
        <v>2024</v>
      </c>
      <c r="B1194" s="1" t="s">
        <v>22</v>
      </c>
      <c r="C1194" s="1" t="s">
        <v>11</v>
      </c>
      <c r="D1194">
        <v>19559</v>
      </c>
      <c r="E1194">
        <v>385000</v>
      </c>
      <c r="F1194">
        <v>441223</v>
      </c>
      <c r="G1194">
        <v>399774</v>
      </c>
      <c r="H1194">
        <v>132.9</v>
      </c>
    </row>
    <row r="1195" spans="1:8" x14ac:dyDescent="0.2">
      <c r="A1195">
        <v>2024</v>
      </c>
      <c r="B1195" s="1" t="s">
        <v>22</v>
      </c>
      <c r="C1195" s="1" t="s">
        <v>12</v>
      </c>
      <c r="D1195">
        <v>7683</v>
      </c>
      <c r="E1195">
        <v>140000</v>
      </c>
      <c r="F1195">
        <v>162499</v>
      </c>
      <c r="G1195">
        <v>145372</v>
      </c>
      <c r="H1195">
        <v>132.9</v>
      </c>
    </row>
    <row r="1196" spans="1:8" x14ac:dyDescent="0.2">
      <c r="A1196">
        <v>2024</v>
      </c>
      <c r="B1196" s="1" t="s">
        <v>22</v>
      </c>
      <c r="C1196" s="1" t="s">
        <v>13</v>
      </c>
      <c r="D1196">
        <v>24907</v>
      </c>
      <c r="E1196">
        <v>245000</v>
      </c>
      <c r="F1196">
        <v>260348</v>
      </c>
      <c r="G1196">
        <v>254402</v>
      </c>
      <c r="H1196">
        <v>132.9</v>
      </c>
    </row>
    <row r="1197" spans="1:8" x14ac:dyDescent="0.2">
      <c r="A1197">
        <v>2024</v>
      </c>
      <c r="B1197" s="1" t="s">
        <v>22</v>
      </c>
      <c r="C1197" s="1" t="s">
        <v>14</v>
      </c>
      <c r="D1197">
        <v>18066</v>
      </c>
      <c r="E1197">
        <v>200000</v>
      </c>
      <c r="F1197">
        <v>214590</v>
      </c>
      <c r="G1197">
        <v>207675</v>
      </c>
      <c r="H1197">
        <v>132.9</v>
      </c>
    </row>
    <row r="1198" spans="1:8" x14ac:dyDescent="0.2">
      <c r="A1198">
        <v>2024</v>
      </c>
      <c r="B1198" s="1" t="s">
        <v>23</v>
      </c>
      <c r="C1198" s="1" t="s">
        <v>11</v>
      </c>
      <c r="D1198">
        <v>18123</v>
      </c>
      <c r="E1198">
        <v>340000</v>
      </c>
      <c r="F1198">
        <v>390419</v>
      </c>
      <c r="G1198">
        <v>353047</v>
      </c>
      <c r="H1198">
        <v>132.9</v>
      </c>
    </row>
    <row r="1199" spans="1:8" x14ac:dyDescent="0.2">
      <c r="A1199">
        <v>2024</v>
      </c>
      <c r="B1199" s="1" t="s">
        <v>23</v>
      </c>
      <c r="C1199" s="1" t="s">
        <v>12</v>
      </c>
      <c r="D1199">
        <v>6431</v>
      </c>
      <c r="E1199">
        <v>140000</v>
      </c>
      <c r="F1199">
        <v>166875</v>
      </c>
      <c r="G1199">
        <v>145372</v>
      </c>
      <c r="H1199">
        <v>132.9</v>
      </c>
    </row>
    <row r="1200" spans="1:8" x14ac:dyDescent="0.2">
      <c r="A1200">
        <v>2024</v>
      </c>
      <c r="B1200" s="1" t="s">
        <v>23</v>
      </c>
      <c r="C1200" s="1" t="s">
        <v>13</v>
      </c>
      <c r="D1200">
        <v>27118</v>
      </c>
      <c r="E1200">
        <v>205000</v>
      </c>
      <c r="F1200">
        <v>227301</v>
      </c>
      <c r="G1200">
        <v>212867</v>
      </c>
      <c r="H1200">
        <v>132.9</v>
      </c>
    </row>
    <row r="1201" spans="1:8" x14ac:dyDescent="0.2">
      <c r="A1201">
        <v>2024</v>
      </c>
      <c r="B1201" s="1" t="s">
        <v>23</v>
      </c>
      <c r="C1201" s="1" t="s">
        <v>14</v>
      </c>
      <c r="D1201">
        <v>21316</v>
      </c>
      <c r="E1201">
        <v>155000</v>
      </c>
      <c r="F1201">
        <v>178881</v>
      </c>
      <c r="G1201">
        <v>160948</v>
      </c>
      <c r="H1201">
        <v>132.9</v>
      </c>
    </row>
    <row r="1202" spans="1:8" x14ac:dyDescent="0.2">
      <c r="A1202">
        <v>2025</v>
      </c>
      <c r="B1202" s="1" t="s">
        <v>10</v>
      </c>
      <c r="C1202" s="1" t="s">
        <v>11</v>
      </c>
      <c r="D1202">
        <v>24896</v>
      </c>
      <c r="E1202">
        <v>345000</v>
      </c>
      <c r="F1202">
        <v>385844</v>
      </c>
      <c r="G1202">
        <v>345000</v>
      </c>
      <c r="H1202">
        <v>138</v>
      </c>
    </row>
    <row r="1203" spans="1:8" x14ac:dyDescent="0.2">
      <c r="A1203">
        <v>2025</v>
      </c>
      <c r="B1203" s="1" t="s">
        <v>10</v>
      </c>
      <c r="C1203" s="1" t="s">
        <v>12</v>
      </c>
      <c r="D1203">
        <v>3543</v>
      </c>
      <c r="E1203">
        <v>130000</v>
      </c>
      <c r="F1203">
        <v>143539</v>
      </c>
      <c r="G1203">
        <v>130000</v>
      </c>
      <c r="H1203">
        <v>138</v>
      </c>
    </row>
    <row r="1204" spans="1:8" x14ac:dyDescent="0.2">
      <c r="A1204">
        <v>2025</v>
      </c>
      <c r="B1204" s="1" t="s">
        <v>10</v>
      </c>
      <c r="C1204" s="1" t="s">
        <v>13</v>
      </c>
      <c r="D1204">
        <v>22844</v>
      </c>
      <c r="E1204">
        <v>230000</v>
      </c>
      <c r="F1204">
        <v>243136</v>
      </c>
      <c r="G1204">
        <v>230000</v>
      </c>
      <c r="H1204">
        <v>138</v>
      </c>
    </row>
    <row r="1205" spans="1:8" x14ac:dyDescent="0.2">
      <c r="A1205">
        <v>2025</v>
      </c>
      <c r="B1205" s="1" t="s">
        <v>10</v>
      </c>
      <c r="C1205" s="1" t="s">
        <v>14</v>
      </c>
      <c r="D1205">
        <v>14453</v>
      </c>
      <c r="E1205">
        <v>190000</v>
      </c>
      <c r="F1205">
        <v>201461</v>
      </c>
      <c r="G1205">
        <v>190000</v>
      </c>
      <c r="H1205">
        <v>138</v>
      </c>
    </row>
    <row r="1206" spans="1:8" x14ac:dyDescent="0.2">
      <c r="A1206">
        <v>2025</v>
      </c>
      <c r="B1206" s="1" t="s">
        <v>15</v>
      </c>
      <c r="C1206" s="1" t="s">
        <v>11</v>
      </c>
      <c r="D1206">
        <v>26994</v>
      </c>
      <c r="E1206">
        <v>470000</v>
      </c>
      <c r="F1206">
        <v>556039</v>
      </c>
      <c r="G1206">
        <v>470000</v>
      </c>
      <c r="H1206">
        <v>138</v>
      </c>
    </row>
    <row r="1207" spans="1:8" x14ac:dyDescent="0.2">
      <c r="A1207">
        <v>2025</v>
      </c>
      <c r="B1207" s="1" t="s">
        <v>15</v>
      </c>
      <c r="C1207" s="1" t="s">
        <v>12</v>
      </c>
      <c r="D1207">
        <v>11539</v>
      </c>
      <c r="E1207">
        <v>212000</v>
      </c>
      <c r="F1207">
        <v>231535</v>
      </c>
      <c r="G1207">
        <v>212000</v>
      </c>
      <c r="H1207">
        <v>138</v>
      </c>
    </row>
    <row r="1208" spans="1:8" x14ac:dyDescent="0.2">
      <c r="A1208">
        <v>2025</v>
      </c>
      <c r="B1208" s="1" t="s">
        <v>15</v>
      </c>
      <c r="C1208" s="1" t="s">
        <v>13</v>
      </c>
      <c r="D1208">
        <v>24747</v>
      </c>
      <c r="E1208">
        <v>350000</v>
      </c>
      <c r="F1208">
        <v>385517</v>
      </c>
      <c r="G1208">
        <v>350000</v>
      </c>
      <c r="H1208">
        <v>138</v>
      </c>
    </row>
    <row r="1209" spans="1:8" x14ac:dyDescent="0.2">
      <c r="A1209">
        <v>2025</v>
      </c>
      <c r="B1209" s="1" t="s">
        <v>15</v>
      </c>
      <c r="C1209" s="1" t="s">
        <v>14</v>
      </c>
      <c r="D1209">
        <v>21693</v>
      </c>
      <c r="E1209">
        <v>310000</v>
      </c>
      <c r="F1209">
        <v>331090</v>
      </c>
      <c r="G1209">
        <v>310000</v>
      </c>
      <c r="H1209">
        <v>138</v>
      </c>
    </row>
    <row r="1210" spans="1:8" x14ac:dyDescent="0.2">
      <c r="A1210">
        <v>2025</v>
      </c>
      <c r="B1210" s="1" t="s">
        <v>16</v>
      </c>
      <c r="C1210" s="1" t="s">
        <v>11</v>
      </c>
      <c r="D1210">
        <v>3783</v>
      </c>
      <c r="E1210">
        <v>900000</v>
      </c>
      <c r="F1210">
        <v>1292412</v>
      </c>
      <c r="G1210">
        <v>900000</v>
      </c>
      <c r="H1210">
        <v>138</v>
      </c>
    </row>
    <row r="1211" spans="1:8" x14ac:dyDescent="0.2">
      <c r="A1211">
        <v>2025</v>
      </c>
      <c r="B1211" s="1" t="s">
        <v>16</v>
      </c>
      <c r="C1211" s="1" t="s">
        <v>12</v>
      </c>
      <c r="D1211">
        <v>40214</v>
      </c>
      <c r="E1211">
        <v>440000</v>
      </c>
      <c r="F1211">
        <v>546257</v>
      </c>
      <c r="G1211">
        <v>440000</v>
      </c>
      <c r="H1211">
        <v>138</v>
      </c>
    </row>
    <row r="1212" spans="1:8" x14ac:dyDescent="0.2">
      <c r="A1212">
        <v>2025</v>
      </c>
      <c r="B1212" s="1" t="s">
        <v>16</v>
      </c>
      <c r="C1212" s="1" t="s">
        <v>13</v>
      </c>
      <c r="D1212">
        <v>12364</v>
      </c>
      <c r="E1212">
        <v>625000</v>
      </c>
      <c r="F1212">
        <v>788462</v>
      </c>
      <c r="G1212">
        <v>625000</v>
      </c>
      <c r="H1212">
        <v>138</v>
      </c>
    </row>
    <row r="1213" spans="1:8" x14ac:dyDescent="0.2">
      <c r="A1213">
        <v>2025</v>
      </c>
      <c r="B1213" s="1" t="s">
        <v>16</v>
      </c>
      <c r="C1213" s="1" t="s">
        <v>14</v>
      </c>
      <c r="D1213">
        <v>22518</v>
      </c>
      <c r="E1213">
        <v>590000</v>
      </c>
      <c r="F1213">
        <v>795382</v>
      </c>
      <c r="G1213">
        <v>590000</v>
      </c>
      <c r="H1213">
        <v>138</v>
      </c>
    </row>
    <row r="1214" spans="1:8" x14ac:dyDescent="0.2">
      <c r="A1214">
        <v>2025</v>
      </c>
      <c r="B1214" s="1" t="s">
        <v>17</v>
      </c>
      <c r="C1214" s="1" t="s">
        <v>11</v>
      </c>
      <c r="D1214">
        <v>7983</v>
      </c>
      <c r="E1214">
        <v>299999</v>
      </c>
      <c r="F1214">
        <v>336512</v>
      </c>
      <c r="G1214">
        <v>299999</v>
      </c>
      <c r="H1214">
        <v>138</v>
      </c>
    </row>
    <row r="1215" spans="1:8" x14ac:dyDescent="0.2">
      <c r="A1215">
        <v>2025</v>
      </c>
      <c r="B1215" s="1" t="s">
        <v>17</v>
      </c>
      <c r="C1215" s="1" t="s">
        <v>12</v>
      </c>
      <c r="D1215">
        <v>3113</v>
      </c>
      <c r="E1215">
        <v>105000</v>
      </c>
      <c r="F1215">
        <v>125232</v>
      </c>
      <c r="G1215">
        <v>105000</v>
      </c>
      <c r="H1215">
        <v>138</v>
      </c>
    </row>
    <row r="1216" spans="1:8" x14ac:dyDescent="0.2">
      <c r="A1216">
        <v>2025</v>
      </c>
      <c r="B1216" s="1" t="s">
        <v>17</v>
      </c>
      <c r="C1216" s="1" t="s">
        <v>13</v>
      </c>
      <c r="D1216">
        <v>12248</v>
      </c>
      <c r="E1216">
        <v>173500</v>
      </c>
      <c r="F1216">
        <v>193052</v>
      </c>
      <c r="G1216">
        <v>173500</v>
      </c>
      <c r="H1216">
        <v>138</v>
      </c>
    </row>
    <row r="1217" spans="1:8" x14ac:dyDescent="0.2">
      <c r="A1217">
        <v>2025</v>
      </c>
      <c r="B1217" s="1" t="s">
        <v>17</v>
      </c>
      <c r="C1217" s="1" t="s">
        <v>14</v>
      </c>
      <c r="D1217">
        <v>11172</v>
      </c>
      <c r="E1217">
        <v>128065</v>
      </c>
      <c r="F1217">
        <v>153260</v>
      </c>
      <c r="G1217">
        <v>128065</v>
      </c>
      <c r="H1217">
        <v>138</v>
      </c>
    </row>
    <row r="1218" spans="1:8" x14ac:dyDescent="0.2">
      <c r="A1218">
        <v>2025</v>
      </c>
      <c r="B1218" s="1" t="s">
        <v>18</v>
      </c>
      <c r="C1218" s="1" t="s">
        <v>11</v>
      </c>
      <c r="D1218">
        <v>20478</v>
      </c>
      <c r="E1218">
        <v>370000</v>
      </c>
      <c r="F1218">
        <v>431843</v>
      </c>
      <c r="G1218">
        <v>370000</v>
      </c>
      <c r="H1218">
        <v>138</v>
      </c>
    </row>
    <row r="1219" spans="1:8" x14ac:dyDescent="0.2">
      <c r="A1219">
        <v>2025</v>
      </c>
      <c r="B1219" s="1" t="s">
        <v>18</v>
      </c>
      <c r="C1219" s="1" t="s">
        <v>12</v>
      </c>
      <c r="D1219">
        <v>10501</v>
      </c>
      <c r="E1219">
        <v>150000</v>
      </c>
      <c r="F1219">
        <v>176042</v>
      </c>
      <c r="G1219">
        <v>150000</v>
      </c>
      <c r="H1219">
        <v>138</v>
      </c>
    </row>
    <row r="1220" spans="1:8" x14ac:dyDescent="0.2">
      <c r="A1220">
        <v>2025</v>
      </c>
      <c r="B1220" s="1" t="s">
        <v>18</v>
      </c>
      <c r="C1220" s="1" t="s">
        <v>13</v>
      </c>
      <c r="D1220">
        <v>34247</v>
      </c>
      <c r="E1220">
        <v>235000</v>
      </c>
      <c r="F1220">
        <v>259377</v>
      </c>
      <c r="G1220">
        <v>235000</v>
      </c>
      <c r="H1220">
        <v>138</v>
      </c>
    </row>
    <row r="1221" spans="1:8" x14ac:dyDescent="0.2">
      <c r="A1221">
        <v>2025</v>
      </c>
      <c r="B1221" s="1" t="s">
        <v>18</v>
      </c>
      <c r="C1221" s="1" t="s">
        <v>14</v>
      </c>
      <c r="D1221">
        <v>29417</v>
      </c>
      <c r="E1221">
        <v>165000</v>
      </c>
      <c r="F1221">
        <v>187215</v>
      </c>
      <c r="G1221">
        <v>165000</v>
      </c>
      <c r="H1221">
        <v>138</v>
      </c>
    </row>
    <row r="1222" spans="1:8" x14ac:dyDescent="0.2">
      <c r="A1222">
        <v>2025</v>
      </c>
      <c r="B1222" s="1" t="s">
        <v>19</v>
      </c>
      <c r="C1222" s="1" t="s">
        <v>11</v>
      </c>
      <c r="D1222">
        <v>34441</v>
      </c>
      <c r="E1222">
        <v>600000</v>
      </c>
      <c r="F1222">
        <v>714806</v>
      </c>
      <c r="G1222">
        <v>600000</v>
      </c>
      <c r="H1222">
        <v>138</v>
      </c>
    </row>
    <row r="1223" spans="1:8" x14ac:dyDescent="0.2">
      <c r="A1223">
        <v>2025</v>
      </c>
      <c r="B1223" s="1" t="s">
        <v>19</v>
      </c>
      <c r="C1223" s="1" t="s">
        <v>12</v>
      </c>
      <c r="D1223">
        <v>23627</v>
      </c>
      <c r="E1223">
        <v>225000</v>
      </c>
      <c r="F1223">
        <v>249307</v>
      </c>
      <c r="G1223">
        <v>225000</v>
      </c>
      <c r="H1223">
        <v>138</v>
      </c>
    </row>
    <row r="1224" spans="1:8" x14ac:dyDescent="0.2">
      <c r="A1224">
        <v>2025</v>
      </c>
      <c r="B1224" s="1" t="s">
        <v>19</v>
      </c>
      <c r="C1224" s="1" t="s">
        <v>13</v>
      </c>
      <c r="D1224">
        <v>33756</v>
      </c>
      <c r="E1224">
        <v>400000</v>
      </c>
      <c r="F1224">
        <v>440039</v>
      </c>
      <c r="G1224">
        <v>400000</v>
      </c>
      <c r="H1224">
        <v>138</v>
      </c>
    </row>
    <row r="1225" spans="1:8" x14ac:dyDescent="0.2">
      <c r="A1225">
        <v>2025</v>
      </c>
      <c r="B1225" s="1" t="s">
        <v>19</v>
      </c>
      <c r="C1225" s="1" t="s">
        <v>14</v>
      </c>
      <c r="D1225">
        <v>31658</v>
      </c>
      <c r="E1225">
        <v>330000</v>
      </c>
      <c r="F1225">
        <v>362107</v>
      </c>
      <c r="G1225">
        <v>330000</v>
      </c>
      <c r="H1225">
        <v>138</v>
      </c>
    </row>
    <row r="1226" spans="1:8" x14ac:dyDescent="0.2">
      <c r="A1226">
        <v>2025</v>
      </c>
      <c r="B1226" s="1" t="s">
        <v>20</v>
      </c>
      <c r="C1226" s="1" t="s">
        <v>11</v>
      </c>
      <c r="D1226">
        <v>24888</v>
      </c>
      <c r="E1226">
        <v>450000</v>
      </c>
      <c r="F1226">
        <v>520424</v>
      </c>
      <c r="G1226">
        <v>450000</v>
      </c>
      <c r="H1226">
        <v>138</v>
      </c>
    </row>
    <row r="1227" spans="1:8" x14ac:dyDescent="0.2">
      <c r="A1227">
        <v>2025</v>
      </c>
      <c r="B1227" s="1" t="s">
        <v>20</v>
      </c>
      <c r="C1227" s="1" t="s">
        <v>12</v>
      </c>
      <c r="D1227">
        <v>12862</v>
      </c>
      <c r="E1227">
        <v>186000</v>
      </c>
      <c r="F1227">
        <v>219052</v>
      </c>
      <c r="G1227">
        <v>186000</v>
      </c>
      <c r="H1227">
        <v>138</v>
      </c>
    </row>
    <row r="1228" spans="1:8" x14ac:dyDescent="0.2">
      <c r="A1228">
        <v>2025</v>
      </c>
      <c r="B1228" s="1" t="s">
        <v>20</v>
      </c>
      <c r="C1228" s="1" t="s">
        <v>13</v>
      </c>
      <c r="D1228">
        <v>20644</v>
      </c>
      <c r="E1228">
        <v>305000</v>
      </c>
      <c r="F1228">
        <v>334637</v>
      </c>
      <c r="G1228">
        <v>305000</v>
      </c>
      <c r="H1228">
        <v>138</v>
      </c>
    </row>
    <row r="1229" spans="1:8" x14ac:dyDescent="0.2">
      <c r="A1229">
        <v>2025</v>
      </c>
      <c r="B1229" s="1" t="s">
        <v>20</v>
      </c>
      <c r="C1229" s="1" t="s">
        <v>14</v>
      </c>
      <c r="D1229">
        <v>23505</v>
      </c>
      <c r="E1229">
        <v>265000</v>
      </c>
      <c r="F1229">
        <v>295112</v>
      </c>
      <c r="G1229">
        <v>265000</v>
      </c>
      <c r="H1229">
        <v>138</v>
      </c>
    </row>
    <row r="1230" spans="1:8" x14ac:dyDescent="0.2">
      <c r="A1230">
        <v>2025</v>
      </c>
      <c r="B1230" s="1" t="s">
        <v>21</v>
      </c>
      <c r="C1230" s="1" t="s">
        <v>11</v>
      </c>
      <c r="D1230">
        <v>11221</v>
      </c>
      <c r="E1230">
        <v>328000</v>
      </c>
      <c r="F1230">
        <v>362496</v>
      </c>
      <c r="G1230">
        <v>328000</v>
      </c>
      <c r="H1230">
        <v>138</v>
      </c>
    </row>
    <row r="1231" spans="1:8" x14ac:dyDescent="0.2">
      <c r="A1231">
        <v>2025</v>
      </c>
      <c r="B1231" s="1" t="s">
        <v>21</v>
      </c>
      <c r="C1231" s="1" t="s">
        <v>12</v>
      </c>
      <c r="D1231">
        <v>2662</v>
      </c>
      <c r="E1231">
        <v>145000</v>
      </c>
      <c r="F1231">
        <v>161064</v>
      </c>
      <c r="G1231">
        <v>145000</v>
      </c>
      <c r="H1231">
        <v>138</v>
      </c>
    </row>
    <row r="1232" spans="1:8" x14ac:dyDescent="0.2">
      <c r="A1232">
        <v>2025</v>
      </c>
      <c r="B1232" s="1" t="s">
        <v>21</v>
      </c>
      <c r="C1232" s="1" t="s">
        <v>13</v>
      </c>
      <c r="D1232">
        <v>11421</v>
      </c>
      <c r="E1232">
        <v>212500</v>
      </c>
      <c r="F1232">
        <v>231724</v>
      </c>
      <c r="G1232">
        <v>212500</v>
      </c>
      <c r="H1232">
        <v>138</v>
      </c>
    </row>
    <row r="1233" spans="1:8" x14ac:dyDescent="0.2">
      <c r="A1233">
        <v>2025</v>
      </c>
      <c r="B1233" s="1" t="s">
        <v>21</v>
      </c>
      <c r="C1233" s="1" t="s">
        <v>14</v>
      </c>
      <c r="D1233">
        <v>12615</v>
      </c>
      <c r="E1233">
        <v>165000</v>
      </c>
      <c r="F1233">
        <v>182456</v>
      </c>
      <c r="G1233">
        <v>165000</v>
      </c>
      <c r="H1233">
        <v>138</v>
      </c>
    </row>
    <row r="1234" spans="1:8" x14ac:dyDescent="0.2">
      <c r="A1234">
        <v>2025</v>
      </c>
      <c r="B1234" s="1" t="s">
        <v>22</v>
      </c>
      <c r="C1234" s="1" t="s">
        <v>11</v>
      </c>
      <c r="D1234">
        <v>18474</v>
      </c>
      <c r="E1234">
        <v>392500</v>
      </c>
      <c r="F1234">
        <v>447490</v>
      </c>
      <c r="G1234">
        <v>392500</v>
      </c>
      <c r="H1234">
        <v>138</v>
      </c>
    </row>
    <row r="1235" spans="1:8" x14ac:dyDescent="0.2">
      <c r="A1235">
        <v>2025</v>
      </c>
      <c r="B1235" s="1" t="s">
        <v>22</v>
      </c>
      <c r="C1235" s="1" t="s">
        <v>12</v>
      </c>
      <c r="D1235">
        <v>6596</v>
      </c>
      <c r="E1235">
        <v>140000</v>
      </c>
      <c r="F1235">
        <v>161009</v>
      </c>
      <c r="G1235">
        <v>140000</v>
      </c>
      <c r="H1235">
        <v>138</v>
      </c>
    </row>
    <row r="1236" spans="1:8" x14ac:dyDescent="0.2">
      <c r="A1236">
        <v>2025</v>
      </c>
      <c r="B1236" s="1" t="s">
        <v>22</v>
      </c>
      <c r="C1236" s="1" t="s">
        <v>13</v>
      </c>
      <c r="D1236">
        <v>24636</v>
      </c>
      <c r="E1236">
        <v>250000</v>
      </c>
      <c r="F1236">
        <v>267230</v>
      </c>
      <c r="G1236">
        <v>250000</v>
      </c>
      <c r="H1236">
        <v>138</v>
      </c>
    </row>
    <row r="1237" spans="1:8" x14ac:dyDescent="0.2">
      <c r="A1237">
        <v>2025</v>
      </c>
      <c r="B1237" s="1" t="s">
        <v>22</v>
      </c>
      <c r="C1237" s="1" t="s">
        <v>14</v>
      </c>
      <c r="D1237">
        <v>17717</v>
      </c>
      <c r="E1237">
        <v>205000</v>
      </c>
      <c r="F1237">
        <v>232722</v>
      </c>
      <c r="G1237">
        <v>205000</v>
      </c>
      <c r="H1237">
        <v>138</v>
      </c>
    </row>
    <row r="1238" spans="1:8" x14ac:dyDescent="0.2">
      <c r="A1238">
        <v>2025</v>
      </c>
      <c r="B1238" s="1" t="s">
        <v>23</v>
      </c>
      <c r="C1238" s="1" t="s">
        <v>11</v>
      </c>
      <c r="D1238">
        <v>17125</v>
      </c>
      <c r="E1238">
        <v>350000</v>
      </c>
      <c r="F1238">
        <v>395755</v>
      </c>
      <c r="G1238">
        <v>350000</v>
      </c>
      <c r="H1238">
        <v>138</v>
      </c>
    </row>
    <row r="1239" spans="1:8" x14ac:dyDescent="0.2">
      <c r="A1239">
        <v>2025</v>
      </c>
      <c r="B1239" s="1" t="s">
        <v>23</v>
      </c>
      <c r="C1239" s="1" t="s">
        <v>12</v>
      </c>
      <c r="D1239">
        <v>5547</v>
      </c>
      <c r="E1239">
        <v>137000</v>
      </c>
      <c r="F1239">
        <v>161207</v>
      </c>
      <c r="G1239">
        <v>137000</v>
      </c>
      <c r="H1239">
        <v>138</v>
      </c>
    </row>
    <row r="1240" spans="1:8" x14ac:dyDescent="0.2">
      <c r="A1240">
        <v>2025</v>
      </c>
      <c r="B1240" s="1" t="s">
        <v>23</v>
      </c>
      <c r="C1240" s="1" t="s">
        <v>13</v>
      </c>
      <c r="D1240">
        <v>25925</v>
      </c>
      <c r="E1240">
        <v>212500</v>
      </c>
      <c r="F1240">
        <v>233813</v>
      </c>
      <c r="G1240">
        <v>212500</v>
      </c>
      <c r="H1240">
        <v>138</v>
      </c>
    </row>
    <row r="1241" spans="1:8" x14ac:dyDescent="0.2">
      <c r="A1241">
        <v>2025</v>
      </c>
      <c r="B1241" s="1" t="s">
        <v>23</v>
      </c>
      <c r="C1241" s="1" t="s">
        <v>14</v>
      </c>
      <c r="D1241">
        <v>21236</v>
      </c>
      <c r="E1241">
        <v>165000</v>
      </c>
      <c r="F1241">
        <v>184476</v>
      </c>
      <c r="G1241">
        <v>165000</v>
      </c>
      <c r="H1241">
        <v>138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A206-45F8-2D47-9E71-C1DD4DCB418A}">
  <dimension ref="A1:K318"/>
  <sheetViews>
    <sheetView workbookViewId="0"/>
  </sheetViews>
  <sheetFormatPr baseColWidth="10" defaultRowHeight="16" x14ac:dyDescent="0.2"/>
  <cols>
    <col min="1" max="1" width="36.6640625" bestFit="1" customWidth="1"/>
    <col min="2" max="2" width="11" bestFit="1" customWidth="1"/>
    <col min="3" max="3" width="20" bestFit="1" customWidth="1"/>
    <col min="4" max="4" width="18.33203125" bestFit="1" customWidth="1"/>
    <col min="5" max="5" width="32.5" bestFit="1" customWidth="1"/>
    <col min="6" max="6" width="22.33203125" bestFit="1" customWidth="1"/>
    <col min="7" max="7" width="20.6640625" bestFit="1" customWidth="1"/>
    <col min="9" max="9" width="18.5" bestFit="1" customWidth="1"/>
    <col min="10" max="10" width="18.83203125" bestFit="1" customWidth="1"/>
    <col min="11" max="11" width="22.1640625" bestFit="1" customWidth="1"/>
  </cols>
  <sheetData>
    <row r="1" spans="1:11" x14ac:dyDescent="0.2">
      <c r="A1" t="s">
        <v>26</v>
      </c>
      <c r="B1" t="s">
        <v>27</v>
      </c>
      <c r="C1" t="s">
        <v>28</v>
      </c>
      <c r="D1" t="s">
        <v>29</v>
      </c>
      <c r="E1" t="s">
        <v>667</v>
      </c>
      <c r="F1" t="s">
        <v>1</v>
      </c>
      <c r="G1" t="s">
        <v>671</v>
      </c>
      <c r="H1" t="s">
        <v>674</v>
      </c>
      <c r="I1" t="s">
        <v>675</v>
      </c>
      <c r="J1" t="s">
        <v>5</v>
      </c>
      <c r="K1" t="s">
        <v>993</v>
      </c>
    </row>
    <row r="2" spans="1:11" x14ac:dyDescent="0.2">
      <c r="A2" s="1" t="s">
        <v>30</v>
      </c>
      <c r="B2" s="1" t="s">
        <v>31</v>
      </c>
      <c r="C2">
        <v>30100</v>
      </c>
      <c r="D2">
        <v>35551</v>
      </c>
      <c r="E2" s="1" t="s">
        <v>931</v>
      </c>
      <c r="F2" s="1" t="s">
        <v>17</v>
      </c>
      <c r="G2">
        <v>177500</v>
      </c>
      <c r="H2">
        <v>3.1</v>
      </c>
      <c r="I2">
        <v>256</v>
      </c>
      <c r="J2">
        <v>60990</v>
      </c>
      <c r="K2">
        <v>5.9</v>
      </c>
    </row>
    <row r="3" spans="1:11" x14ac:dyDescent="0.2">
      <c r="A3" s="1" t="s">
        <v>80</v>
      </c>
      <c r="B3" s="1" t="s">
        <v>81</v>
      </c>
      <c r="C3">
        <v>30495</v>
      </c>
      <c r="D3">
        <v>35495</v>
      </c>
      <c r="E3" s="1" t="s">
        <v>676</v>
      </c>
      <c r="F3" s="1" t="s">
        <v>18</v>
      </c>
      <c r="G3">
        <v>239995</v>
      </c>
      <c r="H3">
        <v>6.3</v>
      </c>
      <c r="I3">
        <v>1</v>
      </c>
      <c r="J3">
        <v>122196</v>
      </c>
      <c r="K3">
        <v>7.87</v>
      </c>
    </row>
    <row r="4" spans="1:11" x14ac:dyDescent="0.2">
      <c r="A4" s="1" t="s">
        <v>32</v>
      </c>
      <c r="B4" s="1" t="s">
        <v>33</v>
      </c>
      <c r="C4">
        <v>28830</v>
      </c>
      <c r="D4">
        <v>30428</v>
      </c>
      <c r="E4" s="1" t="s">
        <v>977</v>
      </c>
      <c r="F4" s="1" t="s">
        <v>17</v>
      </c>
      <c r="G4">
        <v>155000</v>
      </c>
      <c r="H4">
        <v>2.2999999999999998</v>
      </c>
      <c r="I4">
        <v>302</v>
      </c>
      <c r="J4">
        <v>46623</v>
      </c>
      <c r="K4">
        <v>5.38</v>
      </c>
    </row>
    <row r="5" spans="1:11" x14ac:dyDescent="0.2">
      <c r="A5" s="1" t="s">
        <v>659</v>
      </c>
      <c r="B5" s="1" t="s">
        <v>660</v>
      </c>
      <c r="C5">
        <v>30734</v>
      </c>
      <c r="D5">
        <v>31736</v>
      </c>
      <c r="E5" s="1" t="s">
        <v>677</v>
      </c>
      <c r="F5" s="1" t="s">
        <v>21</v>
      </c>
      <c r="G5">
        <v>140500</v>
      </c>
      <c r="H5">
        <v>6.1</v>
      </c>
      <c r="I5">
        <v>2</v>
      </c>
      <c r="J5">
        <v>25120</v>
      </c>
      <c r="K5">
        <v>4.57</v>
      </c>
    </row>
    <row r="6" spans="1:11" x14ac:dyDescent="0.2">
      <c r="A6" s="1" t="s">
        <v>34</v>
      </c>
      <c r="B6" s="1" t="s">
        <v>35</v>
      </c>
      <c r="C6">
        <v>30253</v>
      </c>
      <c r="D6">
        <v>34997</v>
      </c>
      <c r="E6" s="1" t="s">
        <v>981</v>
      </c>
      <c r="F6" s="1" t="s">
        <v>17</v>
      </c>
      <c r="G6">
        <v>155000</v>
      </c>
      <c r="H6">
        <v>1.8</v>
      </c>
      <c r="I6">
        <v>306</v>
      </c>
      <c r="J6">
        <v>62645</v>
      </c>
      <c r="K6">
        <v>5.12</v>
      </c>
    </row>
    <row r="7" spans="1:11" x14ac:dyDescent="0.2">
      <c r="A7" s="1" t="s">
        <v>156</v>
      </c>
      <c r="B7" s="1" t="s">
        <v>157</v>
      </c>
      <c r="C7">
        <v>27858</v>
      </c>
      <c r="D7">
        <v>30887</v>
      </c>
      <c r="E7" s="1" t="s">
        <v>678</v>
      </c>
      <c r="F7" s="1" t="s">
        <v>10</v>
      </c>
      <c r="G7">
        <v>242000</v>
      </c>
      <c r="H7">
        <v>6</v>
      </c>
      <c r="I7">
        <v>3</v>
      </c>
      <c r="J7">
        <v>113725</v>
      </c>
      <c r="K7">
        <v>8.69</v>
      </c>
    </row>
    <row r="8" spans="1:11" x14ac:dyDescent="0.2">
      <c r="A8" s="1" t="s">
        <v>36</v>
      </c>
      <c r="B8" s="1" t="s">
        <v>37</v>
      </c>
      <c r="C8">
        <v>28630</v>
      </c>
      <c r="D8">
        <v>31794</v>
      </c>
      <c r="E8" s="1" t="s">
        <v>968</v>
      </c>
      <c r="F8" s="1" t="s">
        <v>17</v>
      </c>
      <c r="G8">
        <v>164995</v>
      </c>
      <c r="H8">
        <v>2.6</v>
      </c>
      <c r="I8">
        <v>293</v>
      </c>
      <c r="J8">
        <v>64835</v>
      </c>
      <c r="K8">
        <v>5.76</v>
      </c>
    </row>
    <row r="9" spans="1:11" x14ac:dyDescent="0.2">
      <c r="A9" s="1" t="s">
        <v>76</v>
      </c>
      <c r="B9" s="1" t="s">
        <v>77</v>
      </c>
      <c r="C9">
        <v>29124</v>
      </c>
      <c r="D9">
        <v>31608</v>
      </c>
      <c r="E9" s="1" t="s">
        <v>679</v>
      </c>
      <c r="F9" s="1" t="s">
        <v>18</v>
      </c>
      <c r="G9">
        <v>214000</v>
      </c>
      <c r="H9">
        <v>6</v>
      </c>
      <c r="I9">
        <v>4</v>
      </c>
      <c r="J9">
        <v>97508</v>
      </c>
      <c r="K9">
        <v>7.35</v>
      </c>
    </row>
    <row r="10" spans="1:11" x14ac:dyDescent="0.2">
      <c r="A10" s="1" t="s">
        <v>38</v>
      </c>
      <c r="B10" s="1" t="s">
        <v>39</v>
      </c>
      <c r="C10">
        <v>29877</v>
      </c>
      <c r="D10">
        <v>34725</v>
      </c>
      <c r="E10" s="1" t="s">
        <v>965</v>
      </c>
      <c r="F10" s="1" t="s">
        <v>17</v>
      </c>
      <c r="G10">
        <v>175000</v>
      </c>
      <c r="H10">
        <v>2.6</v>
      </c>
      <c r="I10">
        <v>290</v>
      </c>
      <c r="J10">
        <v>99445</v>
      </c>
      <c r="K10">
        <v>5.86</v>
      </c>
    </row>
    <row r="11" spans="1:11" x14ac:dyDescent="0.2">
      <c r="A11" s="1" t="s">
        <v>264</v>
      </c>
      <c r="B11" s="1" t="s">
        <v>265</v>
      </c>
      <c r="C11">
        <v>27652</v>
      </c>
      <c r="D11">
        <v>29914</v>
      </c>
      <c r="E11" s="1" t="s">
        <v>680</v>
      </c>
      <c r="F11" s="1" t="s">
        <v>22</v>
      </c>
      <c r="G11">
        <v>220000</v>
      </c>
      <c r="H11">
        <v>5.8</v>
      </c>
      <c r="I11">
        <v>5</v>
      </c>
      <c r="J11">
        <v>111954</v>
      </c>
      <c r="K11">
        <v>7.96</v>
      </c>
    </row>
    <row r="12" spans="1:11" x14ac:dyDescent="0.2">
      <c r="A12" s="1" t="s">
        <v>40</v>
      </c>
      <c r="B12" s="1" t="s">
        <v>41</v>
      </c>
      <c r="C12">
        <v>29718</v>
      </c>
      <c r="D12">
        <v>32953</v>
      </c>
      <c r="E12" s="1" t="s">
        <v>952</v>
      </c>
      <c r="F12" s="1" t="s">
        <v>17</v>
      </c>
      <c r="G12">
        <v>145000</v>
      </c>
      <c r="H12">
        <v>2.8</v>
      </c>
      <c r="I12">
        <v>277</v>
      </c>
      <c r="J12">
        <v>253771</v>
      </c>
      <c r="K12">
        <v>4.88</v>
      </c>
    </row>
    <row r="13" spans="1:11" x14ac:dyDescent="0.2">
      <c r="A13" s="1" t="s">
        <v>74</v>
      </c>
      <c r="B13" s="1" t="s">
        <v>75</v>
      </c>
      <c r="C13">
        <v>30067</v>
      </c>
      <c r="D13">
        <v>35180</v>
      </c>
      <c r="E13" s="1" t="s">
        <v>681</v>
      </c>
      <c r="F13" s="1" t="s">
        <v>18</v>
      </c>
      <c r="G13">
        <v>250000</v>
      </c>
      <c r="H13">
        <v>5.7</v>
      </c>
      <c r="I13">
        <v>6</v>
      </c>
      <c r="J13">
        <v>221822</v>
      </c>
      <c r="K13">
        <v>8.31</v>
      </c>
    </row>
    <row r="14" spans="1:11" x14ac:dyDescent="0.2">
      <c r="A14" s="1" t="s">
        <v>42</v>
      </c>
      <c r="B14" s="1" t="s">
        <v>43</v>
      </c>
      <c r="C14">
        <v>30456</v>
      </c>
      <c r="D14">
        <v>36680</v>
      </c>
      <c r="E14" s="1" t="s">
        <v>949</v>
      </c>
      <c r="F14" s="1" t="s">
        <v>17</v>
      </c>
      <c r="G14">
        <v>204995</v>
      </c>
      <c r="H14">
        <v>2.8</v>
      </c>
      <c r="I14">
        <v>274</v>
      </c>
      <c r="J14">
        <v>166987</v>
      </c>
      <c r="K14">
        <v>6.73</v>
      </c>
    </row>
    <row r="15" spans="1:11" x14ac:dyDescent="0.2">
      <c r="A15" s="1" t="s">
        <v>160</v>
      </c>
      <c r="B15" s="1" t="s">
        <v>161</v>
      </c>
      <c r="C15">
        <v>26512</v>
      </c>
      <c r="D15">
        <v>29857</v>
      </c>
      <c r="E15" s="1" t="s">
        <v>682</v>
      </c>
      <c r="F15" s="1" t="s">
        <v>10</v>
      </c>
      <c r="G15">
        <v>200000</v>
      </c>
      <c r="H15">
        <v>5.7</v>
      </c>
      <c r="I15">
        <v>7</v>
      </c>
      <c r="J15">
        <v>122675</v>
      </c>
      <c r="K15">
        <v>7.54</v>
      </c>
    </row>
    <row r="16" spans="1:11" x14ac:dyDescent="0.2">
      <c r="A16" s="1" t="s">
        <v>44</v>
      </c>
      <c r="B16" s="1" t="s">
        <v>45</v>
      </c>
      <c r="C16">
        <v>29494</v>
      </c>
      <c r="D16">
        <v>32445</v>
      </c>
      <c r="E16" s="1" t="s">
        <v>974</v>
      </c>
      <c r="F16" s="1" t="s">
        <v>17</v>
      </c>
      <c r="G16">
        <v>165000</v>
      </c>
      <c r="H16">
        <v>2.4</v>
      </c>
      <c r="I16">
        <v>299</v>
      </c>
      <c r="J16">
        <v>90832</v>
      </c>
      <c r="K16">
        <v>5.59</v>
      </c>
    </row>
    <row r="17" spans="1:11" x14ac:dyDescent="0.2">
      <c r="A17" s="1" t="s">
        <v>270</v>
      </c>
      <c r="B17" s="1" t="s">
        <v>271</v>
      </c>
      <c r="C17">
        <v>31308</v>
      </c>
      <c r="D17">
        <v>36172</v>
      </c>
      <c r="E17" s="1" t="s">
        <v>683</v>
      </c>
      <c r="F17" s="1" t="s">
        <v>22</v>
      </c>
      <c r="G17">
        <v>222000</v>
      </c>
      <c r="H17">
        <v>5.7</v>
      </c>
      <c r="I17">
        <v>8</v>
      </c>
      <c r="J17">
        <v>87503</v>
      </c>
      <c r="K17">
        <v>7.09</v>
      </c>
    </row>
    <row r="18" spans="1:11" x14ac:dyDescent="0.2">
      <c r="A18" s="1" t="s">
        <v>46</v>
      </c>
      <c r="B18" s="1" t="s">
        <v>47</v>
      </c>
      <c r="C18">
        <v>30144</v>
      </c>
      <c r="D18">
        <v>35480</v>
      </c>
      <c r="E18" s="1" t="s">
        <v>934</v>
      </c>
      <c r="F18" s="1" t="s">
        <v>17</v>
      </c>
      <c r="G18">
        <v>205000</v>
      </c>
      <c r="H18">
        <v>3.1</v>
      </c>
      <c r="I18">
        <v>259</v>
      </c>
      <c r="J18">
        <v>128205</v>
      </c>
      <c r="K18">
        <v>6.8</v>
      </c>
    </row>
    <row r="19" spans="1:11" x14ac:dyDescent="0.2">
      <c r="A19" s="1" t="s">
        <v>70</v>
      </c>
      <c r="B19" s="1" t="s">
        <v>71</v>
      </c>
      <c r="C19">
        <v>29409</v>
      </c>
      <c r="D19">
        <v>34110</v>
      </c>
      <c r="E19" s="1" t="s">
        <v>684</v>
      </c>
      <c r="F19" s="1" t="s">
        <v>18</v>
      </c>
      <c r="G19">
        <v>208000</v>
      </c>
      <c r="H19">
        <v>5.7</v>
      </c>
      <c r="I19">
        <v>9</v>
      </c>
      <c r="J19">
        <v>128302</v>
      </c>
      <c r="K19">
        <v>7.07</v>
      </c>
    </row>
    <row r="20" spans="1:11" x14ac:dyDescent="0.2">
      <c r="A20" s="1" t="s">
        <v>48</v>
      </c>
      <c r="B20" s="1" t="s">
        <v>49</v>
      </c>
      <c r="C20">
        <v>31106</v>
      </c>
      <c r="D20">
        <v>37590</v>
      </c>
      <c r="E20" s="1" t="s">
        <v>880</v>
      </c>
      <c r="F20" s="1" t="s">
        <v>17</v>
      </c>
      <c r="G20">
        <v>218000</v>
      </c>
      <c r="H20">
        <v>3.5</v>
      </c>
      <c r="I20">
        <v>205</v>
      </c>
      <c r="J20">
        <v>114301</v>
      </c>
      <c r="K20">
        <v>7.01</v>
      </c>
    </row>
    <row r="21" spans="1:11" x14ac:dyDescent="0.2">
      <c r="A21" s="1" t="s">
        <v>90</v>
      </c>
      <c r="B21" s="1" t="s">
        <v>91</v>
      </c>
      <c r="C21">
        <v>29680</v>
      </c>
      <c r="D21">
        <v>32759</v>
      </c>
      <c r="E21" s="1" t="s">
        <v>685</v>
      </c>
      <c r="F21" s="1" t="s">
        <v>18</v>
      </c>
      <c r="G21">
        <v>134670</v>
      </c>
      <c r="H21">
        <v>5.6</v>
      </c>
      <c r="I21">
        <v>10</v>
      </c>
      <c r="J21">
        <v>54720</v>
      </c>
      <c r="K21">
        <v>4.54</v>
      </c>
    </row>
    <row r="22" spans="1:11" x14ac:dyDescent="0.2">
      <c r="A22" s="1" t="s">
        <v>50</v>
      </c>
      <c r="B22" s="1" t="s">
        <v>51</v>
      </c>
      <c r="C22">
        <v>28784</v>
      </c>
      <c r="D22">
        <v>32336</v>
      </c>
      <c r="E22" s="1" t="s">
        <v>962</v>
      </c>
      <c r="F22" s="1" t="s">
        <v>17</v>
      </c>
      <c r="G22">
        <v>168750</v>
      </c>
      <c r="H22">
        <v>2.6</v>
      </c>
      <c r="I22">
        <v>287</v>
      </c>
      <c r="J22">
        <v>59819</v>
      </c>
      <c r="K22">
        <v>5.86</v>
      </c>
    </row>
    <row r="23" spans="1:11" x14ac:dyDescent="0.2">
      <c r="A23" s="1" t="s">
        <v>84</v>
      </c>
      <c r="B23" s="1" t="s">
        <v>85</v>
      </c>
      <c r="C23">
        <v>29877</v>
      </c>
      <c r="D23">
        <v>32748</v>
      </c>
      <c r="E23" s="1" t="s">
        <v>686</v>
      </c>
      <c r="F23" s="1" t="s">
        <v>18</v>
      </c>
      <c r="G23">
        <v>215000</v>
      </c>
      <c r="H23">
        <v>5.6</v>
      </c>
      <c r="I23">
        <v>11</v>
      </c>
      <c r="J23">
        <v>103741</v>
      </c>
      <c r="K23">
        <v>7.2</v>
      </c>
    </row>
    <row r="24" spans="1:11" x14ac:dyDescent="0.2">
      <c r="A24" s="1" t="s">
        <v>52</v>
      </c>
      <c r="B24" s="1" t="s">
        <v>53</v>
      </c>
      <c r="C24">
        <v>27989</v>
      </c>
      <c r="D24">
        <v>30972</v>
      </c>
      <c r="E24" s="1" t="s">
        <v>969</v>
      </c>
      <c r="F24" s="1" t="s">
        <v>17</v>
      </c>
      <c r="G24">
        <v>155000</v>
      </c>
      <c r="H24">
        <v>2.6</v>
      </c>
      <c r="I24">
        <v>294</v>
      </c>
      <c r="J24">
        <v>116090</v>
      </c>
      <c r="K24">
        <v>5.54</v>
      </c>
    </row>
    <row r="25" spans="1:11" x14ac:dyDescent="0.2">
      <c r="A25" s="1" t="s">
        <v>72</v>
      </c>
      <c r="B25" s="1" t="s">
        <v>73</v>
      </c>
      <c r="C25">
        <v>31687</v>
      </c>
      <c r="D25">
        <v>36576</v>
      </c>
      <c r="E25" s="1" t="s">
        <v>687</v>
      </c>
      <c r="F25" s="1" t="s">
        <v>18</v>
      </c>
      <c r="G25">
        <v>250000</v>
      </c>
      <c r="H25">
        <v>5.5</v>
      </c>
      <c r="I25">
        <v>12</v>
      </c>
      <c r="J25">
        <v>94993</v>
      </c>
      <c r="K25">
        <v>7.89</v>
      </c>
    </row>
    <row r="26" spans="1:11" x14ac:dyDescent="0.2">
      <c r="A26" s="1" t="s">
        <v>54</v>
      </c>
      <c r="B26" s="1" t="s">
        <v>55</v>
      </c>
      <c r="C26">
        <v>27502</v>
      </c>
      <c r="D26">
        <v>31055</v>
      </c>
      <c r="E26" s="1" t="s">
        <v>708</v>
      </c>
      <c r="F26" s="1" t="s">
        <v>18</v>
      </c>
      <c r="G26">
        <v>167750</v>
      </c>
      <c r="H26">
        <v>5</v>
      </c>
      <c r="I26">
        <v>33</v>
      </c>
      <c r="J26">
        <v>69625</v>
      </c>
      <c r="K26">
        <v>6.1</v>
      </c>
    </row>
    <row r="27" spans="1:11" x14ac:dyDescent="0.2">
      <c r="A27" s="1" t="s">
        <v>82</v>
      </c>
      <c r="B27" s="1" t="s">
        <v>83</v>
      </c>
      <c r="C27">
        <v>33565</v>
      </c>
      <c r="D27">
        <v>38491</v>
      </c>
      <c r="E27" s="1" t="s">
        <v>688</v>
      </c>
      <c r="F27" s="1" t="s">
        <v>18</v>
      </c>
      <c r="G27">
        <v>310000</v>
      </c>
      <c r="H27">
        <v>5.4</v>
      </c>
      <c r="I27">
        <v>13</v>
      </c>
      <c r="J27">
        <v>152836</v>
      </c>
      <c r="K27">
        <v>9.24</v>
      </c>
    </row>
    <row r="28" spans="1:11" x14ac:dyDescent="0.2">
      <c r="A28" s="1" t="s">
        <v>56</v>
      </c>
      <c r="B28" s="1" t="s">
        <v>57</v>
      </c>
      <c r="C28">
        <v>27979</v>
      </c>
      <c r="D28">
        <v>28814</v>
      </c>
      <c r="E28" s="1" t="s">
        <v>943</v>
      </c>
      <c r="F28" s="1" t="s">
        <v>18</v>
      </c>
      <c r="G28">
        <v>137500</v>
      </c>
      <c r="H28">
        <v>2.9</v>
      </c>
      <c r="I28">
        <v>268</v>
      </c>
      <c r="J28">
        <v>83077</v>
      </c>
      <c r="K28">
        <v>4.91</v>
      </c>
    </row>
    <row r="29" spans="1:11" x14ac:dyDescent="0.2">
      <c r="A29" s="1" t="s">
        <v>86</v>
      </c>
      <c r="B29" s="1" t="s">
        <v>87</v>
      </c>
      <c r="C29">
        <v>35593</v>
      </c>
      <c r="D29">
        <v>42461</v>
      </c>
      <c r="E29" s="1" t="s">
        <v>689</v>
      </c>
      <c r="F29" s="1" t="s">
        <v>18</v>
      </c>
      <c r="G29">
        <v>370000</v>
      </c>
      <c r="H29">
        <v>5.3</v>
      </c>
      <c r="I29">
        <v>14</v>
      </c>
      <c r="J29">
        <v>117109</v>
      </c>
      <c r="K29">
        <v>10.4</v>
      </c>
    </row>
    <row r="30" spans="1:11" x14ac:dyDescent="0.2">
      <c r="A30" s="1" t="s">
        <v>58</v>
      </c>
      <c r="B30" s="1" t="s">
        <v>59</v>
      </c>
      <c r="C30">
        <v>29819</v>
      </c>
      <c r="D30">
        <v>34637</v>
      </c>
      <c r="E30" s="1" t="s">
        <v>763</v>
      </c>
      <c r="F30" s="1" t="s">
        <v>18</v>
      </c>
      <c r="G30">
        <v>195500</v>
      </c>
      <c r="H30">
        <v>4.3</v>
      </c>
      <c r="I30">
        <v>88</v>
      </c>
      <c r="J30">
        <v>52541</v>
      </c>
      <c r="K30">
        <v>6.56</v>
      </c>
    </row>
    <row r="31" spans="1:11" x14ac:dyDescent="0.2">
      <c r="A31" s="1" t="s">
        <v>214</v>
      </c>
      <c r="B31" s="1" t="s">
        <v>215</v>
      </c>
      <c r="C31">
        <v>30966</v>
      </c>
      <c r="D31">
        <v>35785</v>
      </c>
      <c r="E31" s="1" t="s">
        <v>690</v>
      </c>
      <c r="F31" s="1" t="s">
        <v>10</v>
      </c>
      <c r="G31">
        <v>250000</v>
      </c>
      <c r="H31">
        <v>5.3</v>
      </c>
      <c r="I31">
        <v>15</v>
      </c>
      <c r="J31">
        <v>57783</v>
      </c>
      <c r="K31">
        <v>8.07</v>
      </c>
    </row>
    <row r="32" spans="1:11" x14ac:dyDescent="0.2">
      <c r="A32" s="1" t="s">
        <v>60</v>
      </c>
      <c r="B32" s="1" t="s">
        <v>61</v>
      </c>
      <c r="C32">
        <v>34144</v>
      </c>
      <c r="D32">
        <v>41073</v>
      </c>
      <c r="E32" s="1" t="s">
        <v>751</v>
      </c>
      <c r="F32" s="1" t="s">
        <v>18</v>
      </c>
      <c r="G32">
        <v>255000</v>
      </c>
      <c r="H32">
        <v>4.4000000000000004</v>
      </c>
      <c r="I32">
        <v>75</v>
      </c>
      <c r="J32">
        <v>105190</v>
      </c>
      <c r="K32">
        <v>7.47</v>
      </c>
    </row>
    <row r="33" spans="1:11" x14ac:dyDescent="0.2">
      <c r="A33" s="1" t="s">
        <v>194</v>
      </c>
      <c r="B33" s="1" t="s">
        <v>195</v>
      </c>
      <c r="C33">
        <v>28368</v>
      </c>
      <c r="D33">
        <v>35834</v>
      </c>
      <c r="E33" s="1" t="s">
        <v>691</v>
      </c>
      <c r="F33" s="1" t="s">
        <v>10</v>
      </c>
      <c r="G33">
        <v>278500</v>
      </c>
      <c r="H33">
        <v>5.2</v>
      </c>
      <c r="I33">
        <v>16</v>
      </c>
      <c r="J33">
        <v>27093</v>
      </c>
      <c r="K33">
        <v>9.82</v>
      </c>
    </row>
    <row r="34" spans="1:11" x14ac:dyDescent="0.2">
      <c r="A34" s="1" t="s">
        <v>62</v>
      </c>
      <c r="B34" s="1" t="s">
        <v>63</v>
      </c>
      <c r="C34">
        <v>33221</v>
      </c>
      <c r="D34">
        <v>44740</v>
      </c>
      <c r="E34" s="1" t="s">
        <v>746</v>
      </c>
      <c r="F34" s="1" t="s">
        <v>18</v>
      </c>
      <c r="G34">
        <v>300000</v>
      </c>
      <c r="H34">
        <v>4.5</v>
      </c>
      <c r="I34">
        <v>71</v>
      </c>
      <c r="J34">
        <v>226643</v>
      </c>
      <c r="K34">
        <v>9.0299999999999994</v>
      </c>
    </row>
    <row r="35" spans="1:11" x14ac:dyDescent="0.2">
      <c r="A35" s="1" t="s">
        <v>246</v>
      </c>
      <c r="B35" s="1" t="s">
        <v>247</v>
      </c>
      <c r="C35">
        <v>33167</v>
      </c>
      <c r="D35">
        <v>35654</v>
      </c>
      <c r="E35" s="1" t="s">
        <v>692</v>
      </c>
      <c r="F35" s="1" t="s">
        <v>22</v>
      </c>
      <c r="G35">
        <v>250000</v>
      </c>
      <c r="H35">
        <v>5.2</v>
      </c>
      <c r="I35">
        <v>17</v>
      </c>
      <c r="J35">
        <v>38489</v>
      </c>
      <c r="K35">
        <v>7.54</v>
      </c>
    </row>
    <row r="36" spans="1:11" x14ac:dyDescent="0.2">
      <c r="A36" s="1" t="s">
        <v>64</v>
      </c>
      <c r="B36" s="1" t="s">
        <v>65</v>
      </c>
      <c r="C36">
        <v>32391</v>
      </c>
      <c r="D36">
        <v>38487</v>
      </c>
      <c r="E36" s="1" t="s">
        <v>857</v>
      </c>
      <c r="F36" s="1" t="s">
        <v>18</v>
      </c>
      <c r="G36">
        <v>260000</v>
      </c>
      <c r="H36">
        <v>3.6</v>
      </c>
      <c r="I36">
        <v>182</v>
      </c>
      <c r="J36">
        <v>177930</v>
      </c>
      <c r="K36">
        <v>8.0299999999999994</v>
      </c>
    </row>
    <row r="37" spans="1:11" x14ac:dyDescent="0.2">
      <c r="A37" s="1" t="s">
        <v>216</v>
      </c>
      <c r="B37" s="1" t="s">
        <v>217</v>
      </c>
      <c r="C37">
        <v>30051</v>
      </c>
      <c r="D37">
        <v>35243</v>
      </c>
      <c r="E37" s="1" t="s">
        <v>693</v>
      </c>
      <c r="F37" s="1" t="s">
        <v>10</v>
      </c>
      <c r="G37">
        <v>250000</v>
      </c>
      <c r="H37">
        <v>5.2</v>
      </c>
      <c r="I37">
        <v>17</v>
      </c>
      <c r="J37">
        <v>64419</v>
      </c>
      <c r="K37">
        <v>8.32</v>
      </c>
    </row>
    <row r="38" spans="1:11" x14ac:dyDescent="0.2">
      <c r="A38" s="1" t="s">
        <v>66</v>
      </c>
      <c r="B38" s="1" t="s">
        <v>67</v>
      </c>
      <c r="C38">
        <v>33840</v>
      </c>
      <c r="D38">
        <v>38801</v>
      </c>
      <c r="E38" s="1" t="s">
        <v>964</v>
      </c>
      <c r="F38" s="1" t="s">
        <v>18</v>
      </c>
      <c r="G38">
        <v>175000</v>
      </c>
      <c r="H38">
        <v>2.6</v>
      </c>
      <c r="I38">
        <v>289</v>
      </c>
      <c r="J38">
        <v>143776</v>
      </c>
      <c r="K38">
        <v>5.17</v>
      </c>
    </row>
    <row r="39" spans="1:11" x14ac:dyDescent="0.2">
      <c r="A39" s="1" t="s">
        <v>268</v>
      </c>
      <c r="B39" s="1" t="s">
        <v>269</v>
      </c>
      <c r="C39">
        <v>29112</v>
      </c>
      <c r="D39">
        <v>32610</v>
      </c>
      <c r="E39" s="1" t="s">
        <v>694</v>
      </c>
      <c r="F39" s="1" t="s">
        <v>22</v>
      </c>
      <c r="G39">
        <v>225000</v>
      </c>
      <c r="H39">
        <v>5.2</v>
      </c>
      <c r="I39">
        <v>17</v>
      </c>
      <c r="J39">
        <v>101322</v>
      </c>
      <c r="K39">
        <v>7.73</v>
      </c>
    </row>
    <row r="40" spans="1:11" x14ac:dyDescent="0.2">
      <c r="A40" s="1" t="s">
        <v>68</v>
      </c>
      <c r="B40" s="1" t="s">
        <v>69</v>
      </c>
      <c r="C40">
        <v>33988</v>
      </c>
      <c r="D40">
        <v>37928</v>
      </c>
      <c r="E40" s="1" t="s">
        <v>905</v>
      </c>
      <c r="F40" s="1" t="s">
        <v>18</v>
      </c>
      <c r="G40">
        <v>235000</v>
      </c>
      <c r="H40">
        <v>3.3</v>
      </c>
      <c r="I40">
        <v>230</v>
      </c>
      <c r="J40">
        <v>132010</v>
      </c>
      <c r="K40">
        <v>6.91</v>
      </c>
    </row>
    <row r="41" spans="1:11" x14ac:dyDescent="0.2">
      <c r="A41" s="1" t="s">
        <v>78</v>
      </c>
      <c r="B41" s="1" t="s">
        <v>79</v>
      </c>
      <c r="C41">
        <v>29535</v>
      </c>
      <c r="D41">
        <v>36586</v>
      </c>
      <c r="E41" s="1" t="s">
        <v>695</v>
      </c>
      <c r="F41" s="1" t="s">
        <v>18</v>
      </c>
      <c r="G41">
        <v>207000</v>
      </c>
      <c r="H41">
        <v>5.2</v>
      </c>
      <c r="I41">
        <v>20</v>
      </c>
      <c r="J41">
        <v>90260</v>
      </c>
      <c r="K41">
        <v>7.01</v>
      </c>
    </row>
    <row r="42" spans="1:11" x14ac:dyDescent="0.2">
      <c r="A42" s="1" t="s">
        <v>250</v>
      </c>
      <c r="B42" s="1" t="s">
        <v>251</v>
      </c>
      <c r="C42">
        <v>32402</v>
      </c>
      <c r="D42">
        <v>35392</v>
      </c>
      <c r="E42" s="1" t="s">
        <v>696</v>
      </c>
      <c r="F42" s="1" t="s">
        <v>22</v>
      </c>
      <c r="G42">
        <v>240000</v>
      </c>
      <c r="H42">
        <v>5.2</v>
      </c>
      <c r="I42">
        <v>21</v>
      </c>
      <c r="J42">
        <v>67009</v>
      </c>
      <c r="K42">
        <v>7.41</v>
      </c>
    </row>
    <row r="43" spans="1:11" x14ac:dyDescent="0.2">
      <c r="A43" s="1" t="s">
        <v>232</v>
      </c>
      <c r="B43" s="1" t="s">
        <v>233</v>
      </c>
      <c r="C43">
        <v>30178</v>
      </c>
      <c r="D43">
        <v>33725</v>
      </c>
      <c r="E43" s="1" t="s">
        <v>697</v>
      </c>
      <c r="F43" s="1" t="s">
        <v>22</v>
      </c>
      <c r="G43">
        <v>228000</v>
      </c>
      <c r="H43">
        <v>5.0999999999999996</v>
      </c>
      <c r="I43">
        <v>22</v>
      </c>
      <c r="J43">
        <v>48134</v>
      </c>
      <c r="K43">
        <v>7.56</v>
      </c>
    </row>
    <row r="44" spans="1:11" x14ac:dyDescent="0.2">
      <c r="A44" s="1" t="s">
        <v>469</v>
      </c>
      <c r="B44" s="1" t="s">
        <v>470</v>
      </c>
      <c r="C44">
        <v>29323</v>
      </c>
      <c r="D44">
        <v>30899</v>
      </c>
      <c r="E44" s="1" t="s">
        <v>698</v>
      </c>
      <c r="F44" s="1" t="s">
        <v>19</v>
      </c>
      <c r="G44">
        <v>282500</v>
      </c>
      <c r="H44">
        <v>5.0999999999999996</v>
      </c>
      <c r="I44">
        <v>23</v>
      </c>
      <c r="J44">
        <v>60616</v>
      </c>
      <c r="K44">
        <v>9.6300000000000008</v>
      </c>
    </row>
    <row r="45" spans="1:11" x14ac:dyDescent="0.2">
      <c r="A45" s="1" t="s">
        <v>262</v>
      </c>
      <c r="B45" s="1" t="s">
        <v>263</v>
      </c>
      <c r="C45">
        <v>30822</v>
      </c>
      <c r="D45">
        <v>34571</v>
      </c>
      <c r="E45" s="1" t="s">
        <v>699</v>
      </c>
      <c r="F45" s="1" t="s">
        <v>22</v>
      </c>
      <c r="G45">
        <v>242000</v>
      </c>
      <c r="H45">
        <v>5.0999999999999996</v>
      </c>
      <c r="I45">
        <v>24</v>
      </c>
      <c r="J45">
        <v>131996</v>
      </c>
      <c r="K45">
        <v>7.85</v>
      </c>
    </row>
    <row r="46" spans="1:11" x14ac:dyDescent="0.2">
      <c r="A46" s="1" t="s">
        <v>517</v>
      </c>
      <c r="B46" s="1" t="s">
        <v>518</v>
      </c>
      <c r="C46">
        <v>28323</v>
      </c>
      <c r="D46">
        <v>35816</v>
      </c>
      <c r="E46" s="1" t="s">
        <v>700</v>
      </c>
      <c r="F46" s="1" t="s">
        <v>19</v>
      </c>
      <c r="G46">
        <v>295000</v>
      </c>
      <c r="H46">
        <v>5.0999999999999996</v>
      </c>
      <c r="I46">
        <v>25</v>
      </c>
      <c r="J46">
        <v>84386</v>
      </c>
      <c r="K46">
        <v>10.42</v>
      </c>
    </row>
    <row r="47" spans="1:11" x14ac:dyDescent="0.2">
      <c r="A47" s="1" t="s">
        <v>114</v>
      </c>
      <c r="B47" s="1" t="s">
        <v>115</v>
      </c>
      <c r="C47">
        <v>32542</v>
      </c>
      <c r="D47">
        <v>34070</v>
      </c>
      <c r="E47" s="1" t="s">
        <v>701</v>
      </c>
      <c r="F47" s="1" t="s">
        <v>18</v>
      </c>
      <c r="G47">
        <v>195000</v>
      </c>
      <c r="H47">
        <v>5.0999999999999996</v>
      </c>
      <c r="I47">
        <v>26</v>
      </c>
      <c r="J47">
        <v>56827</v>
      </c>
      <c r="K47">
        <v>5.99</v>
      </c>
    </row>
    <row r="48" spans="1:11" x14ac:dyDescent="0.2">
      <c r="A48" s="1" t="s">
        <v>258</v>
      </c>
      <c r="B48" s="1" t="s">
        <v>259</v>
      </c>
      <c r="C48">
        <v>30180</v>
      </c>
      <c r="D48">
        <v>34020</v>
      </c>
      <c r="E48" s="1" t="s">
        <v>702</v>
      </c>
      <c r="F48" s="1" t="s">
        <v>22</v>
      </c>
      <c r="G48">
        <v>237500</v>
      </c>
      <c r="H48">
        <v>5.0999999999999996</v>
      </c>
      <c r="I48">
        <v>27</v>
      </c>
      <c r="J48">
        <v>419720</v>
      </c>
      <c r="K48">
        <v>7.87</v>
      </c>
    </row>
    <row r="49" spans="1:11" x14ac:dyDescent="0.2">
      <c r="A49" s="1" t="s">
        <v>661</v>
      </c>
      <c r="B49" s="1" t="s">
        <v>662</v>
      </c>
      <c r="C49">
        <v>33201</v>
      </c>
      <c r="D49">
        <v>43147</v>
      </c>
      <c r="E49" s="1" t="s">
        <v>703</v>
      </c>
      <c r="F49" s="1" t="s">
        <v>21</v>
      </c>
      <c r="G49">
        <v>200000</v>
      </c>
      <c r="H49">
        <v>5</v>
      </c>
      <c r="I49">
        <v>28</v>
      </c>
      <c r="J49">
        <v>37175</v>
      </c>
      <c r="K49">
        <v>6.02</v>
      </c>
    </row>
    <row r="50" spans="1:11" x14ac:dyDescent="0.2">
      <c r="A50" s="1" t="s">
        <v>288</v>
      </c>
      <c r="B50" s="1" t="s">
        <v>289</v>
      </c>
      <c r="C50">
        <v>28741</v>
      </c>
      <c r="D50">
        <v>31351</v>
      </c>
      <c r="E50" s="1" t="s">
        <v>704</v>
      </c>
      <c r="F50" s="1" t="s">
        <v>15</v>
      </c>
      <c r="G50">
        <v>315000</v>
      </c>
      <c r="H50">
        <v>5</v>
      </c>
      <c r="I50">
        <v>29</v>
      </c>
      <c r="J50">
        <v>93541</v>
      </c>
      <c r="K50">
        <v>10.96</v>
      </c>
    </row>
    <row r="51" spans="1:11" x14ac:dyDescent="0.2">
      <c r="A51" s="1" t="s">
        <v>88</v>
      </c>
      <c r="B51" s="1" t="s">
        <v>89</v>
      </c>
      <c r="C51">
        <v>31615</v>
      </c>
      <c r="D51">
        <v>34930</v>
      </c>
      <c r="E51" s="1" t="s">
        <v>716</v>
      </c>
      <c r="F51" s="1" t="s">
        <v>18</v>
      </c>
      <c r="G51">
        <v>199999</v>
      </c>
      <c r="H51">
        <v>4.8</v>
      </c>
      <c r="I51">
        <v>41</v>
      </c>
      <c r="J51">
        <v>153577</v>
      </c>
      <c r="K51">
        <v>6.33</v>
      </c>
    </row>
    <row r="52" spans="1:11" x14ac:dyDescent="0.2">
      <c r="A52" s="1" t="s">
        <v>449</v>
      </c>
      <c r="B52" s="1" t="s">
        <v>450</v>
      </c>
      <c r="C52">
        <v>33857</v>
      </c>
      <c r="D52">
        <v>38918</v>
      </c>
      <c r="E52" s="1" t="s">
        <v>705</v>
      </c>
      <c r="F52" s="1" t="s">
        <v>19</v>
      </c>
      <c r="G52">
        <v>312500</v>
      </c>
      <c r="H52">
        <v>5</v>
      </c>
      <c r="I52">
        <v>30</v>
      </c>
      <c r="J52">
        <v>142967</v>
      </c>
      <c r="K52">
        <v>9.23</v>
      </c>
    </row>
    <row r="53" spans="1:11" x14ac:dyDescent="0.2">
      <c r="A53" s="1" t="s">
        <v>100</v>
      </c>
      <c r="B53" s="1" t="s">
        <v>101</v>
      </c>
      <c r="C53">
        <v>26742</v>
      </c>
      <c r="D53">
        <v>31997</v>
      </c>
      <c r="E53" s="1" t="s">
        <v>706</v>
      </c>
      <c r="F53" s="1" t="s">
        <v>18</v>
      </c>
      <c r="G53">
        <v>146750</v>
      </c>
      <c r="H53">
        <v>5</v>
      </c>
      <c r="I53">
        <v>31</v>
      </c>
      <c r="J53">
        <v>51224</v>
      </c>
      <c r="K53">
        <v>5.49</v>
      </c>
    </row>
    <row r="54" spans="1:11" x14ac:dyDescent="0.2">
      <c r="A54" s="1" t="s">
        <v>92</v>
      </c>
      <c r="B54" s="1" t="s">
        <v>93</v>
      </c>
      <c r="C54">
        <v>33337</v>
      </c>
      <c r="D54">
        <v>37899</v>
      </c>
      <c r="E54" s="1" t="s">
        <v>927</v>
      </c>
      <c r="F54" s="1" t="s">
        <v>18</v>
      </c>
      <c r="G54">
        <v>221625</v>
      </c>
      <c r="H54">
        <v>3.1</v>
      </c>
      <c r="I54">
        <v>252</v>
      </c>
      <c r="J54">
        <v>60329</v>
      </c>
      <c r="K54">
        <v>6.65</v>
      </c>
    </row>
    <row r="55" spans="1:11" x14ac:dyDescent="0.2">
      <c r="A55" s="1" t="s">
        <v>655</v>
      </c>
      <c r="B55" s="1" t="s">
        <v>656</v>
      </c>
      <c r="C55">
        <v>31504</v>
      </c>
      <c r="D55">
        <v>38536</v>
      </c>
      <c r="E55" s="1" t="s">
        <v>707</v>
      </c>
      <c r="F55" s="1" t="s">
        <v>21</v>
      </c>
      <c r="G55">
        <v>145000</v>
      </c>
      <c r="H55">
        <v>5</v>
      </c>
      <c r="I55">
        <v>32</v>
      </c>
      <c r="J55">
        <v>21966</v>
      </c>
      <c r="K55">
        <v>4.5999999999999996</v>
      </c>
    </row>
    <row r="56" spans="1:11" x14ac:dyDescent="0.2">
      <c r="A56" s="1" t="s">
        <v>94</v>
      </c>
      <c r="B56" s="1" t="s">
        <v>95</v>
      </c>
      <c r="C56">
        <v>36020</v>
      </c>
      <c r="D56">
        <v>43029</v>
      </c>
      <c r="E56" s="1" t="s">
        <v>958</v>
      </c>
      <c r="F56" s="1" t="s">
        <v>18</v>
      </c>
      <c r="G56">
        <v>242000</v>
      </c>
      <c r="H56">
        <v>2.7</v>
      </c>
      <c r="I56">
        <v>283</v>
      </c>
      <c r="J56">
        <v>50445</v>
      </c>
      <c r="K56">
        <v>6.72</v>
      </c>
    </row>
    <row r="57" spans="1:11" x14ac:dyDescent="0.2">
      <c r="A57" s="1" t="s">
        <v>96</v>
      </c>
      <c r="B57" s="1" t="s">
        <v>97</v>
      </c>
      <c r="C57">
        <v>29647</v>
      </c>
      <c r="D57">
        <v>32347</v>
      </c>
      <c r="E57" s="1" t="s">
        <v>767</v>
      </c>
      <c r="F57" s="1" t="s">
        <v>18</v>
      </c>
      <c r="G57">
        <v>139950</v>
      </c>
      <c r="H57">
        <v>4.3</v>
      </c>
      <c r="I57">
        <v>92</v>
      </c>
      <c r="J57">
        <v>44862</v>
      </c>
      <c r="K57">
        <v>4.72</v>
      </c>
    </row>
    <row r="58" spans="1:11" x14ac:dyDescent="0.2">
      <c r="A58" s="1" t="s">
        <v>573</v>
      </c>
      <c r="B58" s="1" t="s">
        <v>574</v>
      </c>
      <c r="C58">
        <v>34051</v>
      </c>
      <c r="D58">
        <v>38617</v>
      </c>
      <c r="E58" s="1" t="s">
        <v>709</v>
      </c>
      <c r="F58" s="1" t="s">
        <v>20</v>
      </c>
      <c r="G58">
        <v>350000</v>
      </c>
      <c r="H58">
        <v>5</v>
      </c>
      <c r="I58">
        <v>34</v>
      </c>
      <c r="J58">
        <v>235062</v>
      </c>
      <c r="K58">
        <v>10.28</v>
      </c>
    </row>
    <row r="59" spans="1:11" x14ac:dyDescent="0.2">
      <c r="A59" s="1" t="s">
        <v>98</v>
      </c>
      <c r="B59" s="1" t="s">
        <v>99</v>
      </c>
      <c r="C59">
        <v>29651</v>
      </c>
      <c r="D59">
        <v>33842</v>
      </c>
      <c r="E59" s="1" t="s">
        <v>908</v>
      </c>
      <c r="F59" s="1" t="s">
        <v>18</v>
      </c>
      <c r="G59">
        <v>200000</v>
      </c>
      <c r="H59">
        <v>3.3</v>
      </c>
      <c r="I59">
        <v>233</v>
      </c>
      <c r="J59">
        <v>79040</v>
      </c>
      <c r="K59">
        <v>6.75</v>
      </c>
    </row>
    <row r="60" spans="1:11" x14ac:dyDescent="0.2">
      <c r="A60" s="1" t="s">
        <v>282</v>
      </c>
      <c r="B60" s="1" t="s">
        <v>283</v>
      </c>
      <c r="C60">
        <v>29408</v>
      </c>
      <c r="D60">
        <v>34517</v>
      </c>
      <c r="E60" s="1" t="s">
        <v>710</v>
      </c>
      <c r="F60" s="1" t="s">
        <v>22</v>
      </c>
      <c r="G60">
        <v>255275</v>
      </c>
      <c r="H60">
        <v>5</v>
      </c>
      <c r="I60">
        <v>35</v>
      </c>
      <c r="J60">
        <v>48939</v>
      </c>
      <c r="K60">
        <v>8.68</v>
      </c>
    </row>
    <row r="61" spans="1:11" x14ac:dyDescent="0.2">
      <c r="A61" s="1" t="s">
        <v>657</v>
      </c>
      <c r="B61" s="1" t="s">
        <v>658</v>
      </c>
      <c r="C61">
        <v>30854</v>
      </c>
      <c r="D61">
        <v>33725</v>
      </c>
      <c r="E61" s="1" t="s">
        <v>711</v>
      </c>
      <c r="F61" s="1" t="s">
        <v>21</v>
      </c>
      <c r="G61">
        <v>192500</v>
      </c>
      <c r="H61">
        <v>4.9000000000000004</v>
      </c>
      <c r="I61">
        <v>36</v>
      </c>
      <c r="J61">
        <v>75047</v>
      </c>
      <c r="K61">
        <v>6.24</v>
      </c>
    </row>
    <row r="62" spans="1:11" x14ac:dyDescent="0.2">
      <c r="A62" s="1" t="s">
        <v>102</v>
      </c>
      <c r="B62" s="1" t="s">
        <v>103</v>
      </c>
      <c r="C62">
        <v>30038</v>
      </c>
      <c r="D62">
        <v>34698</v>
      </c>
      <c r="E62" s="1" t="s">
        <v>797</v>
      </c>
      <c r="F62" s="1" t="s">
        <v>18</v>
      </c>
      <c r="G62">
        <v>187800</v>
      </c>
      <c r="H62">
        <v>4.0999999999999996</v>
      </c>
      <c r="I62">
        <v>122</v>
      </c>
      <c r="J62">
        <v>70393</v>
      </c>
      <c r="K62">
        <v>6.25</v>
      </c>
    </row>
    <row r="63" spans="1:11" x14ac:dyDescent="0.2">
      <c r="A63" s="1" t="s">
        <v>326</v>
      </c>
      <c r="B63" s="1" t="s">
        <v>327</v>
      </c>
      <c r="C63">
        <v>29545</v>
      </c>
      <c r="D63">
        <v>36437</v>
      </c>
      <c r="E63" s="1" t="s">
        <v>712</v>
      </c>
      <c r="F63" s="1" t="s">
        <v>15</v>
      </c>
      <c r="G63">
        <v>283250</v>
      </c>
      <c r="H63">
        <v>4.9000000000000004</v>
      </c>
      <c r="I63">
        <v>37</v>
      </c>
      <c r="J63">
        <v>99050</v>
      </c>
      <c r="K63">
        <v>9.59</v>
      </c>
    </row>
    <row r="64" spans="1:11" x14ac:dyDescent="0.2">
      <c r="A64" s="1" t="s">
        <v>104</v>
      </c>
      <c r="B64" s="1" t="s">
        <v>105</v>
      </c>
      <c r="C64">
        <v>34077</v>
      </c>
      <c r="D64">
        <v>45947</v>
      </c>
      <c r="E64" s="1" t="s">
        <v>894</v>
      </c>
      <c r="F64" s="1" t="s">
        <v>18</v>
      </c>
      <c r="G64">
        <v>283000</v>
      </c>
      <c r="H64">
        <v>3.4</v>
      </c>
      <c r="I64">
        <v>219</v>
      </c>
      <c r="J64">
        <v>33773</v>
      </c>
      <c r="K64">
        <v>8.3000000000000007</v>
      </c>
    </row>
    <row r="65" spans="1:11" x14ac:dyDescent="0.2">
      <c r="A65" s="1" t="s">
        <v>507</v>
      </c>
      <c r="B65" s="1" t="s">
        <v>508</v>
      </c>
      <c r="C65">
        <v>35065</v>
      </c>
      <c r="D65">
        <v>40172</v>
      </c>
      <c r="E65" s="1" t="s">
        <v>713</v>
      </c>
      <c r="F65" s="1" t="s">
        <v>19</v>
      </c>
      <c r="G65">
        <v>370000</v>
      </c>
      <c r="H65">
        <v>4.9000000000000004</v>
      </c>
      <c r="I65">
        <v>38</v>
      </c>
      <c r="J65">
        <v>45066</v>
      </c>
      <c r="K65">
        <v>10.55</v>
      </c>
    </row>
    <row r="66" spans="1:11" x14ac:dyDescent="0.2">
      <c r="A66" s="1" t="s">
        <v>106</v>
      </c>
      <c r="B66" s="1" t="s">
        <v>107</v>
      </c>
      <c r="C66">
        <v>30487</v>
      </c>
      <c r="D66">
        <v>35088</v>
      </c>
      <c r="E66" s="1" t="s">
        <v>743</v>
      </c>
      <c r="F66" s="1" t="s">
        <v>18</v>
      </c>
      <c r="G66">
        <v>190500</v>
      </c>
      <c r="H66">
        <v>4.5</v>
      </c>
      <c r="I66">
        <v>68</v>
      </c>
      <c r="J66">
        <v>36434</v>
      </c>
      <c r="K66">
        <v>6.25</v>
      </c>
    </row>
    <row r="67" spans="1:11" x14ac:dyDescent="0.2">
      <c r="A67" s="1" t="s">
        <v>176</v>
      </c>
      <c r="B67" s="1" t="s">
        <v>177</v>
      </c>
      <c r="C67">
        <v>32258</v>
      </c>
      <c r="D67">
        <v>38718</v>
      </c>
      <c r="E67" s="1" t="s">
        <v>714</v>
      </c>
      <c r="F67" s="1" t="s">
        <v>10</v>
      </c>
      <c r="G67">
        <v>261500</v>
      </c>
      <c r="H67">
        <v>4.8</v>
      </c>
      <c r="I67">
        <v>39</v>
      </c>
      <c r="J67">
        <v>50332</v>
      </c>
      <c r="K67">
        <v>8.11</v>
      </c>
    </row>
    <row r="68" spans="1:11" x14ac:dyDescent="0.2">
      <c r="A68" s="1" t="s">
        <v>108</v>
      </c>
      <c r="B68" s="1" t="s">
        <v>109</v>
      </c>
      <c r="C68">
        <v>32740</v>
      </c>
      <c r="D68">
        <v>36183</v>
      </c>
      <c r="E68" s="1" t="s">
        <v>829</v>
      </c>
      <c r="F68" s="1" t="s">
        <v>18</v>
      </c>
      <c r="G68">
        <v>220000</v>
      </c>
      <c r="H68">
        <v>3.8</v>
      </c>
      <c r="I68">
        <v>154</v>
      </c>
      <c r="J68">
        <v>62145</v>
      </c>
      <c r="K68">
        <v>6.72</v>
      </c>
    </row>
    <row r="69" spans="1:11" x14ac:dyDescent="0.2">
      <c r="A69" s="1" t="s">
        <v>252</v>
      </c>
      <c r="B69" s="1" t="s">
        <v>253</v>
      </c>
      <c r="C69">
        <v>41814</v>
      </c>
      <c r="D69">
        <v>44543</v>
      </c>
      <c r="E69" s="1" t="s">
        <v>715</v>
      </c>
      <c r="F69" s="1" t="s">
        <v>22</v>
      </c>
      <c r="G69">
        <v>300748</v>
      </c>
      <c r="H69">
        <v>4.8</v>
      </c>
      <c r="I69">
        <v>40</v>
      </c>
      <c r="J69">
        <v>60141</v>
      </c>
      <c r="K69">
        <v>7.19</v>
      </c>
    </row>
    <row r="70" spans="1:11" x14ac:dyDescent="0.2">
      <c r="A70" s="1" t="s">
        <v>110</v>
      </c>
      <c r="B70" s="1" t="s">
        <v>111</v>
      </c>
      <c r="C70">
        <v>31884</v>
      </c>
      <c r="D70">
        <v>38066</v>
      </c>
      <c r="E70" s="1" t="s">
        <v>867</v>
      </c>
      <c r="F70" s="1" t="s">
        <v>18</v>
      </c>
      <c r="G70">
        <v>240555</v>
      </c>
      <c r="H70">
        <v>3.5</v>
      </c>
      <c r="I70">
        <v>192</v>
      </c>
      <c r="J70">
        <v>49723</v>
      </c>
      <c r="K70">
        <v>7.54</v>
      </c>
    </row>
    <row r="71" spans="1:11" x14ac:dyDescent="0.2">
      <c r="A71" s="1" t="s">
        <v>112</v>
      </c>
      <c r="B71" s="1" t="s">
        <v>113</v>
      </c>
      <c r="C71">
        <v>29814</v>
      </c>
      <c r="D71">
        <v>36536</v>
      </c>
      <c r="E71" s="1" t="s">
        <v>852</v>
      </c>
      <c r="F71" s="1" t="s">
        <v>18</v>
      </c>
      <c r="G71">
        <v>199950</v>
      </c>
      <c r="H71">
        <v>3.6</v>
      </c>
      <c r="I71">
        <v>177</v>
      </c>
      <c r="J71">
        <v>64815</v>
      </c>
      <c r="K71">
        <v>6.71</v>
      </c>
    </row>
    <row r="72" spans="1:11" x14ac:dyDescent="0.2">
      <c r="A72" s="1" t="s">
        <v>168</v>
      </c>
      <c r="B72" s="1" t="s">
        <v>169</v>
      </c>
      <c r="C72">
        <v>29674</v>
      </c>
      <c r="D72">
        <v>31819</v>
      </c>
      <c r="E72" s="1" t="s">
        <v>717</v>
      </c>
      <c r="F72" s="1" t="s">
        <v>10</v>
      </c>
      <c r="G72">
        <v>183500</v>
      </c>
      <c r="H72">
        <v>4.8</v>
      </c>
      <c r="I72">
        <v>42</v>
      </c>
      <c r="J72">
        <v>40611</v>
      </c>
      <c r="K72">
        <v>6.18</v>
      </c>
    </row>
    <row r="73" spans="1:11" x14ac:dyDescent="0.2">
      <c r="A73" s="1" t="s">
        <v>154</v>
      </c>
      <c r="B73" s="1" t="s">
        <v>155</v>
      </c>
      <c r="C73">
        <v>30467</v>
      </c>
      <c r="D73">
        <v>34719</v>
      </c>
      <c r="E73" s="1" t="s">
        <v>718</v>
      </c>
      <c r="F73" s="1" t="s">
        <v>10</v>
      </c>
      <c r="G73">
        <v>220000</v>
      </c>
      <c r="H73">
        <v>4.8</v>
      </c>
      <c r="I73">
        <v>43</v>
      </c>
      <c r="J73">
        <v>120862</v>
      </c>
      <c r="K73">
        <v>7.22</v>
      </c>
    </row>
    <row r="74" spans="1:11" x14ac:dyDescent="0.2">
      <c r="A74" s="1" t="s">
        <v>116</v>
      </c>
      <c r="B74" s="1" t="s">
        <v>117</v>
      </c>
      <c r="C74">
        <v>30947</v>
      </c>
      <c r="D74">
        <v>34678</v>
      </c>
      <c r="E74" s="1" t="s">
        <v>772</v>
      </c>
      <c r="F74" s="1" t="s">
        <v>18</v>
      </c>
      <c r="G74">
        <v>182000</v>
      </c>
      <c r="H74">
        <v>4.3</v>
      </c>
      <c r="I74">
        <v>97</v>
      </c>
      <c r="J74">
        <v>192037</v>
      </c>
      <c r="K74">
        <v>5.88</v>
      </c>
    </row>
    <row r="75" spans="1:11" x14ac:dyDescent="0.2">
      <c r="A75" s="1" t="s">
        <v>174</v>
      </c>
      <c r="B75" s="1" t="s">
        <v>175</v>
      </c>
      <c r="C75">
        <v>31673</v>
      </c>
      <c r="D75">
        <v>33391</v>
      </c>
      <c r="E75" s="1" t="s">
        <v>719</v>
      </c>
      <c r="F75" s="1" t="s">
        <v>10</v>
      </c>
      <c r="G75">
        <v>215000</v>
      </c>
      <c r="H75">
        <v>4.8</v>
      </c>
      <c r="I75">
        <v>44</v>
      </c>
      <c r="J75">
        <v>61647</v>
      </c>
      <c r="K75">
        <v>6.79</v>
      </c>
    </row>
    <row r="76" spans="1:11" x14ac:dyDescent="0.2">
      <c r="A76" s="1" t="s">
        <v>118</v>
      </c>
      <c r="B76" s="1" t="s">
        <v>119</v>
      </c>
      <c r="C76">
        <v>31443</v>
      </c>
      <c r="D76">
        <v>36361</v>
      </c>
      <c r="E76" s="1" t="s">
        <v>753</v>
      </c>
      <c r="F76" s="1" t="s">
        <v>18</v>
      </c>
      <c r="G76">
        <v>191125</v>
      </c>
      <c r="H76">
        <v>4.4000000000000004</v>
      </c>
      <c r="I76">
        <v>78</v>
      </c>
      <c r="J76">
        <v>76227</v>
      </c>
      <c r="K76">
        <v>6.08</v>
      </c>
    </row>
    <row r="77" spans="1:11" x14ac:dyDescent="0.2">
      <c r="A77" s="1" t="s">
        <v>226</v>
      </c>
      <c r="B77" s="1" t="s">
        <v>227</v>
      </c>
      <c r="C77">
        <v>29041</v>
      </c>
      <c r="D77">
        <v>31875</v>
      </c>
      <c r="E77" s="1" t="s">
        <v>720</v>
      </c>
      <c r="F77" s="1" t="s">
        <v>22</v>
      </c>
      <c r="G77">
        <v>160000</v>
      </c>
      <c r="H77">
        <v>4.8</v>
      </c>
      <c r="I77">
        <v>45</v>
      </c>
      <c r="J77">
        <v>118904</v>
      </c>
      <c r="K77">
        <v>5.51</v>
      </c>
    </row>
    <row r="78" spans="1:11" x14ac:dyDescent="0.2">
      <c r="A78" s="1" t="s">
        <v>120</v>
      </c>
      <c r="B78" s="1" t="s">
        <v>121</v>
      </c>
      <c r="C78">
        <v>29335</v>
      </c>
      <c r="D78">
        <v>34350</v>
      </c>
      <c r="E78" s="1" t="s">
        <v>765</v>
      </c>
      <c r="F78" s="1" t="s">
        <v>18</v>
      </c>
      <c r="G78">
        <v>230000</v>
      </c>
      <c r="H78">
        <v>4.3</v>
      </c>
      <c r="I78">
        <v>90</v>
      </c>
      <c r="J78">
        <v>124929</v>
      </c>
      <c r="K78">
        <v>7.84</v>
      </c>
    </row>
    <row r="79" spans="1:11" x14ac:dyDescent="0.2">
      <c r="A79" s="1" t="s">
        <v>182</v>
      </c>
      <c r="B79" s="1" t="s">
        <v>183</v>
      </c>
      <c r="C79">
        <v>31950</v>
      </c>
      <c r="D79">
        <v>35148</v>
      </c>
      <c r="E79" s="1" t="s">
        <v>721</v>
      </c>
      <c r="F79" s="1" t="s">
        <v>10</v>
      </c>
      <c r="G79">
        <v>280000</v>
      </c>
      <c r="H79">
        <v>4.8</v>
      </c>
      <c r="I79">
        <v>46</v>
      </c>
      <c r="J79">
        <v>53637</v>
      </c>
      <c r="K79">
        <v>8.76</v>
      </c>
    </row>
    <row r="80" spans="1:11" x14ac:dyDescent="0.2">
      <c r="A80" s="1" t="s">
        <v>122</v>
      </c>
      <c r="B80" s="1" t="s">
        <v>123</v>
      </c>
      <c r="C80">
        <v>32959</v>
      </c>
      <c r="D80">
        <v>37206</v>
      </c>
      <c r="E80" s="1" t="s">
        <v>771</v>
      </c>
      <c r="F80" s="1" t="s">
        <v>18</v>
      </c>
      <c r="G80">
        <v>220000</v>
      </c>
      <c r="H80">
        <v>4.3</v>
      </c>
      <c r="I80">
        <v>95</v>
      </c>
      <c r="J80">
        <v>156949</v>
      </c>
      <c r="K80">
        <v>6.67</v>
      </c>
    </row>
    <row r="81" spans="1:11" x14ac:dyDescent="0.2">
      <c r="A81" s="1" t="s">
        <v>306</v>
      </c>
      <c r="B81" s="1" t="s">
        <v>307</v>
      </c>
      <c r="C81">
        <v>34133</v>
      </c>
      <c r="D81">
        <v>43056</v>
      </c>
      <c r="E81" s="1" t="s">
        <v>722</v>
      </c>
      <c r="F81" s="1" t="s">
        <v>15</v>
      </c>
      <c r="G81">
        <v>365000</v>
      </c>
      <c r="H81">
        <v>4.7</v>
      </c>
      <c r="I81">
        <v>47</v>
      </c>
      <c r="J81">
        <v>94483</v>
      </c>
      <c r="K81">
        <v>10.69</v>
      </c>
    </row>
    <row r="82" spans="1:11" x14ac:dyDescent="0.2">
      <c r="A82" s="1" t="s">
        <v>124</v>
      </c>
      <c r="B82" s="1" t="s">
        <v>125</v>
      </c>
      <c r="C82">
        <v>31881</v>
      </c>
      <c r="D82">
        <v>37220</v>
      </c>
      <c r="E82" s="1" t="s">
        <v>835</v>
      </c>
      <c r="F82" s="1" t="s">
        <v>23</v>
      </c>
      <c r="G82">
        <v>225000</v>
      </c>
      <c r="H82">
        <v>3.8</v>
      </c>
      <c r="I82">
        <v>160</v>
      </c>
      <c r="J82">
        <v>205913</v>
      </c>
      <c r="K82">
        <v>7.06</v>
      </c>
    </row>
    <row r="83" spans="1:11" x14ac:dyDescent="0.2">
      <c r="A83" s="1" t="s">
        <v>260</v>
      </c>
      <c r="B83" s="1" t="s">
        <v>261</v>
      </c>
      <c r="C83">
        <v>33063</v>
      </c>
      <c r="D83">
        <v>37224</v>
      </c>
      <c r="E83" s="1" t="s">
        <v>723</v>
      </c>
      <c r="F83" s="1" t="s">
        <v>22</v>
      </c>
      <c r="G83">
        <v>230000</v>
      </c>
      <c r="H83">
        <v>4.7</v>
      </c>
      <c r="I83">
        <v>48</v>
      </c>
      <c r="J83">
        <v>145612</v>
      </c>
      <c r="K83">
        <v>6.96</v>
      </c>
    </row>
    <row r="84" spans="1:11" x14ac:dyDescent="0.2">
      <c r="A84" s="1" t="s">
        <v>126</v>
      </c>
      <c r="B84" s="1" t="s">
        <v>127</v>
      </c>
      <c r="C84">
        <v>27309</v>
      </c>
      <c r="D84">
        <v>29153</v>
      </c>
      <c r="E84" s="1" t="s">
        <v>868</v>
      </c>
      <c r="F84" s="1" t="s">
        <v>23</v>
      </c>
      <c r="G84">
        <v>141500</v>
      </c>
      <c r="H84">
        <v>3.5</v>
      </c>
      <c r="I84">
        <v>193</v>
      </c>
      <c r="J84">
        <v>118269</v>
      </c>
      <c r="K84">
        <v>5.18</v>
      </c>
    </row>
    <row r="85" spans="1:11" x14ac:dyDescent="0.2">
      <c r="A85" s="1" t="s">
        <v>142</v>
      </c>
      <c r="B85" s="1" t="s">
        <v>143</v>
      </c>
      <c r="C85">
        <v>31816</v>
      </c>
      <c r="D85">
        <v>36570</v>
      </c>
      <c r="E85" s="1" t="s">
        <v>724</v>
      </c>
      <c r="F85" s="1" t="s">
        <v>23</v>
      </c>
      <c r="G85">
        <v>218361</v>
      </c>
      <c r="H85">
        <v>4.7</v>
      </c>
      <c r="I85">
        <v>49</v>
      </c>
      <c r="J85">
        <v>236237</v>
      </c>
      <c r="K85">
        <v>6.86</v>
      </c>
    </row>
    <row r="86" spans="1:11" x14ac:dyDescent="0.2">
      <c r="A86" s="1" t="s">
        <v>128</v>
      </c>
      <c r="B86" s="1" t="s">
        <v>129</v>
      </c>
      <c r="C86">
        <v>28898</v>
      </c>
      <c r="D86">
        <v>33778</v>
      </c>
      <c r="E86" s="1" t="s">
        <v>915</v>
      </c>
      <c r="F86" s="1" t="s">
        <v>23</v>
      </c>
      <c r="G86">
        <v>165000</v>
      </c>
      <c r="H86">
        <v>3.2</v>
      </c>
      <c r="I86">
        <v>240</v>
      </c>
      <c r="J86">
        <v>86232</v>
      </c>
      <c r="K86">
        <v>5.71</v>
      </c>
    </row>
    <row r="87" spans="1:11" x14ac:dyDescent="0.2">
      <c r="A87" s="1" t="s">
        <v>515</v>
      </c>
      <c r="B87" s="1" t="s">
        <v>516</v>
      </c>
      <c r="C87">
        <v>33647</v>
      </c>
      <c r="D87">
        <v>38181</v>
      </c>
      <c r="E87" s="1" t="s">
        <v>725</v>
      </c>
      <c r="F87" s="1" t="s">
        <v>19</v>
      </c>
      <c r="G87">
        <v>310000</v>
      </c>
      <c r="H87">
        <v>4.7</v>
      </c>
      <c r="I87">
        <v>50</v>
      </c>
      <c r="J87">
        <v>77681</v>
      </c>
      <c r="K87">
        <v>9.2100000000000009</v>
      </c>
    </row>
    <row r="88" spans="1:11" x14ac:dyDescent="0.2">
      <c r="A88" s="1" t="s">
        <v>130</v>
      </c>
      <c r="B88" s="1" t="s">
        <v>131</v>
      </c>
      <c r="C88">
        <v>30012</v>
      </c>
      <c r="D88">
        <v>34931</v>
      </c>
      <c r="E88" s="1" t="s">
        <v>859</v>
      </c>
      <c r="F88" s="1" t="s">
        <v>23</v>
      </c>
      <c r="G88">
        <v>177500</v>
      </c>
      <c r="H88">
        <v>3.6</v>
      </c>
      <c r="I88">
        <v>184</v>
      </c>
      <c r="J88">
        <v>81796</v>
      </c>
      <c r="K88">
        <v>5.91</v>
      </c>
    </row>
    <row r="89" spans="1:11" x14ac:dyDescent="0.2">
      <c r="A89" s="1" t="s">
        <v>294</v>
      </c>
      <c r="B89" s="1" t="s">
        <v>295</v>
      </c>
      <c r="C89">
        <v>36407</v>
      </c>
      <c r="D89">
        <v>42547</v>
      </c>
      <c r="E89" s="1" t="s">
        <v>726</v>
      </c>
      <c r="F89" s="1" t="s">
        <v>15</v>
      </c>
      <c r="G89">
        <v>355000</v>
      </c>
      <c r="H89">
        <v>4.7</v>
      </c>
      <c r="I89">
        <v>51</v>
      </c>
      <c r="J89">
        <v>87396</v>
      </c>
      <c r="K89">
        <v>9.75</v>
      </c>
    </row>
    <row r="90" spans="1:11" x14ac:dyDescent="0.2">
      <c r="A90" s="1" t="s">
        <v>132</v>
      </c>
      <c r="B90" s="1" t="s">
        <v>133</v>
      </c>
      <c r="C90">
        <v>32961</v>
      </c>
      <c r="D90">
        <v>40376</v>
      </c>
      <c r="E90" s="1" t="s">
        <v>876</v>
      </c>
      <c r="F90" s="1" t="s">
        <v>23</v>
      </c>
      <c r="G90">
        <v>300000</v>
      </c>
      <c r="H90">
        <v>3.5</v>
      </c>
      <c r="I90">
        <v>201</v>
      </c>
      <c r="J90">
        <v>110608</v>
      </c>
      <c r="K90">
        <v>9.1</v>
      </c>
    </row>
    <row r="91" spans="1:11" x14ac:dyDescent="0.2">
      <c r="A91" s="1" t="s">
        <v>152</v>
      </c>
      <c r="B91" s="1" t="s">
        <v>153</v>
      </c>
      <c r="C91">
        <v>29954</v>
      </c>
      <c r="D91">
        <v>32083</v>
      </c>
      <c r="E91" s="1" t="s">
        <v>727</v>
      </c>
      <c r="F91" s="1" t="s">
        <v>23</v>
      </c>
      <c r="G91">
        <v>205000</v>
      </c>
      <c r="H91">
        <v>4.7</v>
      </c>
      <c r="I91">
        <v>52</v>
      </c>
      <c r="J91">
        <v>157771</v>
      </c>
      <c r="K91">
        <v>6.84</v>
      </c>
    </row>
    <row r="92" spans="1:11" x14ac:dyDescent="0.2">
      <c r="A92" s="1" t="s">
        <v>134</v>
      </c>
      <c r="B92" s="1" t="s">
        <v>135</v>
      </c>
      <c r="C92">
        <v>30683</v>
      </c>
      <c r="D92">
        <v>37837</v>
      </c>
      <c r="E92" s="1" t="s">
        <v>882</v>
      </c>
      <c r="F92" s="1" t="s">
        <v>23</v>
      </c>
      <c r="G92">
        <v>270000</v>
      </c>
      <c r="H92">
        <v>3.4</v>
      </c>
      <c r="I92">
        <v>207</v>
      </c>
      <c r="J92">
        <v>345267</v>
      </c>
      <c r="K92">
        <v>8.8000000000000007</v>
      </c>
    </row>
    <row r="93" spans="1:11" x14ac:dyDescent="0.2">
      <c r="A93" s="1" t="s">
        <v>190</v>
      </c>
      <c r="B93" s="1" t="s">
        <v>191</v>
      </c>
      <c r="C93">
        <v>26633</v>
      </c>
      <c r="D93">
        <v>32292</v>
      </c>
      <c r="E93" s="1" t="s">
        <v>728</v>
      </c>
      <c r="F93" s="1" t="s">
        <v>10</v>
      </c>
      <c r="G93">
        <v>272000</v>
      </c>
      <c r="H93">
        <v>4.7</v>
      </c>
      <c r="I93">
        <v>53</v>
      </c>
      <c r="J93">
        <v>28470</v>
      </c>
      <c r="K93">
        <v>10.210000000000001</v>
      </c>
    </row>
    <row r="94" spans="1:11" x14ac:dyDescent="0.2">
      <c r="A94" s="1" t="s">
        <v>136</v>
      </c>
      <c r="B94" s="1" t="s">
        <v>137</v>
      </c>
      <c r="C94">
        <v>31359</v>
      </c>
      <c r="D94">
        <v>35139</v>
      </c>
      <c r="E94" s="1" t="s">
        <v>735</v>
      </c>
      <c r="F94" s="1" t="s">
        <v>23</v>
      </c>
      <c r="G94">
        <v>180000</v>
      </c>
      <c r="H94">
        <v>4.5999999999999996</v>
      </c>
      <c r="I94">
        <v>59</v>
      </c>
      <c r="J94">
        <v>112507</v>
      </c>
      <c r="K94">
        <v>5.74</v>
      </c>
    </row>
    <row r="95" spans="1:11" x14ac:dyDescent="0.2">
      <c r="A95" s="1" t="s">
        <v>150</v>
      </c>
      <c r="B95" s="1" t="s">
        <v>151</v>
      </c>
      <c r="C95">
        <v>31679</v>
      </c>
      <c r="D95">
        <v>36527</v>
      </c>
      <c r="E95" s="1" t="s">
        <v>729</v>
      </c>
      <c r="F95" s="1" t="s">
        <v>23</v>
      </c>
      <c r="G95">
        <v>247500</v>
      </c>
      <c r="H95">
        <v>4.7</v>
      </c>
      <c r="I95">
        <v>54</v>
      </c>
      <c r="J95">
        <v>387541</v>
      </c>
      <c r="K95">
        <v>7.81</v>
      </c>
    </row>
    <row r="96" spans="1:11" x14ac:dyDescent="0.2">
      <c r="A96" s="1" t="s">
        <v>138</v>
      </c>
      <c r="B96" s="1" t="s">
        <v>139</v>
      </c>
      <c r="C96">
        <v>31119</v>
      </c>
      <c r="D96">
        <v>33396</v>
      </c>
      <c r="E96" s="1" t="s">
        <v>842</v>
      </c>
      <c r="F96" s="1" t="s">
        <v>23</v>
      </c>
      <c r="G96">
        <v>180000</v>
      </c>
      <c r="H96">
        <v>3.7</v>
      </c>
      <c r="I96">
        <v>167</v>
      </c>
      <c r="J96">
        <v>141062</v>
      </c>
      <c r="K96">
        <v>5.78</v>
      </c>
    </row>
    <row r="97" spans="1:11" x14ac:dyDescent="0.2">
      <c r="A97" s="1" t="s">
        <v>158</v>
      </c>
      <c r="B97" s="1" t="s">
        <v>159</v>
      </c>
      <c r="C97">
        <v>32882</v>
      </c>
      <c r="D97">
        <v>38911</v>
      </c>
      <c r="E97" s="1" t="s">
        <v>730</v>
      </c>
      <c r="F97" s="1" t="s">
        <v>10</v>
      </c>
      <c r="G97">
        <v>260000</v>
      </c>
      <c r="H97">
        <v>4.7</v>
      </c>
      <c r="I97">
        <v>55</v>
      </c>
      <c r="J97">
        <v>198120</v>
      </c>
      <c r="K97">
        <v>7.91</v>
      </c>
    </row>
    <row r="98" spans="1:11" x14ac:dyDescent="0.2">
      <c r="A98" s="1" t="s">
        <v>140</v>
      </c>
      <c r="B98" s="1" t="s">
        <v>141</v>
      </c>
      <c r="C98">
        <v>29664</v>
      </c>
      <c r="D98">
        <v>33799</v>
      </c>
      <c r="E98" s="1" t="s">
        <v>816</v>
      </c>
      <c r="F98" s="1" t="s">
        <v>23</v>
      </c>
      <c r="G98">
        <v>193000</v>
      </c>
      <c r="H98">
        <v>3.9</v>
      </c>
      <c r="I98">
        <v>141</v>
      </c>
      <c r="J98">
        <v>112361</v>
      </c>
      <c r="K98">
        <v>6.51</v>
      </c>
    </row>
    <row r="99" spans="1:11" x14ac:dyDescent="0.2">
      <c r="A99" s="1" t="s">
        <v>665</v>
      </c>
      <c r="B99" s="1" t="s">
        <v>666</v>
      </c>
      <c r="C99">
        <v>31495</v>
      </c>
      <c r="D99">
        <v>33189</v>
      </c>
      <c r="E99" s="1" t="s">
        <v>731</v>
      </c>
      <c r="F99" s="1" t="s">
        <v>21</v>
      </c>
      <c r="G99">
        <v>236000</v>
      </c>
      <c r="H99">
        <v>4.5999999999999996</v>
      </c>
      <c r="I99">
        <v>56</v>
      </c>
      <c r="J99">
        <v>71486</v>
      </c>
      <c r="K99">
        <v>7.49</v>
      </c>
    </row>
    <row r="100" spans="1:11" x14ac:dyDescent="0.2">
      <c r="A100" s="1" t="s">
        <v>148</v>
      </c>
      <c r="B100" s="1" t="s">
        <v>149</v>
      </c>
      <c r="C100">
        <v>30238</v>
      </c>
      <c r="D100">
        <v>34811</v>
      </c>
      <c r="E100" s="1" t="s">
        <v>732</v>
      </c>
      <c r="F100" s="1" t="s">
        <v>23</v>
      </c>
      <c r="G100">
        <v>212178</v>
      </c>
      <c r="H100">
        <v>4.5999999999999996</v>
      </c>
      <c r="I100">
        <v>57</v>
      </c>
      <c r="J100">
        <v>200407</v>
      </c>
      <c r="K100">
        <v>7.02</v>
      </c>
    </row>
    <row r="101" spans="1:11" x14ac:dyDescent="0.2">
      <c r="A101" s="1" t="s">
        <v>144</v>
      </c>
      <c r="B101" s="1" t="s">
        <v>145</v>
      </c>
      <c r="C101">
        <v>28424</v>
      </c>
      <c r="D101">
        <v>33267</v>
      </c>
      <c r="E101" s="1" t="s">
        <v>817</v>
      </c>
      <c r="F101" s="1" t="s">
        <v>23</v>
      </c>
      <c r="G101">
        <v>185000</v>
      </c>
      <c r="H101">
        <v>3.9</v>
      </c>
      <c r="I101">
        <v>142</v>
      </c>
      <c r="J101">
        <v>252977</v>
      </c>
      <c r="K101">
        <v>6.51</v>
      </c>
    </row>
    <row r="102" spans="1:11" x14ac:dyDescent="0.2">
      <c r="A102" s="1" t="s">
        <v>651</v>
      </c>
      <c r="B102" s="1" t="s">
        <v>652</v>
      </c>
      <c r="C102">
        <v>32756</v>
      </c>
      <c r="D102">
        <v>36723</v>
      </c>
      <c r="E102" s="1" t="s">
        <v>733</v>
      </c>
      <c r="F102" s="1" t="s">
        <v>21</v>
      </c>
      <c r="G102">
        <v>270000</v>
      </c>
      <c r="H102">
        <v>4.5999999999999996</v>
      </c>
      <c r="I102">
        <v>58</v>
      </c>
      <c r="J102">
        <v>174509</v>
      </c>
      <c r="K102">
        <v>8.24</v>
      </c>
    </row>
    <row r="103" spans="1:11" x14ac:dyDescent="0.2">
      <c r="A103" s="1" t="s">
        <v>146</v>
      </c>
      <c r="B103" s="1" t="s">
        <v>147</v>
      </c>
      <c r="C103">
        <v>31708</v>
      </c>
      <c r="D103">
        <v>35761</v>
      </c>
      <c r="E103" s="1" t="s">
        <v>788</v>
      </c>
      <c r="F103" s="1" t="s">
        <v>23</v>
      </c>
      <c r="G103">
        <v>195000</v>
      </c>
      <c r="H103">
        <v>4.0999999999999996</v>
      </c>
      <c r="I103">
        <v>111</v>
      </c>
      <c r="J103">
        <v>110979</v>
      </c>
      <c r="K103">
        <v>6.15</v>
      </c>
    </row>
    <row r="104" spans="1:11" x14ac:dyDescent="0.2">
      <c r="A104" s="1" t="s">
        <v>423</v>
      </c>
      <c r="B104" s="1" t="s">
        <v>424</v>
      </c>
      <c r="C104">
        <v>40726</v>
      </c>
      <c r="D104">
        <v>45725</v>
      </c>
      <c r="E104" s="1" t="s">
        <v>734</v>
      </c>
      <c r="F104" s="1" t="s">
        <v>16</v>
      </c>
      <c r="G104">
        <v>450000</v>
      </c>
      <c r="H104">
        <v>4.5999999999999996</v>
      </c>
      <c r="I104">
        <v>59</v>
      </c>
      <c r="J104">
        <v>115576</v>
      </c>
      <c r="K104">
        <v>11.05</v>
      </c>
    </row>
    <row r="105" spans="1:11" x14ac:dyDescent="0.2">
      <c r="A105" s="1" t="s">
        <v>643</v>
      </c>
      <c r="B105" s="1" t="s">
        <v>644</v>
      </c>
      <c r="C105">
        <v>32091</v>
      </c>
      <c r="D105">
        <v>35131</v>
      </c>
      <c r="E105" s="1" t="s">
        <v>736</v>
      </c>
      <c r="F105" s="1" t="s">
        <v>21</v>
      </c>
      <c r="G105">
        <v>208000</v>
      </c>
      <c r="H105">
        <v>4.5999999999999996</v>
      </c>
      <c r="I105">
        <v>61</v>
      </c>
      <c r="J105">
        <v>109018</v>
      </c>
      <c r="K105">
        <v>6.48</v>
      </c>
    </row>
    <row r="106" spans="1:11" x14ac:dyDescent="0.2">
      <c r="A106" s="1" t="s">
        <v>647</v>
      </c>
      <c r="B106" s="1" t="s">
        <v>648</v>
      </c>
      <c r="C106">
        <v>31475</v>
      </c>
      <c r="D106">
        <v>34754</v>
      </c>
      <c r="E106" s="1" t="s">
        <v>737</v>
      </c>
      <c r="F106" s="1" t="s">
        <v>21</v>
      </c>
      <c r="G106">
        <v>215000</v>
      </c>
      <c r="H106">
        <v>4.5999999999999996</v>
      </c>
      <c r="I106">
        <v>62</v>
      </c>
      <c r="J106">
        <v>66974</v>
      </c>
      <c r="K106">
        <v>6.83</v>
      </c>
    </row>
    <row r="107" spans="1:11" x14ac:dyDescent="0.2">
      <c r="A107" s="1" t="s">
        <v>292</v>
      </c>
      <c r="B107" s="1" t="s">
        <v>293</v>
      </c>
      <c r="C107">
        <v>33594</v>
      </c>
      <c r="D107">
        <v>43321</v>
      </c>
      <c r="E107" s="1" t="s">
        <v>738</v>
      </c>
      <c r="F107" s="1" t="s">
        <v>15</v>
      </c>
      <c r="G107">
        <v>345000</v>
      </c>
      <c r="H107">
        <v>4.5999999999999996</v>
      </c>
      <c r="I107">
        <v>63</v>
      </c>
      <c r="J107">
        <v>109589</v>
      </c>
      <c r="K107">
        <v>10.27</v>
      </c>
    </row>
    <row r="108" spans="1:11" x14ac:dyDescent="0.2">
      <c r="A108" s="1" t="s">
        <v>513</v>
      </c>
      <c r="B108" s="1" t="s">
        <v>514</v>
      </c>
      <c r="C108">
        <v>33355</v>
      </c>
      <c r="D108">
        <v>36868</v>
      </c>
      <c r="E108" s="1" t="s">
        <v>739</v>
      </c>
      <c r="F108" s="1" t="s">
        <v>19</v>
      </c>
      <c r="G108">
        <v>320000</v>
      </c>
      <c r="H108">
        <v>4.5999999999999996</v>
      </c>
      <c r="I108">
        <v>64</v>
      </c>
      <c r="J108">
        <v>65809</v>
      </c>
      <c r="K108">
        <v>9.59</v>
      </c>
    </row>
    <row r="109" spans="1:11" x14ac:dyDescent="0.2">
      <c r="A109" s="1" t="s">
        <v>210</v>
      </c>
      <c r="B109" s="1" t="s">
        <v>211</v>
      </c>
      <c r="C109">
        <v>27797</v>
      </c>
      <c r="D109">
        <v>33388</v>
      </c>
      <c r="E109" s="1" t="s">
        <v>740</v>
      </c>
      <c r="F109" s="1" t="s">
        <v>10</v>
      </c>
      <c r="G109">
        <v>195000</v>
      </c>
      <c r="H109">
        <v>4.5</v>
      </c>
      <c r="I109">
        <v>65</v>
      </c>
      <c r="J109">
        <v>63468</v>
      </c>
      <c r="K109">
        <v>7.02</v>
      </c>
    </row>
    <row r="110" spans="1:11" x14ac:dyDescent="0.2">
      <c r="A110" s="1" t="s">
        <v>290</v>
      </c>
      <c r="B110" s="1" t="s">
        <v>291</v>
      </c>
      <c r="C110">
        <v>29828</v>
      </c>
      <c r="D110">
        <v>33238</v>
      </c>
      <c r="E110" s="1" t="s">
        <v>741</v>
      </c>
      <c r="F110" s="1" t="s">
        <v>15</v>
      </c>
      <c r="G110">
        <v>241750</v>
      </c>
      <c r="H110">
        <v>4.5</v>
      </c>
      <c r="I110">
        <v>66</v>
      </c>
      <c r="J110">
        <v>101129</v>
      </c>
      <c r="K110">
        <v>8.1</v>
      </c>
    </row>
    <row r="111" spans="1:11" x14ac:dyDescent="0.2">
      <c r="A111" s="1" t="s">
        <v>162</v>
      </c>
      <c r="B111" s="1" t="s">
        <v>163</v>
      </c>
      <c r="C111">
        <v>39559</v>
      </c>
      <c r="D111">
        <v>49988</v>
      </c>
      <c r="E111" s="1" t="s">
        <v>917</v>
      </c>
      <c r="F111" s="1" t="s">
        <v>10</v>
      </c>
      <c r="G111">
        <v>330000</v>
      </c>
      <c r="H111">
        <v>3.2</v>
      </c>
      <c r="I111">
        <v>240</v>
      </c>
      <c r="J111">
        <v>21752</v>
      </c>
      <c r="K111">
        <v>8.34</v>
      </c>
    </row>
    <row r="112" spans="1:11" x14ac:dyDescent="0.2">
      <c r="A112" s="1" t="s">
        <v>218</v>
      </c>
      <c r="B112" s="1" t="s">
        <v>219</v>
      </c>
      <c r="C112">
        <v>28170</v>
      </c>
      <c r="D112">
        <v>30845</v>
      </c>
      <c r="E112" s="1" t="s">
        <v>742</v>
      </c>
      <c r="F112" s="1" t="s">
        <v>10</v>
      </c>
      <c r="G112">
        <v>190000</v>
      </c>
      <c r="H112">
        <v>4.5</v>
      </c>
      <c r="I112">
        <v>67</v>
      </c>
      <c r="J112">
        <v>54409</v>
      </c>
      <c r="K112">
        <v>6.74</v>
      </c>
    </row>
    <row r="113" spans="1:11" x14ac:dyDescent="0.2">
      <c r="A113" s="1" t="s">
        <v>164</v>
      </c>
      <c r="B113" s="1" t="s">
        <v>165</v>
      </c>
      <c r="C113">
        <v>33059</v>
      </c>
      <c r="D113">
        <v>40558</v>
      </c>
      <c r="E113" s="1" t="s">
        <v>792</v>
      </c>
      <c r="F113" s="1" t="s">
        <v>10</v>
      </c>
      <c r="G113">
        <v>299250</v>
      </c>
      <c r="H113">
        <v>4.0999999999999996</v>
      </c>
      <c r="I113">
        <v>117</v>
      </c>
      <c r="J113">
        <v>240390</v>
      </c>
      <c r="K113">
        <v>9.0500000000000007</v>
      </c>
    </row>
    <row r="114" spans="1:11" x14ac:dyDescent="0.2">
      <c r="A114" s="1" t="s">
        <v>166</v>
      </c>
      <c r="B114" s="1" t="s">
        <v>167</v>
      </c>
      <c r="C114">
        <v>30823</v>
      </c>
      <c r="D114">
        <v>35177</v>
      </c>
      <c r="E114" s="1" t="s">
        <v>793</v>
      </c>
      <c r="F114" s="1" t="s">
        <v>10</v>
      </c>
      <c r="G114">
        <v>230000</v>
      </c>
      <c r="H114">
        <v>4.0999999999999996</v>
      </c>
      <c r="I114">
        <v>118</v>
      </c>
      <c r="J114">
        <v>68803</v>
      </c>
      <c r="K114">
        <v>7.46</v>
      </c>
    </row>
    <row r="115" spans="1:11" x14ac:dyDescent="0.2">
      <c r="A115" s="1" t="s">
        <v>236</v>
      </c>
      <c r="B115" s="1" t="s">
        <v>237</v>
      </c>
      <c r="C115">
        <v>33763</v>
      </c>
      <c r="D115">
        <v>41455</v>
      </c>
      <c r="E115" s="1" t="s">
        <v>744</v>
      </c>
      <c r="F115" s="1" t="s">
        <v>22</v>
      </c>
      <c r="G115">
        <v>310000</v>
      </c>
      <c r="H115">
        <v>4.5</v>
      </c>
      <c r="I115">
        <v>69</v>
      </c>
      <c r="J115">
        <v>53860</v>
      </c>
      <c r="K115">
        <v>9.18</v>
      </c>
    </row>
    <row r="116" spans="1:11" x14ac:dyDescent="0.2">
      <c r="A116" s="1" t="s">
        <v>457</v>
      </c>
      <c r="B116" s="1" t="s">
        <v>458</v>
      </c>
      <c r="C116">
        <v>35521</v>
      </c>
      <c r="D116">
        <v>39266</v>
      </c>
      <c r="E116" s="1" t="s">
        <v>745</v>
      </c>
      <c r="F116" s="1" t="s">
        <v>19</v>
      </c>
      <c r="G116">
        <v>395000</v>
      </c>
      <c r="H116">
        <v>4.5</v>
      </c>
      <c r="I116">
        <v>70</v>
      </c>
      <c r="J116">
        <v>60534</v>
      </c>
      <c r="K116">
        <v>11.12</v>
      </c>
    </row>
    <row r="117" spans="1:11" x14ac:dyDescent="0.2">
      <c r="A117" s="1" t="s">
        <v>170</v>
      </c>
      <c r="B117" s="1" t="s">
        <v>171</v>
      </c>
      <c r="C117">
        <v>30621</v>
      </c>
      <c r="D117">
        <v>34677</v>
      </c>
      <c r="E117" s="1" t="s">
        <v>812</v>
      </c>
      <c r="F117" s="1" t="s">
        <v>10</v>
      </c>
      <c r="G117">
        <v>198500</v>
      </c>
      <c r="H117">
        <v>4</v>
      </c>
      <c r="I117">
        <v>137</v>
      </c>
      <c r="J117">
        <v>49491</v>
      </c>
      <c r="K117">
        <v>6.48</v>
      </c>
    </row>
    <row r="118" spans="1:11" x14ac:dyDescent="0.2">
      <c r="A118" s="1" t="s">
        <v>172</v>
      </c>
      <c r="B118" s="1" t="s">
        <v>173</v>
      </c>
      <c r="C118">
        <v>33700</v>
      </c>
      <c r="D118">
        <v>35488</v>
      </c>
      <c r="E118" s="1" t="s">
        <v>875</v>
      </c>
      <c r="F118" s="1" t="s">
        <v>10</v>
      </c>
      <c r="G118">
        <v>318000</v>
      </c>
      <c r="H118">
        <v>3.5</v>
      </c>
      <c r="I118">
        <v>200</v>
      </c>
      <c r="J118">
        <v>36088</v>
      </c>
      <c r="K118">
        <v>9.44</v>
      </c>
    </row>
    <row r="119" spans="1:11" x14ac:dyDescent="0.2">
      <c r="A119" s="1" t="s">
        <v>208</v>
      </c>
      <c r="B119" s="1" t="s">
        <v>209</v>
      </c>
      <c r="C119">
        <v>30741</v>
      </c>
      <c r="D119">
        <v>34392</v>
      </c>
      <c r="E119" s="1" t="s">
        <v>747</v>
      </c>
      <c r="F119" s="1" t="s">
        <v>10</v>
      </c>
      <c r="G119">
        <v>232000</v>
      </c>
      <c r="H119">
        <v>4.5</v>
      </c>
      <c r="I119">
        <v>72</v>
      </c>
      <c r="J119">
        <v>52633</v>
      </c>
      <c r="K119">
        <v>7.55</v>
      </c>
    </row>
    <row r="120" spans="1:11" x14ac:dyDescent="0.2">
      <c r="A120" s="1" t="s">
        <v>357</v>
      </c>
      <c r="B120" s="1" t="s">
        <v>358</v>
      </c>
      <c r="C120">
        <v>30581</v>
      </c>
      <c r="D120">
        <v>35557</v>
      </c>
      <c r="E120" s="1" t="s">
        <v>748</v>
      </c>
      <c r="F120" s="1" t="s">
        <v>15</v>
      </c>
      <c r="G120">
        <v>267500</v>
      </c>
      <c r="H120">
        <v>4.5</v>
      </c>
      <c r="I120">
        <v>73</v>
      </c>
      <c r="J120">
        <v>86976</v>
      </c>
      <c r="K120">
        <v>8.75</v>
      </c>
    </row>
    <row r="121" spans="1:11" x14ac:dyDescent="0.2">
      <c r="A121" s="1" t="s">
        <v>192</v>
      </c>
      <c r="B121" s="1" t="s">
        <v>193</v>
      </c>
      <c r="C121">
        <v>32252</v>
      </c>
      <c r="D121">
        <v>37507</v>
      </c>
      <c r="E121" s="1" t="s">
        <v>749</v>
      </c>
      <c r="F121" s="1" t="s">
        <v>10</v>
      </c>
      <c r="G121">
        <v>267500</v>
      </c>
      <c r="H121">
        <v>4.5</v>
      </c>
      <c r="I121">
        <v>73</v>
      </c>
      <c r="J121">
        <v>57538</v>
      </c>
      <c r="K121">
        <v>8.2899999999999991</v>
      </c>
    </row>
    <row r="122" spans="1:11" x14ac:dyDescent="0.2">
      <c r="A122" s="1" t="s">
        <v>178</v>
      </c>
      <c r="B122" s="1" t="s">
        <v>179</v>
      </c>
      <c r="C122">
        <v>30931</v>
      </c>
      <c r="D122">
        <v>38994</v>
      </c>
      <c r="E122" s="1" t="s">
        <v>796</v>
      </c>
      <c r="F122" s="1" t="s">
        <v>10</v>
      </c>
      <c r="G122">
        <v>246000</v>
      </c>
      <c r="H122">
        <v>4.0999999999999996</v>
      </c>
      <c r="I122">
        <v>121</v>
      </c>
      <c r="J122">
        <v>46163</v>
      </c>
      <c r="K122">
        <v>7.95</v>
      </c>
    </row>
    <row r="123" spans="1:11" x14ac:dyDescent="0.2">
      <c r="A123" s="1" t="s">
        <v>615</v>
      </c>
      <c r="B123" s="1" t="s">
        <v>616</v>
      </c>
      <c r="C123">
        <v>30455</v>
      </c>
      <c r="D123">
        <v>32734</v>
      </c>
      <c r="E123" s="1" t="s">
        <v>750</v>
      </c>
      <c r="F123" s="1" t="s">
        <v>20</v>
      </c>
      <c r="G123">
        <v>255000</v>
      </c>
      <c r="H123">
        <v>4.4000000000000004</v>
      </c>
      <c r="I123">
        <v>75</v>
      </c>
      <c r="J123">
        <v>74236</v>
      </c>
      <c r="K123">
        <v>8.3699999999999992</v>
      </c>
    </row>
    <row r="124" spans="1:11" x14ac:dyDescent="0.2">
      <c r="A124" s="1" t="s">
        <v>180</v>
      </c>
      <c r="B124" s="1" t="s">
        <v>181</v>
      </c>
      <c r="C124">
        <v>35452</v>
      </c>
      <c r="D124">
        <v>40580</v>
      </c>
      <c r="E124" s="1" t="s">
        <v>780</v>
      </c>
      <c r="F124" s="1" t="s">
        <v>10</v>
      </c>
      <c r="G124">
        <v>256000</v>
      </c>
      <c r="H124">
        <v>4.2</v>
      </c>
      <c r="I124">
        <v>105</v>
      </c>
      <c r="J124">
        <v>61679</v>
      </c>
      <c r="K124">
        <v>7.22</v>
      </c>
    </row>
    <row r="125" spans="1:11" x14ac:dyDescent="0.2">
      <c r="A125" s="1" t="s">
        <v>403</v>
      </c>
      <c r="B125" s="1" t="s">
        <v>404</v>
      </c>
      <c r="C125">
        <v>32911</v>
      </c>
      <c r="D125">
        <v>35424</v>
      </c>
      <c r="E125" s="1" t="s">
        <v>752</v>
      </c>
      <c r="F125" s="1" t="s">
        <v>16</v>
      </c>
      <c r="G125">
        <v>380000</v>
      </c>
      <c r="H125">
        <v>4.4000000000000004</v>
      </c>
      <c r="I125">
        <v>77</v>
      </c>
      <c r="J125">
        <v>67350</v>
      </c>
      <c r="K125">
        <v>11.55</v>
      </c>
    </row>
    <row r="126" spans="1:11" x14ac:dyDescent="0.2">
      <c r="A126" s="1" t="s">
        <v>184</v>
      </c>
      <c r="B126" s="1" t="s">
        <v>185</v>
      </c>
      <c r="C126">
        <v>33550</v>
      </c>
      <c r="D126">
        <v>35439</v>
      </c>
      <c r="E126" s="1" t="s">
        <v>760</v>
      </c>
      <c r="F126" s="1" t="s">
        <v>10</v>
      </c>
      <c r="G126">
        <v>275750</v>
      </c>
      <c r="H126">
        <v>4.4000000000000004</v>
      </c>
      <c r="I126">
        <v>85</v>
      </c>
      <c r="J126">
        <v>90973</v>
      </c>
      <c r="K126">
        <v>8.2200000000000006</v>
      </c>
    </row>
    <row r="127" spans="1:11" x14ac:dyDescent="0.2">
      <c r="A127" s="1" t="s">
        <v>186</v>
      </c>
      <c r="B127" s="1" t="s">
        <v>187</v>
      </c>
      <c r="C127">
        <v>34321</v>
      </c>
      <c r="D127">
        <v>42732</v>
      </c>
      <c r="E127" s="1" t="s">
        <v>863</v>
      </c>
      <c r="F127" s="1" t="s">
        <v>10</v>
      </c>
      <c r="G127">
        <v>329995</v>
      </c>
      <c r="H127">
        <v>3.5</v>
      </c>
      <c r="I127">
        <v>188</v>
      </c>
      <c r="J127">
        <v>55975</v>
      </c>
      <c r="K127">
        <v>9.61</v>
      </c>
    </row>
    <row r="128" spans="1:11" x14ac:dyDescent="0.2">
      <c r="A128" s="1" t="s">
        <v>212</v>
      </c>
      <c r="B128" s="1" t="s">
        <v>213</v>
      </c>
      <c r="C128">
        <v>28314</v>
      </c>
      <c r="D128">
        <v>31599</v>
      </c>
      <c r="E128" s="1" t="s">
        <v>754</v>
      </c>
      <c r="F128" s="1" t="s">
        <v>10</v>
      </c>
      <c r="G128">
        <v>208000</v>
      </c>
      <c r="H128">
        <v>4.4000000000000004</v>
      </c>
      <c r="I128">
        <v>79</v>
      </c>
      <c r="J128">
        <v>59357</v>
      </c>
      <c r="K128">
        <v>7.35</v>
      </c>
    </row>
    <row r="129" spans="1:11" x14ac:dyDescent="0.2">
      <c r="A129" s="1" t="s">
        <v>188</v>
      </c>
      <c r="B129" s="1" t="s">
        <v>189</v>
      </c>
      <c r="C129">
        <v>31591</v>
      </c>
      <c r="D129">
        <v>34419</v>
      </c>
      <c r="E129" s="1" t="s">
        <v>759</v>
      </c>
      <c r="F129" s="1" t="s">
        <v>10</v>
      </c>
      <c r="G129">
        <v>264000</v>
      </c>
      <c r="H129">
        <v>4.4000000000000004</v>
      </c>
      <c r="I129">
        <v>84</v>
      </c>
      <c r="J129">
        <v>63820</v>
      </c>
      <c r="K129">
        <v>8.36</v>
      </c>
    </row>
    <row r="130" spans="1:11" x14ac:dyDescent="0.2">
      <c r="A130" s="1" t="s">
        <v>322</v>
      </c>
      <c r="B130" s="1" t="s">
        <v>323</v>
      </c>
      <c r="C130">
        <v>32599</v>
      </c>
      <c r="D130">
        <v>50114</v>
      </c>
      <c r="E130" s="1" t="s">
        <v>755</v>
      </c>
      <c r="F130" s="1" t="s">
        <v>15</v>
      </c>
      <c r="G130">
        <v>385000</v>
      </c>
      <c r="H130">
        <v>4.4000000000000004</v>
      </c>
      <c r="I130">
        <v>80</v>
      </c>
      <c r="J130">
        <v>37667</v>
      </c>
      <c r="K130">
        <v>11.81</v>
      </c>
    </row>
    <row r="131" spans="1:11" x14ac:dyDescent="0.2">
      <c r="A131" s="1" t="s">
        <v>300</v>
      </c>
      <c r="B131" s="1" t="s">
        <v>301</v>
      </c>
      <c r="C131">
        <v>30125</v>
      </c>
      <c r="D131">
        <v>33476</v>
      </c>
      <c r="E131" s="1" t="s">
        <v>756</v>
      </c>
      <c r="F131" s="1" t="s">
        <v>15</v>
      </c>
      <c r="G131">
        <v>231000</v>
      </c>
      <c r="H131">
        <v>4.4000000000000004</v>
      </c>
      <c r="I131">
        <v>80</v>
      </c>
      <c r="J131">
        <v>60733</v>
      </c>
      <c r="K131">
        <v>7.67</v>
      </c>
    </row>
    <row r="132" spans="1:11" x14ac:dyDescent="0.2">
      <c r="A132" s="1" t="s">
        <v>240</v>
      </c>
      <c r="B132" s="1" t="s">
        <v>241</v>
      </c>
      <c r="C132">
        <v>31766</v>
      </c>
      <c r="D132">
        <v>35993</v>
      </c>
      <c r="E132" s="1" t="s">
        <v>757</v>
      </c>
      <c r="F132" s="1" t="s">
        <v>22</v>
      </c>
      <c r="G132">
        <v>292500</v>
      </c>
      <c r="H132">
        <v>4.4000000000000004</v>
      </c>
      <c r="I132">
        <v>82</v>
      </c>
      <c r="J132">
        <v>46728</v>
      </c>
      <c r="K132">
        <v>9.2100000000000009</v>
      </c>
    </row>
    <row r="133" spans="1:11" x14ac:dyDescent="0.2">
      <c r="A133" s="1" t="s">
        <v>583</v>
      </c>
      <c r="B133" s="1" t="s">
        <v>584</v>
      </c>
      <c r="C133">
        <v>33135</v>
      </c>
      <c r="D133">
        <v>38087</v>
      </c>
      <c r="E133" s="1" t="s">
        <v>758</v>
      </c>
      <c r="F133" s="1" t="s">
        <v>20</v>
      </c>
      <c r="G133">
        <v>280000</v>
      </c>
      <c r="H133">
        <v>4.4000000000000004</v>
      </c>
      <c r="I133">
        <v>83</v>
      </c>
      <c r="J133">
        <v>133556</v>
      </c>
      <c r="K133">
        <v>8.4499999999999993</v>
      </c>
    </row>
    <row r="134" spans="1:11" x14ac:dyDescent="0.2">
      <c r="A134" s="1" t="s">
        <v>196</v>
      </c>
      <c r="B134" s="1" t="s">
        <v>197</v>
      </c>
      <c r="C134">
        <v>27729</v>
      </c>
      <c r="D134">
        <v>30171</v>
      </c>
      <c r="E134" s="1" t="s">
        <v>766</v>
      </c>
      <c r="F134" s="1" t="s">
        <v>10</v>
      </c>
      <c r="G134">
        <v>210000</v>
      </c>
      <c r="H134">
        <v>4.3</v>
      </c>
      <c r="I134">
        <v>91</v>
      </c>
      <c r="J134">
        <v>35440</v>
      </c>
      <c r="K134">
        <v>7.57</v>
      </c>
    </row>
    <row r="135" spans="1:11" x14ac:dyDescent="0.2">
      <c r="A135" s="1" t="s">
        <v>198</v>
      </c>
      <c r="B135" s="1" t="s">
        <v>199</v>
      </c>
      <c r="C135">
        <v>26705</v>
      </c>
      <c r="D135">
        <v>29720</v>
      </c>
      <c r="E135" s="1" t="s">
        <v>795</v>
      </c>
      <c r="F135" s="1" t="s">
        <v>10</v>
      </c>
      <c r="G135">
        <v>219950</v>
      </c>
      <c r="H135">
        <v>4.0999999999999996</v>
      </c>
      <c r="I135">
        <v>120</v>
      </c>
      <c r="J135">
        <v>80891</v>
      </c>
      <c r="K135">
        <v>8.24</v>
      </c>
    </row>
    <row r="136" spans="1:11" x14ac:dyDescent="0.2">
      <c r="A136" s="1" t="s">
        <v>200</v>
      </c>
      <c r="B136" s="1" t="s">
        <v>201</v>
      </c>
      <c r="C136">
        <v>29824</v>
      </c>
      <c r="D136">
        <v>32167</v>
      </c>
      <c r="E136" s="1" t="s">
        <v>822</v>
      </c>
      <c r="F136" s="1" t="s">
        <v>10</v>
      </c>
      <c r="G136">
        <v>190000</v>
      </c>
      <c r="H136">
        <v>3.9</v>
      </c>
      <c r="I136">
        <v>146</v>
      </c>
      <c r="J136">
        <v>54089</v>
      </c>
      <c r="K136">
        <v>6.37</v>
      </c>
    </row>
    <row r="137" spans="1:11" x14ac:dyDescent="0.2">
      <c r="A137" s="1" t="s">
        <v>276</v>
      </c>
      <c r="B137" s="1" t="s">
        <v>277</v>
      </c>
      <c r="C137">
        <v>29113</v>
      </c>
      <c r="D137">
        <v>33951</v>
      </c>
      <c r="E137" s="1" t="s">
        <v>761</v>
      </c>
      <c r="F137" s="1" t="s">
        <v>22</v>
      </c>
      <c r="G137">
        <v>260000</v>
      </c>
      <c r="H137">
        <v>4.3</v>
      </c>
      <c r="I137">
        <v>86</v>
      </c>
      <c r="J137">
        <v>43417</v>
      </c>
      <c r="K137">
        <v>8.93</v>
      </c>
    </row>
    <row r="138" spans="1:11" x14ac:dyDescent="0.2">
      <c r="A138" s="1" t="s">
        <v>202</v>
      </c>
      <c r="B138" s="1" t="s">
        <v>203</v>
      </c>
      <c r="C138">
        <v>30585</v>
      </c>
      <c r="D138">
        <v>34928</v>
      </c>
      <c r="E138" s="1" t="s">
        <v>826</v>
      </c>
      <c r="F138" s="1" t="s">
        <v>10</v>
      </c>
      <c r="G138">
        <v>245000</v>
      </c>
      <c r="H138">
        <v>3.8</v>
      </c>
      <c r="I138">
        <v>150</v>
      </c>
      <c r="J138">
        <v>70226</v>
      </c>
      <c r="K138">
        <v>8.01</v>
      </c>
    </row>
    <row r="139" spans="1:11" x14ac:dyDescent="0.2">
      <c r="A139" s="1" t="s">
        <v>645</v>
      </c>
      <c r="B139" s="1" t="s">
        <v>646</v>
      </c>
      <c r="C139">
        <v>30709</v>
      </c>
      <c r="D139">
        <v>33269</v>
      </c>
      <c r="E139" s="1" t="s">
        <v>762</v>
      </c>
      <c r="F139" s="1" t="s">
        <v>21</v>
      </c>
      <c r="G139">
        <v>165000</v>
      </c>
      <c r="H139">
        <v>4.3</v>
      </c>
      <c r="I139">
        <v>87</v>
      </c>
      <c r="J139">
        <v>60258</v>
      </c>
      <c r="K139">
        <v>5.37</v>
      </c>
    </row>
    <row r="140" spans="1:11" x14ac:dyDescent="0.2">
      <c r="A140" s="1" t="s">
        <v>204</v>
      </c>
      <c r="B140" s="1" t="s">
        <v>205</v>
      </c>
      <c r="C140">
        <v>30196</v>
      </c>
      <c r="D140">
        <v>34626</v>
      </c>
      <c r="E140" s="1" t="s">
        <v>774</v>
      </c>
      <c r="F140" s="1" t="s">
        <v>10</v>
      </c>
      <c r="G140">
        <v>235000</v>
      </c>
      <c r="H140">
        <v>4.2</v>
      </c>
      <c r="I140">
        <v>98</v>
      </c>
      <c r="J140">
        <v>56150</v>
      </c>
      <c r="K140">
        <v>7.78</v>
      </c>
    </row>
    <row r="141" spans="1:11" x14ac:dyDescent="0.2">
      <c r="A141" s="1" t="s">
        <v>206</v>
      </c>
      <c r="B141" s="1" t="s">
        <v>207</v>
      </c>
      <c r="C141">
        <v>29071</v>
      </c>
      <c r="D141">
        <v>37654</v>
      </c>
      <c r="E141" s="1" t="s">
        <v>831</v>
      </c>
      <c r="F141" s="1" t="s">
        <v>10</v>
      </c>
      <c r="G141">
        <v>260000</v>
      </c>
      <c r="H141">
        <v>3.8</v>
      </c>
      <c r="I141">
        <v>156</v>
      </c>
      <c r="J141">
        <v>85761</v>
      </c>
      <c r="K141">
        <v>8.94</v>
      </c>
    </row>
    <row r="142" spans="1:11" x14ac:dyDescent="0.2">
      <c r="A142" s="1" t="s">
        <v>635</v>
      </c>
      <c r="B142" s="1" t="s">
        <v>636</v>
      </c>
      <c r="C142">
        <v>30275</v>
      </c>
      <c r="D142">
        <v>32061</v>
      </c>
      <c r="E142" s="1" t="s">
        <v>764</v>
      </c>
      <c r="F142" s="1" t="s">
        <v>21</v>
      </c>
      <c r="G142">
        <v>250000</v>
      </c>
      <c r="H142">
        <v>4.3</v>
      </c>
      <c r="I142">
        <v>89</v>
      </c>
      <c r="J142">
        <v>52887</v>
      </c>
      <c r="K142">
        <v>8.26</v>
      </c>
    </row>
    <row r="143" spans="1:11" x14ac:dyDescent="0.2">
      <c r="A143" s="1" t="s">
        <v>613</v>
      </c>
      <c r="B143" s="1" t="s">
        <v>614</v>
      </c>
      <c r="C143">
        <v>36589</v>
      </c>
      <c r="D143">
        <v>37511</v>
      </c>
      <c r="E143" s="1" t="s">
        <v>768</v>
      </c>
      <c r="F143" s="1" t="s">
        <v>20</v>
      </c>
      <c r="G143">
        <v>279000</v>
      </c>
      <c r="H143">
        <v>4.3</v>
      </c>
      <c r="I143">
        <v>93</v>
      </c>
      <c r="J143">
        <v>41778</v>
      </c>
      <c r="K143">
        <v>7.63</v>
      </c>
    </row>
    <row r="144" spans="1:11" x14ac:dyDescent="0.2">
      <c r="A144" s="1" t="s">
        <v>324</v>
      </c>
      <c r="B144" s="1" t="s">
        <v>325</v>
      </c>
      <c r="C144">
        <v>38107</v>
      </c>
      <c r="D144">
        <v>43996</v>
      </c>
      <c r="E144" s="1" t="s">
        <v>769</v>
      </c>
      <c r="F144" s="1" t="s">
        <v>15</v>
      </c>
      <c r="G144">
        <v>410000</v>
      </c>
      <c r="H144">
        <v>4.3</v>
      </c>
      <c r="I144">
        <v>94</v>
      </c>
      <c r="J144">
        <v>46814</v>
      </c>
      <c r="K144">
        <v>10.76</v>
      </c>
    </row>
    <row r="145" spans="1:11" x14ac:dyDescent="0.2">
      <c r="A145" s="1" t="s">
        <v>316</v>
      </c>
      <c r="B145" s="1" t="s">
        <v>317</v>
      </c>
      <c r="C145">
        <v>31589</v>
      </c>
      <c r="D145">
        <v>38945</v>
      </c>
      <c r="E145" s="1" t="s">
        <v>770</v>
      </c>
      <c r="F145" s="1" t="s">
        <v>15</v>
      </c>
      <c r="G145">
        <v>330000</v>
      </c>
      <c r="H145">
        <v>4.3</v>
      </c>
      <c r="I145">
        <v>95</v>
      </c>
      <c r="J145">
        <v>109467</v>
      </c>
      <c r="K145">
        <v>10.45</v>
      </c>
    </row>
    <row r="146" spans="1:11" x14ac:dyDescent="0.2">
      <c r="A146" s="1" t="s">
        <v>220</v>
      </c>
      <c r="B146" s="1" t="s">
        <v>221</v>
      </c>
      <c r="C146">
        <v>29806</v>
      </c>
      <c r="D146">
        <v>34695</v>
      </c>
      <c r="E146" s="1" t="s">
        <v>773</v>
      </c>
      <c r="F146" s="1" t="s">
        <v>10</v>
      </c>
      <c r="G146">
        <v>235000</v>
      </c>
      <c r="H146">
        <v>4.2</v>
      </c>
      <c r="I146">
        <v>98</v>
      </c>
      <c r="J146">
        <v>65755</v>
      </c>
      <c r="K146">
        <v>7.88</v>
      </c>
    </row>
    <row r="147" spans="1:11" x14ac:dyDescent="0.2">
      <c r="A147" s="1" t="s">
        <v>222</v>
      </c>
      <c r="B147" s="1" t="s">
        <v>223</v>
      </c>
      <c r="C147">
        <v>36705</v>
      </c>
      <c r="D147">
        <v>44322</v>
      </c>
      <c r="E147" s="1" t="s">
        <v>847</v>
      </c>
      <c r="F147" s="1" t="s">
        <v>10</v>
      </c>
      <c r="G147">
        <v>337500</v>
      </c>
      <c r="H147">
        <v>3.7</v>
      </c>
      <c r="I147">
        <v>172</v>
      </c>
      <c r="J147">
        <v>67801</v>
      </c>
      <c r="K147">
        <v>9.19</v>
      </c>
    </row>
    <row r="148" spans="1:11" x14ac:dyDescent="0.2">
      <c r="A148" s="1" t="s">
        <v>224</v>
      </c>
      <c r="B148" s="1" t="s">
        <v>225</v>
      </c>
      <c r="C148">
        <v>29361</v>
      </c>
      <c r="D148">
        <v>33451</v>
      </c>
      <c r="E148" s="1" t="s">
        <v>870</v>
      </c>
      <c r="F148" s="1" t="s">
        <v>22</v>
      </c>
      <c r="G148">
        <v>290000</v>
      </c>
      <c r="H148">
        <v>3.5</v>
      </c>
      <c r="I148">
        <v>195</v>
      </c>
      <c r="J148">
        <v>95303</v>
      </c>
      <c r="K148">
        <v>9.8800000000000008</v>
      </c>
    </row>
    <row r="149" spans="1:11" x14ac:dyDescent="0.2">
      <c r="A149" s="1" t="s">
        <v>228</v>
      </c>
      <c r="B149" s="1" t="s">
        <v>229</v>
      </c>
      <c r="C149">
        <v>31459</v>
      </c>
      <c r="D149">
        <v>34296</v>
      </c>
      <c r="E149" s="1" t="s">
        <v>786</v>
      </c>
      <c r="F149" s="1" t="s">
        <v>22</v>
      </c>
      <c r="G149">
        <v>228000</v>
      </c>
      <c r="H149">
        <v>4.0999999999999996</v>
      </c>
      <c r="I149">
        <v>111</v>
      </c>
      <c r="J149">
        <v>88577</v>
      </c>
      <c r="K149">
        <v>7.25</v>
      </c>
    </row>
    <row r="150" spans="1:11" x14ac:dyDescent="0.2">
      <c r="A150" s="1" t="s">
        <v>641</v>
      </c>
      <c r="B150" s="1" t="s">
        <v>642</v>
      </c>
      <c r="C150">
        <v>30774</v>
      </c>
      <c r="D150">
        <v>35003</v>
      </c>
      <c r="E150" s="1" t="s">
        <v>775</v>
      </c>
      <c r="F150" s="1" t="s">
        <v>21</v>
      </c>
      <c r="G150">
        <v>197000</v>
      </c>
      <c r="H150">
        <v>4.2</v>
      </c>
      <c r="I150">
        <v>100</v>
      </c>
      <c r="J150">
        <v>77902</v>
      </c>
      <c r="K150">
        <v>6.4</v>
      </c>
    </row>
    <row r="151" spans="1:11" x14ac:dyDescent="0.2">
      <c r="A151" s="1" t="s">
        <v>230</v>
      </c>
      <c r="B151" s="1" t="s">
        <v>231</v>
      </c>
      <c r="C151">
        <v>29603</v>
      </c>
      <c r="D151">
        <v>34822</v>
      </c>
      <c r="E151" s="1" t="s">
        <v>802</v>
      </c>
      <c r="F151" s="1" t="s">
        <v>22</v>
      </c>
      <c r="G151">
        <v>275000</v>
      </c>
      <c r="H151">
        <v>4</v>
      </c>
      <c r="I151">
        <v>127</v>
      </c>
      <c r="J151">
        <v>157878</v>
      </c>
      <c r="K151">
        <v>9.2899999999999991</v>
      </c>
    </row>
    <row r="152" spans="1:11" x14ac:dyDescent="0.2">
      <c r="A152" s="1" t="s">
        <v>343</v>
      </c>
      <c r="B152" s="1" t="s">
        <v>344</v>
      </c>
      <c r="C152">
        <v>35747</v>
      </c>
      <c r="D152">
        <v>40194</v>
      </c>
      <c r="E152" s="1" t="s">
        <v>776</v>
      </c>
      <c r="F152" s="1" t="s">
        <v>15</v>
      </c>
      <c r="G152">
        <v>345000</v>
      </c>
      <c r="H152">
        <v>4.2</v>
      </c>
      <c r="I152">
        <v>101</v>
      </c>
      <c r="J152">
        <v>40849</v>
      </c>
      <c r="K152">
        <v>9.65</v>
      </c>
    </row>
    <row r="153" spans="1:11" x14ac:dyDescent="0.2">
      <c r="A153" s="1" t="s">
        <v>485</v>
      </c>
      <c r="B153" s="1" t="s">
        <v>486</v>
      </c>
      <c r="C153">
        <v>34256</v>
      </c>
      <c r="D153">
        <v>36257</v>
      </c>
      <c r="E153" s="1" t="s">
        <v>777</v>
      </c>
      <c r="F153" s="1" t="s">
        <v>19</v>
      </c>
      <c r="G153">
        <v>253000</v>
      </c>
      <c r="H153">
        <v>4.2</v>
      </c>
      <c r="I153">
        <v>102</v>
      </c>
      <c r="J153">
        <v>50081</v>
      </c>
      <c r="K153">
        <v>7.39</v>
      </c>
    </row>
    <row r="154" spans="1:11" x14ac:dyDescent="0.2">
      <c r="A154" s="1" t="s">
        <v>234</v>
      </c>
      <c r="B154" s="1" t="s">
        <v>235</v>
      </c>
      <c r="C154">
        <v>31517</v>
      </c>
      <c r="D154">
        <v>36148</v>
      </c>
      <c r="E154" s="1" t="s">
        <v>800</v>
      </c>
      <c r="F154" s="1" t="s">
        <v>22</v>
      </c>
      <c r="G154">
        <v>238000</v>
      </c>
      <c r="H154">
        <v>4.0999999999999996</v>
      </c>
      <c r="I154">
        <v>125</v>
      </c>
      <c r="J154">
        <v>63021</v>
      </c>
      <c r="K154">
        <v>7.55</v>
      </c>
    </row>
    <row r="155" spans="1:11" x14ac:dyDescent="0.2">
      <c r="A155" s="1" t="s">
        <v>653</v>
      </c>
      <c r="B155" s="1" t="s">
        <v>654</v>
      </c>
      <c r="C155">
        <v>29802</v>
      </c>
      <c r="D155">
        <v>32316</v>
      </c>
      <c r="E155" s="1" t="s">
        <v>778</v>
      </c>
      <c r="F155" s="1" t="s">
        <v>21</v>
      </c>
      <c r="G155">
        <v>160000</v>
      </c>
      <c r="H155">
        <v>4.2</v>
      </c>
      <c r="I155">
        <v>103</v>
      </c>
      <c r="J155">
        <v>105534</v>
      </c>
      <c r="K155">
        <v>5.37</v>
      </c>
    </row>
    <row r="156" spans="1:11" x14ac:dyDescent="0.2">
      <c r="A156" s="1" t="s">
        <v>407</v>
      </c>
      <c r="B156" s="1" t="s">
        <v>408</v>
      </c>
      <c r="C156">
        <v>36883</v>
      </c>
      <c r="D156">
        <v>44762</v>
      </c>
      <c r="E156" s="1" t="s">
        <v>779</v>
      </c>
      <c r="F156" s="1" t="s">
        <v>16</v>
      </c>
      <c r="G156">
        <v>430000</v>
      </c>
      <c r="H156">
        <v>4.2</v>
      </c>
      <c r="I156">
        <v>104</v>
      </c>
      <c r="J156">
        <v>115274</v>
      </c>
      <c r="K156">
        <v>11.66</v>
      </c>
    </row>
    <row r="157" spans="1:11" x14ac:dyDescent="0.2">
      <c r="A157" s="1" t="s">
        <v>238</v>
      </c>
      <c r="B157" s="1" t="s">
        <v>239</v>
      </c>
      <c r="C157">
        <v>31205</v>
      </c>
      <c r="D157">
        <v>34909</v>
      </c>
      <c r="E157" s="1" t="s">
        <v>794</v>
      </c>
      <c r="F157" s="1" t="s">
        <v>22</v>
      </c>
      <c r="G157">
        <v>200000</v>
      </c>
      <c r="H157">
        <v>4.0999999999999996</v>
      </c>
      <c r="I157">
        <v>119</v>
      </c>
      <c r="J157">
        <v>57070</v>
      </c>
      <c r="K157">
        <v>6.41</v>
      </c>
    </row>
    <row r="158" spans="1:11" x14ac:dyDescent="0.2">
      <c r="A158" s="1" t="s">
        <v>503</v>
      </c>
      <c r="B158" s="1" t="s">
        <v>504</v>
      </c>
      <c r="C158">
        <v>36210</v>
      </c>
      <c r="D158">
        <v>43786</v>
      </c>
      <c r="E158" s="1" t="s">
        <v>781</v>
      </c>
      <c r="F158" s="1" t="s">
        <v>19</v>
      </c>
      <c r="G158">
        <v>381500</v>
      </c>
      <c r="H158">
        <v>4.2</v>
      </c>
      <c r="I158">
        <v>106</v>
      </c>
      <c r="J158">
        <v>59299</v>
      </c>
      <c r="K158">
        <v>10.54</v>
      </c>
    </row>
    <row r="159" spans="1:11" x14ac:dyDescent="0.2">
      <c r="A159" s="1" t="s">
        <v>242</v>
      </c>
      <c r="B159" s="1" t="s">
        <v>243</v>
      </c>
      <c r="C159">
        <v>33872</v>
      </c>
      <c r="D159">
        <v>39033</v>
      </c>
      <c r="E159" s="1" t="s">
        <v>836</v>
      </c>
      <c r="F159" s="1" t="s">
        <v>22</v>
      </c>
      <c r="G159">
        <v>260000</v>
      </c>
      <c r="H159">
        <v>3.8</v>
      </c>
      <c r="I159">
        <v>161</v>
      </c>
      <c r="J159">
        <v>69308</v>
      </c>
      <c r="K159">
        <v>7.68</v>
      </c>
    </row>
    <row r="160" spans="1:11" x14ac:dyDescent="0.2">
      <c r="A160" s="1" t="s">
        <v>505</v>
      </c>
      <c r="B160" s="1" t="s">
        <v>506</v>
      </c>
      <c r="C160">
        <v>33704</v>
      </c>
      <c r="D160">
        <v>37963</v>
      </c>
      <c r="E160" s="1" t="s">
        <v>782</v>
      </c>
      <c r="F160" s="1" t="s">
        <v>19</v>
      </c>
      <c r="G160">
        <v>293070</v>
      </c>
      <c r="H160">
        <v>4.2</v>
      </c>
      <c r="I160">
        <v>107</v>
      </c>
      <c r="J160">
        <v>62658</v>
      </c>
      <c r="K160">
        <v>8.6999999999999993</v>
      </c>
    </row>
    <row r="161" spans="1:11" x14ac:dyDescent="0.2">
      <c r="A161" s="1" t="s">
        <v>244</v>
      </c>
      <c r="B161" s="1" t="s">
        <v>245</v>
      </c>
      <c r="C161">
        <v>31065</v>
      </c>
      <c r="D161">
        <v>37398</v>
      </c>
      <c r="E161" s="1" t="s">
        <v>811</v>
      </c>
      <c r="F161" s="1" t="s">
        <v>22</v>
      </c>
      <c r="G161">
        <v>227000</v>
      </c>
      <c r="H161">
        <v>4</v>
      </c>
      <c r="I161">
        <v>136</v>
      </c>
      <c r="J161">
        <v>46976</v>
      </c>
      <c r="K161">
        <v>7.31</v>
      </c>
    </row>
    <row r="162" spans="1:11" x14ac:dyDescent="0.2">
      <c r="A162" s="1" t="s">
        <v>248</v>
      </c>
      <c r="B162" s="1" t="s">
        <v>249</v>
      </c>
      <c r="C162">
        <v>35067</v>
      </c>
      <c r="D162">
        <v>40257</v>
      </c>
      <c r="E162" s="1" t="s">
        <v>783</v>
      </c>
      <c r="F162" s="1" t="s">
        <v>22</v>
      </c>
      <c r="G162">
        <v>260000</v>
      </c>
      <c r="H162">
        <v>4.2</v>
      </c>
      <c r="I162">
        <v>108</v>
      </c>
      <c r="J162">
        <v>30284</v>
      </c>
      <c r="K162">
        <v>7.41</v>
      </c>
    </row>
    <row r="163" spans="1:11" x14ac:dyDescent="0.2">
      <c r="A163" s="1" t="s">
        <v>649</v>
      </c>
      <c r="B163" s="1" t="s">
        <v>650</v>
      </c>
      <c r="C163">
        <v>31410</v>
      </c>
      <c r="D163">
        <v>40189</v>
      </c>
      <c r="E163" s="1" t="s">
        <v>784</v>
      </c>
      <c r="F163" s="1" t="s">
        <v>21</v>
      </c>
      <c r="G163">
        <v>285000</v>
      </c>
      <c r="H163">
        <v>4.0999999999999996</v>
      </c>
      <c r="I163">
        <v>109</v>
      </c>
      <c r="J163">
        <v>70719</v>
      </c>
      <c r="K163">
        <v>9.07</v>
      </c>
    </row>
    <row r="164" spans="1:11" x14ac:dyDescent="0.2">
      <c r="A164" s="1" t="s">
        <v>284</v>
      </c>
      <c r="B164" s="1" t="s">
        <v>285</v>
      </c>
      <c r="C164">
        <v>35987</v>
      </c>
      <c r="D164">
        <v>44065</v>
      </c>
      <c r="E164" s="1" t="s">
        <v>785</v>
      </c>
      <c r="F164" s="1" t="s">
        <v>15</v>
      </c>
      <c r="G164">
        <v>345000</v>
      </c>
      <c r="H164">
        <v>4.0999999999999996</v>
      </c>
      <c r="I164">
        <v>110</v>
      </c>
      <c r="J164">
        <v>90904</v>
      </c>
      <c r="K164">
        <v>9.59</v>
      </c>
    </row>
    <row r="165" spans="1:11" x14ac:dyDescent="0.2">
      <c r="A165" s="1" t="s">
        <v>477</v>
      </c>
      <c r="B165" s="1" t="s">
        <v>478</v>
      </c>
      <c r="C165">
        <v>39279</v>
      </c>
      <c r="D165">
        <v>49677</v>
      </c>
      <c r="E165" s="1" t="s">
        <v>787</v>
      </c>
      <c r="F165" s="1" t="s">
        <v>19</v>
      </c>
      <c r="G165">
        <v>375000</v>
      </c>
      <c r="H165">
        <v>4.0999999999999996</v>
      </c>
      <c r="I165">
        <v>111</v>
      </c>
      <c r="J165">
        <v>98377</v>
      </c>
      <c r="K165">
        <v>9.5500000000000007</v>
      </c>
    </row>
    <row r="166" spans="1:11" x14ac:dyDescent="0.2">
      <c r="A166" s="1" t="s">
        <v>254</v>
      </c>
      <c r="B166" s="1" t="s">
        <v>255</v>
      </c>
      <c r="C166">
        <v>34847</v>
      </c>
      <c r="D166">
        <v>50938</v>
      </c>
      <c r="E166" s="1" t="s">
        <v>935</v>
      </c>
      <c r="F166" s="1" t="s">
        <v>22</v>
      </c>
      <c r="G166">
        <v>369975</v>
      </c>
      <c r="H166">
        <v>3</v>
      </c>
      <c r="I166">
        <v>260</v>
      </c>
      <c r="J166">
        <v>75271</v>
      </c>
      <c r="K166">
        <v>10.62</v>
      </c>
    </row>
    <row r="167" spans="1:11" x14ac:dyDescent="0.2">
      <c r="A167" s="1" t="s">
        <v>256</v>
      </c>
      <c r="B167" s="1" t="s">
        <v>257</v>
      </c>
      <c r="C167">
        <v>39797</v>
      </c>
      <c r="D167">
        <v>49679</v>
      </c>
      <c r="E167" s="1" t="s">
        <v>912</v>
      </c>
      <c r="F167" s="1" t="s">
        <v>22</v>
      </c>
      <c r="G167">
        <v>358000</v>
      </c>
      <c r="H167">
        <v>3.3</v>
      </c>
      <c r="I167">
        <v>237</v>
      </c>
      <c r="J167">
        <v>84769</v>
      </c>
      <c r="K167">
        <v>9</v>
      </c>
    </row>
    <row r="168" spans="1:11" x14ac:dyDescent="0.2">
      <c r="A168" s="1" t="s">
        <v>331</v>
      </c>
      <c r="B168" s="1" t="s">
        <v>332</v>
      </c>
      <c r="C168">
        <v>37283</v>
      </c>
      <c r="D168">
        <v>47463</v>
      </c>
      <c r="E168" s="1" t="s">
        <v>789</v>
      </c>
      <c r="F168" s="1" t="s">
        <v>15</v>
      </c>
      <c r="G168">
        <v>435000</v>
      </c>
      <c r="H168">
        <v>4.0999999999999996</v>
      </c>
      <c r="I168">
        <v>111</v>
      </c>
      <c r="J168">
        <v>53434</v>
      </c>
      <c r="K168">
        <v>11.67</v>
      </c>
    </row>
    <row r="169" spans="1:11" x14ac:dyDescent="0.2">
      <c r="A169" s="1" t="s">
        <v>308</v>
      </c>
      <c r="B169" s="1" t="s">
        <v>309</v>
      </c>
      <c r="C169">
        <v>34546</v>
      </c>
      <c r="D169">
        <v>37489</v>
      </c>
      <c r="E169" s="1" t="s">
        <v>790</v>
      </c>
      <c r="F169" s="1" t="s">
        <v>15</v>
      </c>
      <c r="G169">
        <v>345000</v>
      </c>
      <c r="H169">
        <v>4.0999999999999996</v>
      </c>
      <c r="I169">
        <v>111</v>
      </c>
      <c r="J169">
        <v>88459</v>
      </c>
      <c r="K169">
        <v>9.99</v>
      </c>
    </row>
    <row r="170" spans="1:11" x14ac:dyDescent="0.2">
      <c r="A170" s="1" t="s">
        <v>367</v>
      </c>
      <c r="B170" s="1" t="s">
        <v>368</v>
      </c>
      <c r="C170">
        <v>30928</v>
      </c>
      <c r="D170">
        <v>35909</v>
      </c>
      <c r="E170" s="1" t="s">
        <v>791</v>
      </c>
      <c r="F170" s="1" t="s">
        <v>15</v>
      </c>
      <c r="G170">
        <v>235000</v>
      </c>
      <c r="H170">
        <v>4.0999999999999996</v>
      </c>
      <c r="I170">
        <v>116</v>
      </c>
      <c r="J170">
        <v>69971</v>
      </c>
      <c r="K170">
        <v>7.6</v>
      </c>
    </row>
    <row r="171" spans="1:11" x14ac:dyDescent="0.2">
      <c r="A171" s="1" t="s">
        <v>266</v>
      </c>
      <c r="B171" s="1" t="s">
        <v>267</v>
      </c>
      <c r="C171">
        <v>36672</v>
      </c>
      <c r="D171">
        <v>45884</v>
      </c>
      <c r="E171" s="1" t="s">
        <v>916</v>
      </c>
      <c r="F171" s="1" t="s">
        <v>22</v>
      </c>
      <c r="G171">
        <v>330000</v>
      </c>
      <c r="H171">
        <v>3.2</v>
      </c>
      <c r="I171">
        <v>240</v>
      </c>
      <c r="J171">
        <v>107045</v>
      </c>
      <c r="K171">
        <v>9</v>
      </c>
    </row>
    <row r="172" spans="1:11" x14ac:dyDescent="0.2">
      <c r="A172" s="1" t="s">
        <v>272</v>
      </c>
      <c r="B172" s="1" t="s">
        <v>273</v>
      </c>
      <c r="C172">
        <v>36409</v>
      </c>
      <c r="D172">
        <v>44103</v>
      </c>
      <c r="E172" s="1" t="s">
        <v>888</v>
      </c>
      <c r="F172" s="1" t="s">
        <v>22</v>
      </c>
      <c r="G172">
        <v>343000</v>
      </c>
      <c r="H172">
        <v>3.4</v>
      </c>
      <c r="I172">
        <v>211</v>
      </c>
      <c r="J172">
        <v>50918</v>
      </c>
      <c r="K172">
        <v>9.42</v>
      </c>
    </row>
    <row r="173" spans="1:11" x14ac:dyDescent="0.2">
      <c r="A173" s="1" t="s">
        <v>274</v>
      </c>
      <c r="B173" s="1" t="s">
        <v>275</v>
      </c>
      <c r="C173">
        <v>28167</v>
      </c>
      <c r="D173">
        <v>33112</v>
      </c>
      <c r="E173" s="1" t="s">
        <v>823</v>
      </c>
      <c r="F173" s="1" t="s">
        <v>22</v>
      </c>
      <c r="G173">
        <v>330000</v>
      </c>
      <c r="H173">
        <v>3.9</v>
      </c>
      <c r="I173">
        <v>148</v>
      </c>
      <c r="J173">
        <v>38436</v>
      </c>
      <c r="K173">
        <v>11.72</v>
      </c>
    </row>
    <row r="174" spans="1:11" x14ac:dyDescent="0.2">
      <c r="A174" s="1" t="s">
        <v>663</v>
      </c>
      <c r="B174" s="1" t="s">
        <v>664</v>
      </c>
      <c r="C174">
        <v>35020</v>
      </c>
      <c r="D174">
        <v>42135</v>
      </c>
      <c r="E174" s="1" t="s">
        <v>798</v>
      </c>
      <c r="F174" s="1" t="s">
        <v>21</v>
      </c>
      <c r="G174">
        <v>313000</v>
      </c>
      <c r="H174">
        <v>4.0999999999999996</v>
      </c>
      <c r="I174">
        <v>122</v>
      </c>
      <c r="J174">
        <v>45515</v>
      </c>
      <c r="K174">
        <v>8.94</v>
      </c>
    </row>
    <row r="175" spans="1:11" x14ac:dyDescent="0.2">
      <c r="A175" s="1" t="s">
        <v>302</v>
      </c>
      <c r="B175" s="1" t="s">
        <v>303</v>
      </c>
      <c r="C175">
        <v>33375</v>
      </c>
      <c r="D175">
        <v>39695</v>
      </c>
      <c r="E175" s="1" t="s">
        <v>799</v>
      </c>
      <c r="F175" s="1" t="s">
        <v>15</v>
      </c>
      <c r="G175">
        <v>320000</v>
      </c>
      <c r="H175">
        <v>4.0999999999999996</v>
      </c>
      <c r="I175">
        <v>124</v>
      </c>
      <c r="J175">
        <v>108174</v>
      </c>
      <c r="K175">
        <v>9.59</v>
      </c>
    </row>
    <row r="176" spans="1:11" x14ac:dyDescent="0.2">
      <c r="A176" s="1" t="s">
        <v>278</v>
      </c>
      <c r="B176" s="1" t="s">
        <v>279</v>
      </c>
      <c r="C176">
        <v>32997</v>
      </c>
      <c r="D176">
        <v>38202</v>
      </c>
      <c r="E176" s="1" t="s">
        <v>854</v>
      </c>
      <c r="F176" s="1" t="s">
        <v>22</v>
      </c>
      <c r="G176">
        <v>258000</v>
      </c>
      <c r="H176">
        <v>3.6</v>
      </c>
      <c r="I176">
        <v>179</v>
      </c>
      <c r="J176">
        <v>59439</v>
      </c>
      <c r="K176">
        <v>7.82</v>
      </c>
    </row>
    <row r="177" spans="1:11" x14ac:dyDescent="0.2">
      <c r="A177" s="1" t="s">
        <v>280</v>
      </c>
      <c r="B177" s="1" t="s">
        <v>281</v>
      </c>
      <c r="C177">
        <v>29661</v>
      </c>
      <c r="D177">
        <v>35405</v>
      </c>
      <c r="E177" s="1" t="s">
        <v>893</v>
      </c>
      <c r="F177" s="1" t="s">
        <v>22</v>
      </c>
      <c r="G177">
        <v>325000</v>
      </c>
      <c r="H177">
        <v>3.4</v>
      </c>
      <c r="I177">
        <v>218</v>
      </c>
      <c r="J177">
        <v>67260</v>
      </c>
      <c r="K177">
        <v>10.96</v>
      </c>
    </row>
    <row r="178" spans="1:11" x14ac:dyDescent="0.2">
      <c r="A178" s="1" t="s">
        <v>451</v>
      </c>
      <c r="B178" s="1" t="s">
        <v>452</v>
      </c>
      <c r="C178">
        <v>36061</v>
      </c>
      <c r="D178">
        <v>43295</v>
      </c>
      <c r="E178" s="1" t="s">
        <v>801</v>
      </c>
      <c r="F178" s="1" t="s">
        <v>19</v>
      </c>
      <c r="G178">
        <v>345000</v>
      </c>
      <c r="H178">
        <v>4</v>
      </c>
      <c r="I178">
        <v>126</v>
      </c>
      <c r="J178">
        <v>156090</v>
      </c>
      <c r="K178">
        <v>9.57</v>
      </c>
    </row>
    <row r="179" spans="1:11" x14ac:dyDescent="0.2">
      <c r="A179" s="1" t="s">
        <v>627</v>
      </c>
      <c r="B179" s="1" t="s">
        <v>628</v>
      </c>
      <c r="C179">
        <v>28113</v>
      </c>
      <c r="D179">
        <v>33674</v>
      </c>
      <c r="E179" s="1" t="s">
        <v>803</v>
      </c>
      <c r="F179" s="1" t="s">
        <v>21</v>
      </c>
      <c r="G179">
        <v>216975</v>
      </c>
      <c r="H179">
        <v>4</v>
      </c>
      <c r="I179">
        <v>128</v>
      </c>
      <c r="J179">
        <v>64257</v>
      </c>
      <c r="K179">
        <v>7.72</v>
      </c>
    </row>
    <row r="180" spans="1:11" x14ac:dyDescent="0.2">
      <c r="A180" s="1" t="s">
        <v>286</v>
      </c>
      <c r="B180" s="1" t="s">
        <v>287</v>
      </c>
      <c r="C180">
        <v>36622</v>
      </c>
      <c r="D180">
        <v>42115</v>
      </c>
      <c r="E180" s="1" t="s">
        <v>805</v>
      </c>
      <c r="F180" s="1" t="s">
        <v>15</v>
      </c>
      <c r="G180">
        <v>365000</v>
      </c>
      <c r="H180">
        <v>4</v>
      </c>
      <c r="I180">
        <v>130</v>
      </c>
      <c r="J180">
        <v>170108</v>
      </c>
      <c r="K180">
        <v>9.9700000000000006</v>
      </c>
    </row>
    <row r="181" spans="1:11" x14ac:dyDescent="0.2">
      <c r="A181" s="1" t="s">
        <v>453</v>
      </c>
      <c r="B181" s="1" t="s">
        <v>454</v>
      </c>
      <c r="C181">
        <v>30962</v>
      </c>
      <c r="D181">
        <v>38637</v>
      </c>
      <c r="E181" s="1" t="s">
        <v>804</v>
      </c>
      <c r="F181" s="1" t="s">
        <v>19</v>
      </c>
      <c r="G181">
        <v>258250</v>
      </c>
      <c r="H181">
        <v>4</v>
      </c>
      <c r="I181">
        <v>129</v>
      </c>
      <c r="J181">
        <v>111577</v>
      </c>
      <c r="K181">
        <v>8.34</v>
      </c>
    </row>
    <row r="182" spans="1:11" x14ac:dyDescent="0.2">
      <c r="A182" s="1" t="s">
        <v>314</v>
      </c>
      <c r="B182" s="1" t="s">
        <v>315</v>
      </c>
      <c r="C182">
        <v>35791</v>
      </c>
      <c r="D182">
        <v>46329</v>
      </c>
      <c r="E182" s="1" t="s">
        <v>806</v>
      </c>
      <c r="F182" s="1" t="s">
        <v>15</v>
      </c>
      <c r="G182">
        <v>408000</v>
      </c>
      <c r="H182">
        <v>4</v>
      </c>
      <c r="I182">
        <v>131</v>
      </c>
      <c r="J182">
        <v>97251</v>
      </c>
      <c r="K182">
        <v>11.4</v>
      </c>
    </row>
    <row r="183" spans="1:11" x14ac:dyDescent="0.2">
      <c r="A183" s="1" t="s">
        <v>499</v>
      </c>
      <c r="B183" s="1" t="s">
        <v>500</v>
      </c>
      <c r="C183">
        <v>32991</v>
      </c>
      <c r="D183">
        <v>39399</v>
      </c>
      <c r="E183" s="1" t="s">
        <v>807</v>
      </c>
      <c r="F183" s="1" t="s">
        <v>19</v>
      </c>
      <c r="G183">
        <v>345000</v>
      </c>
      <c r="H183">
        <v>4</v>
      </c>
      <c r="I183">
        <v>132</v>
      </c>
      <c r="J183">
        <v>69182</v>
      </c>
      <c r="K183">
        <v>10.46</v>
      </c>
    </row>
    <row r="184" spans="1:11" x14ac:dyDescent="0.2">
      <c r="A184" s="1" t="s">
        <v>351</v>
      </c>
      <c r="B184" s="1" t="s">
        <v>352</v>
      </c>
      <c r="C184">
        <v>28930</v>
      </c>
      <c r="D184">
        <v>30532</v>
      </c>
      <c r="E184" s="1" t="s">
        <v>808</v>
      </c>
      <c r="F184" s="1" t="s">
        <v>15</v>
      </c>
      <c r="G184">
        <v>270000</v>
      </c>
      <c r="H184">
        <v>4</v>
      </c>
      <c r="I184">
        <v>133</v>
      </c>
      <c r="J184">
        <v>78844</v>
      </c>
      <c r="K184">
        <v>9.33</v>
      </c>
    </row>
    <row r="185" spans="1:11" x14ac:dyDescent="0.2">
      <c r="A185" s="1" t="s">
        <v>296</v>
      </c>
      <c r="B185" s="1" t="s">
        <v>297</v>
      </c>
      <c r="C185">
        <v>38711</v>
      </c>
      <c r="D185">
        <v>51653</v>
      </c>
      <c r="E185" s="1" t="s">
        <v>980</v>
      </c>
      <c r="F185" s="1" t="s">
        <v>15</v>
      </c>
      <c r="G185">
        <v>492500</v>
      </c>
      <c r="H185">
        <v>2</v>
      </c>
      <c r="I185">
        <v>305</v>
      </c>
      <c r="J185">
        <v>53041</v>
      </c>
      <c r="K185">
        <v>12.72</v>
      </c>
    </row>
    <row r="186" spans="1:11" x14ac:dyDescent="0.2">
      <c r="A186" s="1" t="s">
        <v>629</v>
      </c>
      <c r="B186" s="1" t="s">
        <v>630</v>
      </c>
      <c r="C186">
        <v>26812</v>
      </c>
      <c r="D186">
        <v>29976</v>
      </c>
      <c r="E186" s="1" t="s">
        <v>809</v>
      </c>
      <c r="F186" s="1" t="s">
        <v>21</v>
      </c>
      <c r="G186">
        <v>199950</v>
      </c>
      <c r="H186">
        <v>4</v>
      </c>
      <c r="I186">
        <v>134</v>
      </c>
      <c r="J186">
        <v>47291</v>
      </c>
      <c r="K186">
        <v>7.46</v>
      </c>
    </row>
    <row r="187" spans="1:11" x14ac:dyDescent="0.2">
      <c r="A187" s="1" t="s">
        <v>298</v>
      </c>
      <c r="B187" s="1" t="s">
        <v>299</v>
      </c>
      <c r="C187">
        <v>34311</v>
      </c>
      <c r="D187">
        <v>50562</v>
      </c>
      <c r="E187" s="1" t="s">
        <v>845</v>
      </c>
      <c r="F187" s="1" t="s">
        <v>15</v>
      </c>
      <c r="G187">
        <v>344500</v>
      </c>
      <c r="H187">
        <v>3.7</v>
      </c>
      <c r="I187">
        <v>170</v>
      </c>
      <c r="J187">
        <v>49724</v>
      </c>
      <c r="K187">
        <v>10.039999999999999</v>
      </c>
    </row>
    <row r="188" spans="1:11" x14ac:dyDescent="0.2">
      <c r="A188" s="1" t="s">
        <v>569</v>
      </c>
      <c r="B188" s="1" t="s">
        <v>570</v>
      </c>
      <c r="C188">
        <v>32481</v>
      </c>
      <c r="D188">
        <v>43277</v>
      </c>
      <c r="E188" s="1" t="s">
        <v>810</v>
      </c>
      <c r="F188" s="1" t="s">
        <v>20</v>
      </c>
      <c r="G188">
        <v>398000</v>
      </c>
      <c r="H188">
        <v>4</v>
      </c>
      <c r="I188">
        <v>135</v>
      </c>
      <c r="J188">
        <v>96002</v>
      </c>
      <c r="K188">
        <v>12.25</v>
      </c>
    </row>
    <row r="189" spans="1:11" x14ac:dyDescent="0.2">
      <c r="A189" s="1" t="s">
        <v>304</v>
      </c>
      <c r="B189" s="1" t="s">
        <v>305</v>
      </c>
      <c r="C189">
        <v>42690</v>
      </c>
      <c r="D189">
        <v>58265</v>
      </c>
      <c r="E189" s="1" t="s">
        <v>923</v>
      </c>
      <c r="F189" s="1" t="s">
        <v>15</v>
      </c>
      <c r="G189">
        <v>437000</v>
      </c>
      <c r="H189">
        <v>3.2</v>
      </c>
      <c r="I189">
        <v>248</v>
      </c>
      <c r="J189">
        <v>81817</v>
      </c>
      <c r="K189">
        <v>10.24</v>
      </c>
    </row>
    <row r="190" spans="1:11" x14ac:dyDescent="0.2">
      <c r="A190" s="1" t="s">
        <v>320</v>
      </c>
      <c r="B190" s="1" t="s">
        <v>321</v>
      </c>
      <c r="C190">
        <v>30654</v>
      </c>
      <c r="D190">
        <v>37267</v>
      </c>
      <c r="E190" s="1" t="s">
        <v>813</v>
      </c>
      <c r="F190" s="1" t="s">
        <v>15</v>
      </c>
      <c r="G190">
        <v>335000</v>
      </c>
      <c r="H190">
        <v>3.9</v>
      </c>
      <c r="I190">
        <v>138</v>
      </c>
      <c r="J190">
        <v>42984</v>
      </c>
      <c r="K190">
        <v>10.93</v>
      </c>
    </row>
    <row r="191" spans="1:11" x14ac:dyDescent="0.2">
      <c r="A191" s="1" t="s">
        <v>312</v>
      </c>
      <c r="B191" s="1" t="s">
        <v>313</v>
      </c>
      <c r="C191">
        <v>35975</v>
      </c>
      <c r="D191">
        <v>42637</v>
      </c>
      <c r="E191" s="1" t="s">
        <v>814</v>
      </c>
      <c r="F191" s="1" t="s">
        <v>15</v>
      </c>
      <c r="G191">
        <v>365000</v>
      </c>
      <c r="H191">
        <v>3.9</v>
      </c>
      <c r="I191">
        <v>139</v>
      </c>
      <c r="J191">
        <v>48480</v>
      </c>
      <c r="K191">
        <v>10.15</v>
      </c>
    </row>
    <row r="192" spans="1:11" x14ac:dyDescent="0.2">
      <c r="A192" s="1" t="s">
        <v>310</v>
      </c>
      <c r="B192" s="1" t="s">
        <v>311</v>
      </c>
      <c r="C192">
        <v>39864</v>
      </c>
      <c r="D192">
        <v>57200</v>
      </c>
      <c r="E192" s="1" t="s">
        <v>815</v>
      </c>
      <c r="F192" s="1" t="s">
        <v>15</v>
      </c>
      <c r="G192">
        <v>500000</v>
      </c>
      <c r="H192">
        <v>3.9</v>
      </c>
      <c r="I192">
        <v>140</v>
      </c>
      <c r="J192">
        <v>43797</v>
      </c>
      <c r="K192">
        <v>12.54</v>
      </c>
    </row>
    <row r="193" spans="1:11" x14ac:dyDescent="0.2">
      <c r="A193" s="1" t="s">
        <v>355</v>
      </c>
      <c r="B193" s="1" t="s">
        <v>356</v>
      </c>
      <c r="C193">
        <v>28808</v>
      </c>
      <c r="D193">
        <v>31828</v>
      </c>
      <c r="E193" s="1" t="s">
        <v>818</v>
      </c>
      <c r="F193" s="1" t="s">
        <v>15</v>
      </c>
      <c r="G193">
        <v>220000</v>
      </c>
      <c r="H193">
        <v>3.9</v>
      </c>
      <c r="I193">
        <v>143</v>
      </c>
      <c r="J193">
        <v>54082</v>
      </c>
      <c r="K193">
        <v>7.64</v>
      </c>
    </row>
    <row r="194" spans="1:11" x14ac:dyDescent="0.2">
      <c r="A194" s="1" t="s">
        <v>617</v>
      </c>
      <c r="B194" s="1" t="s">
        <v>618</v>
      </c>
      <c r="C194">
        <v>33495</v>
      </c>
      <c r="D194">
        <v>36741</v>
      </c>
      <c r="E194" s="1" t="s">
        <v>819</v>
      </c>
      <c r="F194" s="1" t="s">
        <v>20</v>
      </c>
      <c r="G194">
        <v>330000</v>
      </c>
      <c r="H194">
        <v>3.9</v>
      </c>
      <c r="I194">
        <v>144</v>
      </c>
      <c r="J194">
        <v>64693</v>
      </c>
      <c r="K194">
        <v>9.85</v>
      </c>
    </row>
    <row r="195" spans="1:11" x14ac:dyDescent="0.2">
      <c r="A195" s="1" t="s">
        <v>318</v>
      </c>
      <c r="B195" s="1" t="s">
        <v>319</v>
      </c>
      <c r="C195">
        <v>38171</v>
      </c>
      <c r="D195">
        <v>51841</v>
      </c>
      <c r="E195" s="1" t="s">
        <v>930</v>
      </c>
      <c r="F195" s="1" t="s">
        <v>15</v>
      </c>
      <c r="G195">
        <v>515000</v>
      </c>
      <c r="H195">
        <v>3.1</v>
      </c>
      <c r="I195">
        <v>255</v>
      </c>
      <c r="J195">
        <v>69755</v>
      </c>
      <c r="K195">
        <v>13.49</v>
      </c>
    </row>
    <row r="196" spans="1:11" x14ac:dyDescent="0.2">
      <c r="A196" s="1" t="s">
        <v>577</v>
      </c>
      <c r="B196" s="1" t="s">
        <v>578</v>
      </c>
      <c r="C196">
        <v>32996</v>
      </c>
      <c r="D196">
        <v>38742</v>
      </c>
      <c r="E196" s="1" t="s">
        <v>820</v>
      </c>
      <c r="F196" s="1" t="s">
        <v>20</v>
      </c>
      <c r="G196">
        <v>315000</v>
      </c>
      <c r="H196">
        <v>3.9</v>
      </c>
      <c r="I196">
        <v>145</v>
      </c>
      <c r="J196">
        <v>135113</v>
      </c>
      <c r="K196">
        <v>9.5500000000000007</v>
      </c>
    </row>
    <row r="197" spans="1:11" x14ac:dyDescent="0.2">
      <c r="A197" s="1" t="s">
        <v>621</v>
      </c>
      <c r="B197" s="1" t="s">
        <v>622</v>
      </c>
      <c r="C197">
        <v>29908</v>
      </c>
      <c r="D197">
        <v>34571</v>
      </c>
      <c r="E197" s="1" t="s">
        <v>821</v>
      </c>
      <c r="F197" s="1" t="s">
        <v>20</v>
      </c>
      <c r="G197">
        <v>285000</v>
      </c>
      <c r="H197">
        <v>3.9</v>
      </c>
      <c r="I197">
        <v>146</v>
      </c>
      <c r="J197">
        <v>320693</v>
      </c>
      <c r="K197">
        <v>9.5299999999999994</v>
      </c>
    </row>
    <row r="198" spans="1:11" x14ac:dyDescent="0.2">
      <c r="A198" s="1" t="s">
        <v>509</v>
      </c>
      <c r="B198" s="1" t="s">
        <v>510</v>
      </c>
      <c r="C198">
        <v>34151</v>
      </c>
      <c r="D198">
        <v>40535</v>
      </c>
      <c r="E198" s="1" t="s">
        <v>824</v>
      </c>
      <c r="F198" s="1" t="s">
        <v>19</v>
      </c>
      <c r="G198">
        <v>365000</v>
      </c>
      <c r="H198">
        <v>3.9</v>
      </c>
      <c r="I198">
        <v>149</v>
      </c>
      <c r="J198">
        <v>89385</v>
      </c>
      <c r="K198">
        <v>10.69</v>
      </c>
    </row>
    <row r="199" spans="1:11" x14ac:dyDescent="0.2">
      <c r="A199" s="1" t="s">
        <v>328</v>
      </c>
      <c r="B199" s="1" t="s">
        <v>329</v>
      </c>
      <c r="C199">
        <v>41006</v>
      </c>
      <c r="D199" t="s">
        <v>330</v>
      </c>
      <c r="E199" s="1" t="s">
        <v>920</v>
      </c>
      <c r="F199" s="1" t="s">
        <v>15</v>
      </c>
      <c r="G199">
        <v>467225</v>
      </c>
      <c r="H199">
        <v>3.2</v>
      </c>
      <c r="I199">
        <v>245</v>
      </c>
      <c r="J199">
        <v>47594</v>
      </c>
      <c r="K199">
        <v>11.39</v>
      </c>
    </row>
    <row r="200" spans="1:11" x14ac:dyDescent="0.2">
      <c r="A200" s="1" t="s">
        <v>339</v>
      </c>
      <c r="B200" s="1" t="s">
        <v>340</v>
      </c>
      <c r="C200">
        <v>42703</v>
      </c>
      <c r="D200">
        <v>51433</v>
      </c>
      <c r="E200" s="1" t="s">
        <v>825</v>
      </c>
      <c r="F200" s="1" t="s">
        <v>15</v>
      </c>
      <c r="G200">
        <v>420000</v>
      </c>
      <c r="H200">
        <v>3.8</v>
      </c>
      <c r="I200">
        <v>150</v>
      </c>
      <c r="J200">
        <v>72476</v>
      </c>
      <c r="K200">
        <v>9.84</v>
      </c>
    </row>
    <row r="201" spans="1:11" x14ac:dyDescent="0.2">
      <c r="A201" s="1" t="s">
        <v>333</v>
      </c>
      <c r="B201" s="1" t="s">
        <v>334</v>
      </c>
      <c r="C201">
        <v>36473</v>
      </c>
      <c r="D201">
        <v>48213</v>
      </c>
      <c r="E201" s="1" t="s">
        <v>898</v>
      </c>
      <c r="F201" s="1" t="s">
        <v>15</v>
      </c>
      <c r="G201">
        <v>452000</v>
      </c>
      <c r="H201">
        <v>3.4</v>
      </c>
      <c r="I201">
        <v>223</v>
      </c>
      <c r="J201">
        <v>81654</v>
      </c>
      <c r="K201">
        <v>12.39</v>
      </c>
    </row>
    <row r="202" spans="1:11" x14ac:dyDescent="0.2">
      <c r="A202" s="1" t="s">
        <v>369</v>
      </c>
      <c r="B202" s="1" t="s">
        <v>370</v>
      </c>
      <c r="C202">
        <v>31507</v>
      </c>
      <c r="D202">
        <v>38259</v>
      </c>
      <c r="E202" s="1" t="s">
        <v>827</v>
      </c>
      <c r="F202" s="1" t="s">
        <v>15</v>
      </c>
      <c r="G202">
        <v>313500</v>
      </c>
      <c r="H202">
        <v>3.8</v>
      </c>
      <c r="I202">
        <v>152</v>
      </c>
      <c r="J202">
        <v>58881</v>
      </c>
      <c r="K202">
        <v>9.9499999999999993</v>
      </c>
    </row>
    <row r="203" spans="1:11" x14ac:dyDescent="0.2">
      <c r="A203" s="1" t="s">
        <v>335</v>
      </c>
      <c r="B203" s="1" t="s">
        <v>336</v>
      </c>
      <c r="C203">
        <v>44154</v>
      </c>
      <c r="D203" t="s">
        <v>330</v>
      </c>
      <c r="E203" s="1" t="s">
        <v>913</v>
      </c>
      <c r="F203" s="1" t="s">
        <v>15</v>
      </c>
      <c r="G203">
        <v>450000</v>
      </c>
      <c r="H203">
        <v>3.2</v>
      </c>
      <c r="I203">
        <v>238</v>
      </c>
      <c r="J203">
        <v>89749</v>
      </c>
      <c r="K203">
        <v>10.19</v>
      </c>
    </row>
    <row r="204" spans="1:11" x14ac:dyDescent="0.2">
      <c r="A204" s="1" t="s">
        <v>433</v>
      </c>
      <c r="B204" s="1" t="s">
        <v>434</v>
      </c>
      <c r="C204">
        <v>37190</v>
      </c>
      <c r="D204">
        <v>45882</v>
      </c>
      <c r="E204" s="1" t="s">
        <v>828</v>
      </c>
      <c r="F204" s="1" t="s">
        <v>16</v>
      </c>
      <c r="G204">
        <v>510000</v>
      </c>
      <c r="H204">
        <v>3.8</v>
      </c>
      <c r="I204">
        <v>153</v>
      </c>
      <c r="J204">
        <v>115472</v>
      </c>
      <c r="K204">
        <v>13.71</v>
      </c>
    </row>
    <row r="205" spans="1:11" x14ac:dyDescent="0.2">
      <c r="A205" s="1" t="s">
        <v>337</v>
      </c>
      <c r="B205" s="1" t="s">
        <v>338</v>
      </c>
      <c r="C205">
        <v>36159</v>
      </c>
      <c r="D205">
        <v>54508</v>
      </c>
      <c r="E205" s="1" t="s">
        <v>861</v>
      </c>
      <c r="F205" s="1" t="s">
        <v>15</v>
      </c>
      <c r="G205">
        <v>560000</v>
      </c>
      <c r="H205">
        <v>3.6</v>
      </c>
      <c r="I205">
        <v>186</v>
      </c>
      <c r="J205">
        <v>51387</v>
      </c>
      <c r="K205">
        <v>15.49</v>
      </c>
    </row>
    <row r="206" spans="1:11" x14ac:dyDescent="0.2">
      <c r="A206" s="1" t="s">
        <v>581</v>
      </c>
      <c r="B206" s="1" t="s">
        <v>582</v>
      </c>
      <c r="C206">
        <v>35002</v>
      </c>
      <c r="D206">
        <v>38727</v>
      </c>
      <c r="E206" s="1" t="s">
        <v>830</v>
      </c>
      <c r="F206" s="1" t="s">
        <v>20</v>
      </c>
      <c r="G206">
        <v>335000</v>
      </c>
      <c r="H206">
        <v>3.8</v>
      </c>
      <c r="I206">
        <v>155</v>
      </c>
      <c r="J206">
        <v>153718</v>
      </c>
      <c r="K206">
        <v>9.57</v>
      </c>
    </row>
    <row r="207" spans="1:11" x14ac:dyDescent="0.2">
      <c r="A207" s="1" t="s">
        <v>341</v>
      </c>
      <c r="B207" s="1" t="s">
        <v>342</v>
      </c>
      <c r="C207">
        <v>45543</v>
      </c>
      <c r="D207">
        <v>68368</v>
      </c>
      <c r="E207" s="1" t="s">
        <v>910</v>
      </c>
      <c r="F207" s="1" t="s">
        <v>15</v>
      </c>
      <c r="G207">
        <v>620000</v>
      </c>
      <c r="H207">
        <v>3.3</v>
      </c>
      <c r="I207">
        <v>235</v>
      </c>
      <c r="J207">
        <v>83122</v>
      </c>
      <c r="K207">
        <v>13.61</v>
      </c>
    </row>
    <row r="208" spans="1:11" x14ac:dyDescent="0.2">
      <c r="A208" s="1" t="s">
        <v>619</v>
      </c>
      <c r="B208" s="1" t="s">
        <v>620</v>
      </c>
      <c r="C208">
        <v>31603</v>
      </c>
      <c r="D208">
        <v>36653</v>
      </c>
      <c r="E208" s="1" t="s">
        <v>832</v>
      </c>
      <c r="F208" s="1" t="s">
        <v>20</v>
      </c>
      <c r="G208">
        <v>330000</v>
      </c>
      <c r="H208">
        <v>3.8</v>
      </c>
      <c r="I208">
        <v>157</v>
      </c>
      <c r="J208">
        <v>52630</v>
      </c>
      <c r="K208">
        <v>10.44</v>
      </c>
    </row>
    <row r="209" spans="1:11" x14ac:dyDescent="0.2">
      <c r="A209" s="1" t="s">
        <v>345</v>
      </c>
      <c r="B209" s="1" t="s">
        <v>346</v>
      </c>
      <c r="C209">
        <v>39615</v>
      </c>
      <c r="D209">
        <v>57263</v>
      </c>
      <c r="E209" s="1" t="s">
        <v>956</v>
      </c>
      <c r="F209" s="1" t="s">
        <v>15</v>
      </c>
      <c r="G209">
        <v>550000</v>
      </c>
      <c r="H209">
        <v>2.7</v>
      </c>
      <c r="I209">
        <v>280</v>
      </c>
      <c r="J209">
        <v>46706</v>
      </c>
      <c r="K209">
        <v>13.88</v>
      </c>
    </row>
    <row r="210" spans="1:11" x14ac:dyDescent="0.2">
      <c r="A210" s="1" t="s">
        <v>439</v>
      </c>
      <c r="B210" s="1" t="s">
        <v>440</v>
      </c>
      <c r="C210">
        <v>37971</v>
      </c>
      <c r="D210">
        <v>45514</v>
      </c>
      <c r="E210" s="1" t="s">
        <v>833</v>
      </c>
      <c r="F210" s="1" t="s">
        <v>16</v>
      </c>
      <c r="G210">
        <v>540000</v>
      </c>
      <c r="H210">
        <v>3.8</v>
      </c>
      <c r="I210">
        <v>158</v>
      </c>
      <c r="J210">
        <v>111137</v>
      </c>
      <c r="K210">
        <v>14.22</v>
      </c>
    </row>
    <row r="211" spans="1:11" x14ac:dyDescent="0.2">
      <c r="A211" s="1" t="s">
        <v>347</v>
      </c>
      <c r="B211" s="1" t="s">
        <v>348</v>
      </c>
      <c r="C211">
        <v>37172</v>
      </c>
      <c r="D211">
        <v>50172</v>
      </c>
      <c r="E211" s="1" t="s">
        <v>899</v>
      </c>
      <c r="F211" s="1" t="s">
        <v>15</v>
      </c>
      <c r="G211">
        <v>417150</v>
      </c>
      <c r="H211">
        <v>3.4</v>
      </c>
      <c r="I211">
        <v>224</v>
      </c>
      <c r="J211">
        <v>51922</v>
      </c>
      <c r="K211">
        <v>11.22</v>
      </c>
    </row>
    <row r="212" spans="1:11" x14ac:dyDescent="0.2">
      <c r="A212" s="1" t="s">
        <v>393</v>
      </c>
      <c r="B212" s="1" t="s">
        <v>394</v>
      </c>
      <c r="C212">
        <v>36080</v>
      </c>
      <c r="D212">
        <v>43724</v>
      </c>
      <c r="E212" s="1" t="s">
        <v>834</v>
      </c>
      <c r="F212" s="1" t="s">
        <v>16</v>
      </c>
      <c r="G212">
        <v>450012</v>
      </c>
      <c r="H212">
        <v>3.8</v>
      </c>
      <c r="I212">
        <v>159</v>
      </c>
      <c r="J212">
        <v>98327</v>
      </c>
      <c r="K212">
        <v>12.47</v>
      </c>
    </row>
    <row r="213" spans="1:11" x14ac:dyDescent="0.2">
      <c r="A213" s="1" t="s">
        <v>349</v>
      </c>
      <c r="B213" s="1" t="s">
        <v>350</v>
      </c>
      <c r="C213">
        <v>37805</v>
      </c>
      <c r="D213">
        <v>45438</v>
      </c>
      <c r="E213" s="1" t="s">
        <v>864</v>
      </c>
      <c r="F213" s="1" t="s">
        <v>15</v>
      </c>
      <c r="G213">
        <v>431899</v>
      </c>
      <c r="H213">
        <v>3.5</v>
      </c>
      <c r="I213">
        <v>189</v>
      </c>
      <c r="J213">
        <v>51644</v>
      </c>
      <c r="K213">
        <v>11.42</v>
      </c>
    </row>
    <row r="214" spans="1:11" x14ac:dyDescent="0.2">
      <c r="A214" s="1" t="s">
        <v>353</v>
      </c>
      <c r="B214" s="1" t="s">
        <v>354</v>
      </c>
      <c r="C214">
        <v>30920</v>
      </c>
      <c r="D214">
        <v>36368</v>
      </c>
      <c r="E214" s="1" t="s">
        <v>860</v>
      </c>
      <c r="F214" s="1" t="s">
        <v>15</v>
      </c>
      <c r="G214">
        <v>305000</v>
      </c>
      <c r="H214">
        <v>3.6</v>
      </c>
      <c r="I214">
        <v>185</v>
      </c>
      <c r="J214">
        <v>76647</v>
      </c>
      <c r="K214">
        <v>9.86</v>
      </c>
    </row>
    <row r="215" spans="1:11" x14ac:dyDescent="0.2">
      <c r="A215" s="1" t="s">
        <v>417</v>
      </c>
      <c r="B215" s="1" t="s">
        <v>418</v>
      </c>
      <c r="C215">
        <v>34962</v>
      </c>
      <c r="D215">
        <v>42206</v>
      </c>
      <c r="E215" s="1" t="s">
        <v>837</v>
      </c>
      <c r="F215" s="1" t="s">
        <v>16</v>
      </c>
      <c r="G215">
        <v>480000</v>
      </c>
      <c r="H215">
        <v>3.8</v>
      </c>
      <c r="I215">
        <v>162</v>
      </c>
      <c r="J215">
        <v>130186</v>
      </c>
      <c r="K215">
        <v>13.73</v>
      </c>
    </row>
    <row r="216" spans="1:11" x14ac:dyDescent="0.2">
      <c r="A216" s="1" t="s">
        <v>425</v>
      </c>
      <c r="B216" s="1" t="s">
        <v>426</v>
      </c>
      <c r="C216">
        <v>36429</v>
      </c>
      <c r="D216">
        <v>47268</v>
      </c>
      <c r="E216" s="1" t="s">
        <v>838</v>
      </c>
      <c r="F216" s="1" t="s">
        <v>16</v>
      </c>
      <c r="G216">
        <v>510000</v>
      </c>
      <c r="H216">
        <v>3.8</v>
      </c>
      <c r="I216">
        <v>163</v>
      </c>
      <c r="J216">
        <v>121150</v>
      </c>
      <c r="K216">
        <v>14</v>
      </c>
    </row>
    <row r="217" spans="1:11" x14ac:dyDescent="0.2">
      <c r="A217" s="1" t="s">
        <v>441</v>
      </c>
      <c r="B217" s="1" t="s">
        <v>442</v>
      </c>
      <c r="C217">
        <v>36067</v>
      </c>
      <c r="D217">
        <v>42373</v>
      </c>
      <c r="E217" s="1" t="s">
        <v>839</v>
      </c>
      <c r="F217" s="1" t="s">
        <v>19</v>
      </c>
      <c r="G217">
        <v>420000</v>
      </c>
      <c r="H217">
        <v>3.8</v>
      </c>
      <c r="I217">
        <v>164</v>
      </c>
      <c r="J217">
        <v>71809</v>
      </c>
      <c r="K217">
        <v>11.64</v>
      </c>
    </row>
    <row r="218" spans="1:11" x14ac:dyDescent="0.2">
      <c r="A218" s="1" t="s">
        <v>359</v>
      </c>
      <c r="B218" s="1" t="s">
        <v>360</v>
      </c>
      <c r="C218">
        <v>28421</v>
      </c>
      <c r="D218">
        <v>32100</v>
      </c>
      <c r="E218" s="1" t="s">
        <v>849</v>
      </c>
      <c r="F218" s="1" t="s">
        <v>15</v>
      </c>
      <c r="G218">
        <v>300000</v>
      </c>
      <c r="H218">
        <v>3.6</v>
      </c>
      <c r="I218">
        <v>174</v>
      </c>
      <c r="J218">
        <v>66884</v>
      </c>
      <c r="K218">
        <v>10.56</v>
      </c>
    </row>
    <row r="219" spans="1:11" x14ac:dyDescent="0.2">
      <c r="A219" s="1" t="s">
        <v>609</v>
      </c>
      <c r="B219" s="1" t="s">
        <v>610</v>
      </c>
      <c r="C219">
        <v>36014</v>
      </c>
      <c r="D219">
        <v>41041</v>
      </c>
      <c r="E219" s="1" t="s">
        <v>840</v>
      </c>
      <c r="F219" s="1" t="s">
        <v>20</v>
      </c>
      <c r="G219">
        <v>325000</v>
      </c>
      <c r="H219">
        <v>3.7</v>
      </c>
      <c r="I219">
        <v>165</v>
      </c>
      <c r="J219">
        <v>76000</v>
      </c>
      <c r="K219">
        <v>9.02</v>
      </c>
    </row>
    <row r="220" spans="1:11" x14ac:dyDescent="0.2">
      <c r="A220" s="1" t="s">
        <v>361</v>
      </c>
      <c r="B220" s="1" t="s">
        <v>362</v>
      </c>
      <c r="C220">
        <v>30421</v>
      </c>
      <c r="D220">
        <v>33723</v>
      </c>
      <c r="E220" s="1" t="s">
        <v>872</v>
      </c>
      <c r="F220" s="1" t="s">
        <v>15</v>
      </c>
      <c r="G220">
        <v>234000</v>
      </c>
      <c r="H220">
        <v>3.5</v>
      </c>
      <c r="I220">
        <v>197</v>
      </c>
      <c r="J220">
        <v>72242</v>
      </c>
      <c r="K220">
        <v>7.69</v>
      </c>
    </row>
    <row r="221" spans="1:11" x14ac:dyDescent="0.2">
      <c r="A221" s="1" t="s">
        <v>597</v>
      </c>
      <c r="B221" s="1" t="s">
        <v>598</v>
      </c>
      <c r="C221">
        <v>31908</v>
      </c>
      <c r="D221">
        <v>33036</v>
      </c>
      <c r="E221" s="1" t="s">
        <v>841</v>
      </c>
      <c r="F221" s="1" t="s">
        <v>20</v>
      </c>
      <c r="G221">
        <v>292000</v>
      </c>
      <c r="H221">
        <v>3.7</v>
      </c>
      <c r="I221">
        <v>166</v>
      </c>
      <c r="J221">
        <v>43517</v>
      </c>
      <c r="K221">
        <v>9.15</v>
      </c>
    </row>
    <row r="222" spans="1:11" x14ac:dyDescent="0.2">
      <c r="A222" s="1" t="s">
        <v>363</v>
      </c>
      <c r="B222" s="1" t="s">
        <v>364</v>
      </c>
      <c r="C222">
        <v>32934</v>
      </c>
      <c r="D222">
        <v>35402</v>
      </c>
      <c r="E222" s="1" t="s">
        <v>851</v>
      </c>
      <c r="F222" s="1" t="s">
        <v>15</v>
      </c>
      <c r="G222">
        <v>300000</v>
      </c>
      <c r="H222">
        <v>3.6</v>
      </c>
      <c r="I222">
        <v>174</v>
      </c>
      <c r="J222">
        <v>77395</v>
      </c>
      <c r="K222">
        <v>9.11</v>
      </c>
    </row>
    <row r="223" spans="1:11" x14ac:dyDescent="0.2">
      <c r="A223" s="1" t="s">
        <v>365</v>
      </c>
      <c r="B223" s="1" t="s">
        <v>366</v>
      </c>
      <c r="C223">
        <v>30118</v>
      </c>
      <c r="D223">
        <v>35961</v>
      </c>
      <c r="E223" s="1" t="s">
        <v>856</v>
      </c>
      <c r="F223" s="1" t="s">
        <v>15</v>
      </c>
      <c r="G223">
        <v>330500</v>
      </c>
      <c r="H223">
        <v>3.6</v>
      </c>
      <c r="I223">
        <v>181</v>
      </c>
      <c r="J223">
        <v>50214</v>
      </c>
      <c r="K223">
        <v>10.97</v>
      </c>
    </row>
    <row r="224" spans="1:11" x14ac:dyDescent="0.2">
      <c r="A224" s="1" t="s">
        <v>493</v>
      </c>
      <c r="B224" s="1" t="s">
        <v>494</v>
      </c>
      <c r="C224">
        <v>33734</v>
      </c>
      <c r="D224">
        <v>38122</v>
      </c>
      <c r="E224" s="1" t="s">
        <v>843</v>
      </c>
      <c r="F224" s="1" t="s">
        <v>19</v>
      </c>
      <c r="G224">
        <v>360000</v>
      </c>
      <c r="H224">
        <v>3.7</v>
      </c>
      <c r="I224">
        <v>167</v>
      </c>
      <c r="J224">
        <v>54229</v>
      </c>
      <c r="K224">
        <v>10.67</v>
      </c>
    </row>
    <row r="225" spans="1:11" x14ac:dyDescent="0.2">
      <c r="A225" s="1" t="s">
        <v>545</v>
      </c>
      <c r="B225" s="1" t="s">
        <v>546</v>
      </c>
      <c r="C225">
        <v>37918</v>
      </c>
      <c r="D225">
        <v>45983</v>
      </c>
      <c r="E225" s="1" t="s">
        <v>844</v>
      </c>
      <c r="F225" s="1" t="s">
        <v>19</v>
      </c>
      <c r="G225">
        <v>467500</v>
      </c>
      <c r="H225">
        <v>3.7</v>
      </c>
      <c r="I225">
        <v>169</v>
      </c>
      <c r="J225">
        <v>52773</v>
      </c>
      <c r="K225">
        <v>12.33</v>
      </c>
    </row>
    <row r="226" spans="1:11" x14ac:dyDescent="0.2">
      <c r="A226" s="1" t="s">
        <v>371</v>
      </c>
      <c r="B226" s="1" t="s">
        <v>372</v>
      </c>
      <c r="C226">
        <v>30261</v>
      </c>
      <c r="D226">
        <v>34796</v>
      </c>
      <c r="E226" s="1" t="s">
        <v>869</v>
      </c>
      <c r="F226" s="1" t="s">
        <v>15</v>
      </c>
      <c r="G226">
        <v>290000</v>
      </c>
      <c r="H226">
        <v>3.5</v>
      </c>
      <c r="I226">
        <v>194</v>
      </c>
      <c r="J226">
        <v>145243</v>
      </c>
      <c r="K226">
        <v>9.58</v>
      </c>
    </row>
    <row r="227" spans="1:11" x14ac:dyDescent="0.2">
      <c r="A227" s="1" t="s">
        <v>437</v>
      </c>
      <c r="B227" s="1" t="s">
        <v>438</v>
      </c>
      <c r="C227">
        <v>38359</v>
      </c>
      <c r="D227">
        <v>46228</v>
      </c>
      <c r="E227" s="1" t="s">
        <v>846</v>
      </c>
      <c r="F227" s="1" t="s">
        <v>16</v>
      </c>
      <c r="G227">
        <v>460000</v>
      </c>
      <c r="H227">
        <v>3.7</v>
      </c>
      <c r="I227">
        <v>171</v>
      </c>
      <c r="J227">
        <v>107133</v>
      </c>
      <c r="K227">
        <v>11.99</v>
      </c>
    </row>
    <row r="228" spans="1:11" x14ac:dyDescent="0.2">
      <c r="A228" s="1" t="s">
        <v>373</v>
      </c>
      <c r="B228" s="1" t="s">
        <v>374</v>
      </c>
      <c r="C228">
        <v>33437</v>
      </c>
      <c r="D228">
        <v>41126</v>
      </c>
      <c r="E228" s="1" t="s">
        <v>907</v>
      </c>
      <c r="F228" s="1" t="s">
        <v>15</v>
      </c>
      <c r="G228">
        <v>290000</v>
      </c>
      <c r="H228">
        <v>3.3</v>
      </c>
      <c r="I228">
        <v>232</v>
      </c>
      <c r="J228">
        <v>99514</v>
      </c>
      <c r="K228">
        <v>8.67</v>
      </c>
    </row>
    <row r="229" spans="1:11" x14ac:dyDescent="0.2">
      <c r="A229" s="1" t="s">
        <v>375</v>
      </c>
      <c r="B229" s="1" t="s">
        <v>376</v>
      </c>
      <c r="C229">
        <v>44088</v>
      </c>
      <c r="D229">
        <v>71777</v>
      </c>
      <c r="E229" s="1" t="s">
        <v>988</v>
      </c>
      <c r="F229" s="1" t="s">
        <v>16</v>
      </c>
      <c r="G229">
        <v>770000</v>
      </c>
      <c r="H229">
        <v>0.9</v>
      </c>
      <c r="I229">
        <v>313</v>
      </c>
      <c r="J229">
        <v>87956</v>
      </c>
      <c r="K229">
        <v>17.47</v>
      </c>
    </row>
    <row r="230" spans="1:11" x14ac:dyDescent="0.2">
      <c r="A230" s="1" t="s">
        <v>587</v>
      </c>
      <c r="B230" s="1" t="s">
        <v>588</v>
      </c>
      <c r="C230">
        <v>28210</v>
      </c>
      <c r="D230">
        <v>31433</v>
      </c>
      <c r="E230" s="1" t="s">
        <v>848</v>
      </c>
      <c r="F230" s="1" t="s">
        <v>20</v>
      </c>
      <c r="G230">
        <v>286000</v>
      </c>
      <c r="H230">
        <v>3.6</v>
      </c>
      <c r="I230">
        <v>173</v>
      </c>
      <c r="J230">
        <v>319877</v>
      </c>
      <c r="K230">
        <v>10.14</v>
      </c>
    </row>
    <row r="231" spans="1:11" x14ac:dyDescent="0.2">
      <c r="A231" s="1" t="s">
        <v>377</v>
      </c>
      <c r="B231" s="1" t="s">
        <v>378</v>
      </c>
      <c r="D231">
        <v>73082</v>
      </c>
      <c r="E231" s="1" t="s">
        <v>989</v>
      </c>
      <c r="F231" s="1" t="s">
        <v>16</v>
      </c>
      <c r="G231">
        <v>790000</v>
      </c>
      <c r="H231">
        <v>-0.1</v>
      </c>
      <c r="I231">
        <v>314</v>
      </c>
      <c r="J231">
        <v>8658</v>
      </c>
    </row>
    <row r="232" spans="1:11" x14ac:dyDescent="0.2">
      <c r="A232" s="1" t="s">
        <v>379</v>
      </c>
      <c r="B232" s="1" t="s">
        <v>380</v>
      </c>
      <c r="C232">
        <v>40237</v>
      </c>
      <c r="D232">
        <v>51030</v>
      </c>
      <c r="E232" s="1" t="s">
        <v>982</v>
      </c>
      <c r="F232" s="1" t="s">
        <v>16</v>
      </c>
      <c r="G232">
        <v>581401</v>
      </c>
      <c r="H232">
        <v>1.7</v>
      </c>
      <c r="I232">
        <v>307</v>
      </c>
      <c r="J232">
        <v>80831</v>
      </c>
      <c r="K232">
        <v>14.45</v>
      </c>
    </row>
    <row r="233" spans="1:11" x14ac:dyDescent="0.2">
      <c r="A233" s="1" t="s">
        <v>557</v>
      </c>
      <c r="B233" s="1" t="s">
        <v>558</v>
      </c>
      <c r="C233">
        <v>29809</v>
      </c>
      <c r="D233">
        <v>34472</v>
      </c>
      <c r="E233" s="1" t="s">
        <v>850</v>
      </c>
      <c r="F233" s="1" t="s">
        <v>19</v>
      </c>
      <c r="G233">
        <v>350000</v>
      </c>
      <c r="H233">
        <v>3.6</v>
      </c>
      <c r="I233">
        <v>174</v>
      </c>
      <c r="J233">
        <v>109518</v>
      </c>
      <c r="K233">
        <v>11.74</v>
      </c>
    </row>
    <row r="234" spans="1:11" x14ac:dyDescent="0.2">
      <c r="A234" s="1" t="s">
        <v>381</v>
      </c>
      <c r="B234" s="1" t="s">
        <v>382</v>
      </c>
      <c r="C234">
        <v>42811</v>
      </c>
      <c r="D234">
        <v>68907</v>
      </c>
      <c r="E234" s="1" t="s">
        <v>992</v>
      </c>
      <c r="F234" s="1" t="s">
        <v>16</v>
      </c>
      <c r="G234">
        <v>700000</v>
      </c>
      <c r="H234">
        <v>-0.4</v>
      </c>
      <c r="I234">
        <v>317</v>
      </c>
      <c r="J234">
        <v>91497</v>
      </c>
      <c r="K234">
        <v>16.350000000000001</v>
      </c>
    </row>
    <row r="235" spans="1:11" x14ac:dyDescent="0.2">
      <c r="A235" s="1" t="s">
        <v>383</v>
      </c>
      <c r="B235" s="1" t="s">
        <v>384</v>
      </c>
      <c r="C235">
        <v>37563</v>
      </c>
      <c r="D235">
        <v>44993</v>
      </c>
      <c r="E235" s="1" t="s">
        <v>954</v>
      </c>
      <c r="F235" s="1" t="s">
        <v>16</v>
      </c>
      <c r="G235">
        <v>575000</v>
      </c>
      <c r="H235">
        <v>2.7</v>
      </c>
      <c r="I235">
        <v>279</v>
      </c>
      <c r="J235">
        <v>96332</v>
      </c>
      <c r="K235">
        <v>15.31</v>
      </c>
    </row>
    <row r="236" spans="1:11" x14ac:dyDescent="0.2">
      <c r="A236" s="1" t="s">
        <v>385</v>
      </c>
      <c r="B236" s="1" t="s">
        <v>386</v>
      </c>
      <c r="C236">
        <v>47411</v>
      </c>
      <c r="D236">
        <v>83641</v>
      </c>
      <c r="E236" s="1" t="s">
        <v>987</v>
      </c>
      <c r="F236" s="1" t="s">
        <v>16</v>
      </c>
      <c r="G236">
        <v>640500</v>
      </c>
      <c r="H236">
        <v>1</v>
      </c>
      <c r="I236">
        <v>312</v>
      </c>
      <c r="J236">
        <v>82211</v>
      </c>
      <c r="K236">
        <v>13.51</v>
      </c>
    </row>
    <row r="237" spans="1:11" x14ac:dyDescent="0.2">
      <c r="A237" s="1" t="s">
        <v>623</v>
      </c>
      <c r="B237" s="1" t="s">
        <v>624</v>
      </c>
      <c r="C237">
        <v>29944</v>
      </c>
      <c r="D237">
        <v>31656</v>
      </c>
      <c r="E237" s="1" t="s">
        <v>853</v>
      </c>
      <c r="F237" s="1" t="s">
        <v>21</v>
      </c>
      <c r="G237">
        <v>224000</v>
      </c>
      <c r="H237">
        <v>3.6</v>
      </c>
      <c r="I237">
        <v>178</v>
      </c>
      <c r="J237">
        <v>31323</v>
      </c>
      <c r="K237">
        <v>7.48</v>
      </c>
    </row>
    <row r="238" spans="1:11" x14ac:dyDescent="0.2">
      <c r="A238" s="1" t="s">
        <v>387</v>
      </c>
      <c r="B238" s="1" t="s">
        <v>388</v>
      </c>
      <c r="C238">
        <v>46690</v>
      </c>
      <c r="D238">
        <v>114203</v>
      </c>
      <c r="E238" s="1" t="s">
        <v>990</v>
      </c>
      <c r="F238" s="1" t="s">
        <v>16</v>
      </c>
      <c r="G238">
        <v>1150000</v>
      </c>
      <c r="H238">
        <v>-0.2</v>
      </c>
      <c r="I238">
        <v>315</v>
      </c>
      <c r="J238">
        <v>89353</v>
      </c>
      <c r="K238">
        <v>24.63</v>
      </c>
    </row>
    <row r="239" spans="1:11" x14ac:dyDescent="0.2">
      <c r="A239" s="1" t="s">
        <v>389</v>
      </c>
      <c r="B239" s="1" t="s">
        <v>390</v>
      </c>
      <c r="C239">
        <v>43666</v>
      </c>
      <c r="D239">
        <v>62733</v>
      </c>
      <c r="E239" s="1" t="s">
        <v>984</v>
      </c>
      <c r="F239" s="1" t="s">
        <v>16</v>
      </c>
      <c r="G239">
        <v>540000</v>
      </c>
      <c r="H239">
        <v>1.6</v>
      </c>
      <c r="I239">
        <v>309</v>
      </c>
      <c r="J239">
        <v>142050</v>
      </c>
      <c r="K239">
        <v>12.37</v>
      </c>
    </row>
    <row r="240" spans="1:11" x14ac:dyDescent="0.2">
      <c r="A240" s="1" t="s">
        <v>459</v>
      </c>
      <c r="B240" s="1" t="s">
        <v>460</v>
      </c>
      <c r="C240">
        <v>32907</v>
      </c>
      <c r="D240">
        <v>34762</v>
      </c>
      <c r="E240" s="1" t="s">
        <v>855</v>
      </c>
      <c r="F240" s="1" t="s">
        <v>19</v>
      </c>
      <c r="G240">
        <v>260000</v>
      </c>
      <c r="H240">
        <v>3.6</v>
      </c>
      <c r="I240">
        <v>180</v>
      </c>
      <c r="J240">
        <v>120423</v>
      </c>
      <c r="K240">
        <v>7.9</v>
      </c>
    </row>
    <row r="241" spans="1:11" x14ac:dyDescent="0.2">
      <c r="A241" s="1" t="s">
        <v>391</v>
      </c>
      <c r="B241" s="1" t="s">
        <v>392</v>
      </c>
      <c r="C241">
        <v>39505</v>
      </c>
      <c r="D241">
        <v>47643</v>
      </c>
      <c r="E241" s="1" t="s">
        <v>951</v>
      </c>
      <c r="F241" s="1" t="s">
        <v>16</v>
      </c>
      <c r="G241">
        <v>475000</v>
      </c>
      <c r="H241">
        <v>2.8</v>
      </c>
      <c r="I241">
        <v>276</v>
      </c>
      <c r="J241">
        <v>128789</v>
      </c>
      <c r="K241">
        <v>12.02</v>
      </c>
    </row>
    <row r="242" spans="1:11" x14ac:dyDescent="0.2">
      <c r="A242" s="1" t="s">
        <v>395</v>
      </c>
      <c r="B242" s="1" t="s">
        <v>396</v>
      </c>
      <c r="C242">
        <v>43006</v>
      </c>
      <c r="D242">
        <v>56656</v>
      </c>
      <c r="E242" s="1" t="s">
        <v>986</v>
      </c>
      <c r="F242" s="1" t="s">
        <v>16</v>
      </c>
      <c r="G242">
        <v>535000</v>
      </c>
      <c r="H242">
        <v>1.2</v>
      </c>
      <c r="I242">
        <v>311</v>
      </c>
      <c r="J242">
        <v>119134</v>
      </c>
      <c r="K242">
        <v>12.44</v>
      </c>
    </row>
    <row r="243" spans="1:11" x14ac:dyDescent="0.2">
      <c r="A243" s="1" t="s">
        <v>473</v>
      </c>
      <c r="B243" s="1" t="s">
        <v>474</v>
      </c>
      <c r="C243">
        <v>30790</v>
      </c>
      <c r="D243">
        <v>41055</v>
      </c>
      <c r="E243" s="1" t="s">
        <v>858</v>
      </c>
      <c r="F243" s="1" t="s">
        <v>19</v>
      </c>
      <c r="G243">
        <v>355000</v>
      </c>
      <c r="H243">
        <v>3.6</v>
      </c>
      <c r="I243">
        <v>183</v>
      </c>
      <c r="J243">
        <v>64113</v>
      </c>
      <c r="K243">
        <v>11.53</v>
      </c>
    </row>
    <row r="244" spans="1:11" x14ac:dyDescent="0.2">
      <c r="A244" s="1" t="s">
        <v>397</v>
      </c>
      <c r="B244" s="1" t="s">
        <v>398</v>
      </c>
      <c r="C244">
        <v>45183</v>
      </c>
      <c r="D244">
        <v>60317</v>
      </c>
      <c r="E244" s="1" t="s">
        <v>983</v>
      </c>
      <c r="F244" s="1" t="s">
        <v>16</v>
      </c>
      <c r="G244">
        <v>500000</v>
      </c>
      <c r="H244">
        <v>1.6</v>
      </c>
      <c r="I244">
        <v>308</v>
      </c>
      <c r="J244">
        <v>122928</v>
      </c>
      <c r="K244">
        <v>11.07</v>
      </c>
    </row>
    <row r="245" spans="1:11" x14ac:dyDescent="0.2">
      <c r="A245" s="1" t="s">
        <v>399</v>
      </c>
      <c r="B245" s="1" t="s">
        <v>400</v>
      </c>
      <c r="C245">
        <v>49310</v>
      </c>
      <c r="D245">
        <v>81801</v>
      </c>
      <c r="E245" s="1" t="s">
        <v>985</v>
      </c>
      <c r="F245" s="1" t="s">
        <v>16</v>
      </c>
      <c r="G245">
        <v>648000</v>
      </c>
      <c r="H245">
        <v>1.5</v>
      </c>
      <c r="I245">
        <v>310</v>
      </c>
      <c r="J245">
        <v>196788</v>
      </c>
      <c r="K245">
        <v>13.14</v>
      </c>
    </row>
    <row r="246" spans="1:11" x14ac:dyDescent="0.2">
      <c r="A246" s="1" t="s">
        <v>401</v>
      </c>
      <c r="B246" s="1" t="s">
        <v>402</v>
      </c>
      <c r="C246">
        <v>45172</v>
      </c>
      <c r="D246">
        <v>83196</v>
      </c>
      <c r="E246" s="1" t="s">
        <v>991</v>
      </c>
      <c r="F246" s="1" t="s">
        <v>16</v>
      </c>
      <c r="G246">
        <v>870000</v>
      </c>
      <c r="H246">
        <v>-0.2</v>
      </c>
      <c r="I246">
        <v>316</v>
      </c>
      <c r="J246">
        <v>123264</v>
      </c>
      <c r="K246">
        <v>19.260000000000002</v>
      </c>
    </row>
    <row r="247" spans="1:11" x14ac:dyDescent="0.2">
      <c r="A247" s="1" t="s">
        <v>567</v>
      </c>
      <c r="B247" s="1" t="s">
        <v>568</v>
      </c>
      <c r="C247">
        <v>32823</v>
      </c>
      <c r="D247">
        <v>37267</v>
      </c>
      <c r="E247" s="1" t="s">
        <v>862</v>
      </c>
      <c r="F247" s="1" t="s">
        <v>19</v>
      </c>
      <c r="G247">
        <v>350000</v>
      </c>
      <c r="H247">
        <v>3.5</v>
      </c>
      <c r="I247">
        <v>187</v>
      </c>
      <c r="J247">
        <v>76384</v>
      </c>
      <c r="K247">
        <v>10.66</v>
      </c>
    </row>
    <row r="248" spans="1:11" x14ac:dyDescent="0.2">
      <c r="A248" s="1" t="s">
        <v>405</v>
      </c>
      <c r="B248" s="1" t="s">
        <v>406</v>
      </c>
      <c r="C248">
        <v>39239</v>
      </c>
      <c r="D248">
        <v>52160</v>
      </c>
      <c r="E248" s="1" t="s">
        <v>971</v>
      </c>
      <c r="F248" s="1" t="s">
        <v>16</v>
      </c>
      <c r="G248">
        <v>580000</v>
      </c>
      <c r="H248">
        <v>2.6</v>
      </c>
      <c r="I248">
        <v>296</v>
      </c>
      <c r="J248">
        <v>157439</v>
      </c>
      <c r="K248">
        <v>14.78</v>
      </c>
    </row>
    <row r="249" spans="1:11" x14ac:dyDescent="0.2">
      <c r="A249" s="1" t="s">
        <v>409</v>
      </c>
      <c r="B249" s="1" t="s">
        <v>410</v>
      </c>
      <c r="C249">
        <v>34871</v>
      </c>
      <c r="D249">
        <v>43550</v>
      </c>
      <c r="E249" s="1" t="s">
        <v>948</v>
      </c>
      <c r="F249" s="1" t="s">
        <v>16</v>
      </c>
      <c r="G249">
        <v>550000</v>
      </c>
      <c r="H249">
        <v>2.9</v>
      </c>
      <c r="I249">
        <v>273</v>
      </c>
      <c r="J249">
        <v>93880</v>
      </c>
      <c r="K249">
        <v>15.77</v>
      </c>
    </row>
    <row r="250" spans="1:11" x14ac:dyDescent="0.2">
      <c r="A250" s="1" t="s">
        <v>445</v>
      </c>
      <c r="B250" s="1" t="s">
        <v>446</v>
      </c>
      <c r="C250">
        <v>35937</v>
      </c>
      <c r="D250">
        <v>47678</v>
      </c>
      <c r="E250" s="1" t="s">
        <v>865</v>
      </c>
      <c r="F250" s="1" t="s">
        <v>19</v>
      </c>
      <c r="G250">
        <v>460000</v>
      </c>
      <c r="H250">
        <v>3.5</v>
      </c>
      <c r="I250">
        <v>190</v>
      </c>
      <c r="J250">
        <v>288818</v>
      </c>
      <c r="K250">
        <v>12.8</v>
      </c>
    </row>
    <row r="251" spans="1:11" x14ac:dyDescent="0.2">
      <c r="A251" s="1" t="s">
        <v>411</v>
      </c>
      <c r="B251" s="1" t="s">
        <v>412</v>
      </c>
      <c r="C251">
        <v>43981</v>
      </c>
      <c r="D251">
        <v>58925</v>
      </c>
      <c r="E251" s="1" t="s">
        <v>889</v>
      </c>
      <c r="F251" s="1" t="s">
        <v>16</v>
      </c>
      <c r="G251">
        <v>525000</v>
      </c>
      <c r="H251">
        <v>3.4</v>
      </c>
      <c r="I251">
        <v>211</v>
      </c>
      <c r="J251">
        <v>177148</v>
      </c>
      <c r="K251">
        <v>11.94</v>
      </c>
    </row>
    <row r="252" spans="1:11" x14ac:dyDescent="0.2">
      <c r="A252" s="1" t="s">
        <v>555</v>
      </c>
      <c r="B252" s="1" t="s">
        <v>556</v>
      </c>
      <c r="C252">
        <v>30217</v>
      </c>
      <c r="D252">
        <v>37627</v>
      </c>
      <c r="E252" s="1" t="s">
        <v>866</v>
      </c>
      <c r="F252" s="1" t="s">
        <v>19</v>
      </c>
      <c r="G252">
        <v>375000</v>
      </c>
      <c r="H252">
        <v>3.5</v>
      </c>
      <c r="I252">
        <v>191</v>
      </c>
      <c r="J252">
        <v>36279</v>
      </c>
      <c r="K252">
        <v>12.41</v>
      </c>
    </row>
    <row r="253" spans="1:11" x14ac:dyDescent="0.2">
      <c r="A253" s="1" t="s">
        <v>413</v>
      </c>
      <c r="B253" s="1" t="s">
        <v>414</v>
      </c>
      <c r="C253">
        <v>38080</v>
      </c>
      <c r="D253">
        <v>43961</v>
      </c>
      <c r="E253" s="1" t="s">
        <v>902</v>
      </c>
      <c r="F253" s="1" t="s">
        <v>16</v>
      </c>
      <c r="G253">
        <v>425000</v>
      </c>
      <c r="H253">
        <v>3.3</v>
      </c>
      <c r="I253">
        <v>227</v>
      </c>
      <c r="J253">
        <v>171613</v>
      </c>
      <c r="K253">
        <v>11.16</v>
      </c>
    </row>
    <row r="254" spans="1:11" x14ac:dyDescent="0.2">
      <c r="A254" s="1" t="s">
        <v>415</v>
      </c>
      <c r="B254" s="1" t="s">
        <v>416</v>
      </c>
      <c r="C254">
        <v>35665</v>
      </c>
      <c r="D254">
        <v>45109</v>
      </c>
      <c r="E254" s="1" t="s">
        <v>979</v>
      </c>
      <c r="F254" s="1" t="s">
        <v>16</v>
      </c>
      <c r="G254">
        <v>535000</v>
      </c>
      <c r="H254">
        <v>2.2000000000000002</v>
      </c>
      <c r="I254">
        <v>304</v>
      </c>
      <c r="J254">
        <v>128806</v>
      </c>
      <c r="K254">
        <v>15</v>
      </c>
    </row>
    <row r="255" spans="1:11" x14ac:dyDescent="0.2">
      <c r="A255" s="1" t="s">
        <v>419</v>
      </c>
      <c r="B255" s="1" t="s">
        <v>420</v>
      </c>
      <c r="C255">
        <v>39984</v>
      </c>
      <c r="D255" t="s">
        <v>330</v>
      </c>
      <c r="E255" s="1" t="s">
        <v>959</v>
      </c>
      <c r="F255" s="1" t="s">
        <v>16</v>
      </c>
      <c r="G255">
        <v>460000</v>
      </c>
      <c r="H255">
        <v>2.7</v>
      </c>
      <c r="I255">
        <v>284</v>
      </c>
      <c r="J255">
        <v>111921</v>
      </c>
      <c r="K255">
        <v>11.5</v>
      </c>
    </row>
    <row r="256" spans="1:11" x14ac:dyDescent="0.2">
      <c r="A256" s="1" t="s">
        <v>421</v>
      </c>
      <c r="B256" s="1" t="s">
        <v>422</v>
      </c>
      <c r="C256">
        <v>36000</v>
      </c>
      <c r="D256">
        <v>51059</v>
      </c>
      <c r="E256" s="1" t="s">
        <v>911</v>
      </c>
      <c r="F256" s="1" t="s">
        <v>16</v>
      </c>
      <c r="G256">
        <v>551000</v>
      </c>
      <c r="H256">
        <v>3.3</v>
      </c>
      <c r="I256">
        <v>236</v>
      </c>
      <c r="J256">
        <v>90515</v>
      </c>
      <c r="K256">
        <v>15.31</v>
      </c>
    </row>
    <row r="257" spans="1:11" x14ac:dyDescent="0.2">
      <c r="A257" s="1" t="s">
        <v>639</v>
      </c>
      <c r="B257" s="1" t="s">
        <v>640</v>
      </c>
      <c r="C257">
        <v>27243</v>
      </c>
      <c r="D257">
        <v>29920</v>
      </c>
      <c r="E257" s="1" t="s">
        <v>871</v>
      </c>
      <c r="F257" s="1" t="s">
        <v>21</v>
      </c>
      <c r="G257">
        <v>222000</v>
      </c>
      <c r="H257">
        <v>3.5</v>
      </c>
      <c r="I257">
        <v>196</v>
      </c>
      <c r="J257">
        <v>55970</v>
      </c>
      <c r="K257">
        <v>8.15</v>
      </c>
    </row>
    <row r="258" spans="1:11" x14ac:dyDescent="0.2">
      <c r="A258" s="1" t="s">
        <v>483</v>
      </c>
      <c r="B258" s="1" t="s">
        <v>484</v>
      </c>
      <c r="C258">
        <v>38851</v>
      </c>
      <c r="D258">
        <v>46340</v>
      </c>
      <c r="E258" s="1" t="s">
        <v>873</v>
      </c>
      <c r="F258" s="1" t="s">
        <v>19</v>
      </c>
      <c r="G258">
        <v>346230</v>
      </c>
      <c r="H258">
        <v>3.5</v>
      </c>
      <c r="I258">
        <v>198</v>
      </c>
      <c r="J258">
        <v>68452</v>
      </c>
      <c r="K258">
        <v>8.91</v>
      </c>
    </row>
    <row r="259" spans="1:11" x14ac:dyDescent="0.2">
      <c r="A259" s="1" t="s">
        <v>427</v>
      </c>
      <c r="B259" s="1" t="s">
        <v>428</v>
      </c>
      <c r="C259">
        <v>35301</v>
      </c>
      <c r="D259">
        <v>42735</v>
      </c>
      <c r="E259" s="1" t="s">
        <v>922</v>
      </c>
      <c r="F259" s="1" t="s">
        <v>16</v>
      </c>
      <c r="G259">
        <v>485000</v>
      </c>
      <c r="H259">
        <v>3.2</v>
      </c>
      <c r="I259">
        <v>247</v>
      </c>
      <c r="J259">
        <v>98566</v>
      </c>
      <c r="K259">
        <v>13.74</v>
      </c>
    </row>
    <row r="260" spans="1:11" x14ac:dyDescent="0.2">
      <c r="A260" s="1" t="s">
        <v>585</v>
      </c>
      <c r="B260" s="1" t="s">
        <v>586</v>
      </c>
      <c r="C260">
        <v>28963</v>
      </c>
      <c r="D260">
        <v>33069</v>
      </c>
      <c r="E260" s="1" t="s">
        <v>874</v>
      </c>
      <c r="F260" s="1" t="s">
        <v>20</v>
      </c>
      <c r="G260">
        <v>250000</v>
      </c>
      <c r="H260">
        <v>3.5</v>
      </c>
      <c r="I260">
        <v>199</v>
      </c>
      <c r="J260">
        <v>92980</v>
      </c>
      <c r="K260">
        <v>8.6300000000000008</v>
      </c>
    </row>
    <row r="261" spans="1:11" x14ac:dyDescent="0.2">
      <c r="A261" s="1" t="s">
        <v>429</v>
      </c>
      <c r="B261" s="1" t="s">
        <v>430</v>
      </c>
      <c r="C261">
        <v>41833</v>
      </c>
      <c r="D261">
        <v>53447</v>
      </c>
      <c r="E261" s="1" t="s">
        <v>944</v>
      </c>
      <c r="F261" s="1" t="s">
        <v>16</v>
      </c>
      <c r="G261">
        <v>550000</v>
      </c>
      <c r="H261">
        <v>2.9</v>
      </c>
      <c r="I261">
        <v>268</v>
      </c>
      <c r="J261">
        <v>88809</v>
      </c>
      <c r="K261">
        <v>13.15</v>
      </c>
    </row>
    <row r="262" spans="1:11" x14ac:dyDescent="0.2">
      <c r="A262" s="1" t="s">
        <v>431</v>
      </c>
      <c r="B262" s="1" t="s">
        <v>432</v>
      </c>
      <c r="C262">
        <v>43507</v>
      </c>
      <c r="D262">
        <v>61843</v>
      </c>
      <c r="E262" s="1" t="s">
        <v>955</v>
      </c>
      <c r="F262" s="1" t="s">
        <v>16</v>
      </c>
      <c r="G262">
        <v>550000</v>
      </c>
      <c r="H262">
        <v>2.7</v>
      </c>
      <c r="I262">
        <v>280</v>
      </c>
      <c r="J262">
        <v>102393</v>
      </c>
      <c r="K262">
        <v>12.64</v>
      </c>
    </row>
    <row r="263" spans="1:11" x14ac:dyDescent="0.2">
      <c r="A263" s="1" t="s">
        <v>481</v>
      </c>
      <c r="B263" s="1" t="s">
        <v>482</v>
      </c>
      <c r="C263">
        <v>34474</v>
      </c>
      <c r="D263">
        <v>42934</v>
      </c>
      <c r="E263" s="1" t="s">
        <v>877</v>
      </c>
      <c r="F263" s="1" t="s">
        <v>19</v>
      </c>
      <c r="G263">
        <v>344995</v>
      </c>
      <c r="H263">
        <v>3.5</v>
      </c>
      <c r="I263">
        <v>202</v>
      </c>
      <c r="J263">
        <v>78127</v>
      </c>
      <c r="K263">
        <v>10.01</v>
      </c>
    </row>
    <row r="264" spans="1:11" x14ac:dyDescent="0.2">
      <c r="A264" s="1" t="s">
        <v>435</v>
      </c>
      <c r="B264" s="1" t="s">
        <v>436</v>
      </c>
      <c r="C264">
        <v>46594</v>
      </c>
      <c r="D264">
        <v>75590</v>
      </c>
      <c r="E264" s="1" t="s">
        <v>978</v>
      </c>
      <c r="F264" s="1" t="s">
        <v>16</v>
      </c>
      <c r="G264">
        <v>720000</v>
      </c>
      <c r="H264">
        <v>2.2000000000000002</v>
      </c>
      <c r="I264">
        <v>303</v>
      </c>
      <c r="J264">
        <v>114850</v>
      </c>
      <c r="K264">
        <v>15.45</v>
      </c>
    </row>
    <row r="265" spans="1:11" x14ac:dyDescent="0.2">
      <c r="A265" s="1" t="s">
        <v>501</v>
      </c>
      <c r="B265" s="1" t="s">
        <v>502</v>
      </c>
      <c r="C265">
        <v>30188</v>
      </c>
      <c r="D265">
        <v>36528</v>
      </c>
      <c r="E265" s="1" t="s">
        <v>878</v>
      </c>
      <c r="F265" s="1" t="s">
        <v>19</v>
      </c>
      <c r="G265">
        <v>345000</v>
      </c>
      <c r="H265">
        <v>3.5</v>
      </c>
      <c r="I265">
        <v>203</v>
      </c>
      <c r="J265">
        <v>82908</v>
      </c>
      <c r="K265">
        <v>11.43</v>
      </c>
    </row>
    <row r="266" spans="1:11" x14ac:dyDescent="0.2">
      <c r="A266" s="1" t="s">
        <v>519</v>
      </c>
      <c r="B266" s="1" t="s">
        <v>520</v>
      </c>
      <c r="C266">
        <v>35106</v>
      </c>
      <c r="D266">
        <v>47335</v>
      </c>
      <c r="E266" s="1" t="s">
        <v>879</v>
      </c>
      <c r="F266" s="1" t="s">
        <v>19</v>
      </c>
      <c r="G266">
        <v>415000</v>
      </c>
      <c r="H266">
        <v>3.5</v>
      </c>
      <c r="I266">
        <v>204</v>
      </c>
      <c r="J266">
        <v>66489</v>
      </c>
      <c r="K266">
        <v>11.82</v>
      </c>
    </row>
    <row r="267" spans="1:11" x14ac:dyDescent="0.2">
      <c r="A267" s="1" t="s">
        <v>531</v>
      </c>
      <c r="B267" s="1" t="s">
        <v>532</v>
      </c>
      <c r="C267">
        <v>35388</v>
      </c>
      <c r="D267">
        <v>41932</v>
      </c>
      <c r="E267" s="1" t="s">
        <v>881</v>
      </c>
      <c r="F267" s="1" t="s">
        <v>19</v>
      </c>
      <c r="G267">
        <v>400000</v>
      </c>
      <c r="H267">
        <v>3.4</v>
      </c>
      <c r="I267">
        <v>206</v>
      </c>
      <c r="J267">
        <v>60639</v>
      </c>
      <c r="K267">
        <v>11.3</v>
      </c>
    </row>
    <row r="268" spans="1:11" x14ac:dyDescent="0.2">
      <c r="A268" s="1" t="s">
        <v>443</v>
      </c>
      <c r="B268" s="1" t="s">
        <v>444</v>
      </c>
      <c r="C268">
        <v>33506</v>
      </c>
      <c r="D268">
        <v>40737</v>
      </c>
      <c r="E268" s="1" t="s">
        <v>904</v>
      </c>
      <c r="F268" s="1" t="s">
        <v>19</v>
      </c>
      <c r="G268">
        <v>415000</v>
      </c>
      <c r="H268">
        <v>3.3</v>
      </c>
      <c r="I268">
        <v>229</v>
      </c>
      <c r="J268">
        <v>173592</v>
      </c>
      <c r="K268">
        <v>12.39</v>
      </c>
    </row>
    <row r="269" spans="1:11" x14ac:dyDescent="0.2">
      <c r="A269" s="1" t="s">
        <v>579</v>
      </c>
      <c r="B269" s="1" t="s">
        <v>580</v>
      </c>
      <c r="C269">
        <v>28992</v>
      </c>
      <c r="D269">
        <v>32435</v>
      </c>
      <c r="E269" s="1" t="s">
        <v>883</v>
      </c>
      <c r="F269" s="1" t="s">
        <v>20</v>
      </c>
      <c r="G269">
        <v>227000</v>
      </c>
      <c r="H269">
        <v>3.4</v>
      </c>
      <c r="I269">
        <v>208</v>
      </c>
      <c r="J269">
        <v>138594</v>
      </c>
      <c r="K269">
        <v>7.83</v>
      </c>
    </row>
    <row r="270" spans="1:11" x14ac:dyDescent="0.2">
      <c r="A270" s="1" t="s">
        <v>447</v>
      </c>
      <c r="B270" s="1" t="s">
        <v>448</v>
      </c>
      <c r="C270">
        <v>26740</v>
      </c>
      <c r="D270">
        <v>30870</v>
      </c>
      <c r="E270" s="1" t="s">
        <v>901</v>
      </c>
      <c r="F270" s="1" t="s">
        <v>19</v>
      </c>
      <c r="G270">
        <v>260000</v>
      </c>
      <c r="H270">
        <v>3.3</v>
      </c>
      <c r="I270">
        <v>226</v>
      </c>
      <c r="J270">
        <v>95384</v>
      </c>
      <c r="K270">
        <v>9.7200000000000006</v>
      </c>
    </row>
    <row r="271" spans="1:11" x14ac:dyDescent="0.2">
      <c r="A271" s="1" t="s">
        <v>571</v>
      </c>
      <c r="B271" s="1" t="s">
        <v>572</v>
      </c>
      <c r="C271">
        <v>31848</v>
      </c>
      <c r="D271">
        <v>36636</v>
      </c>
      <c r="E271" s="1" t="s">
        <v>884</v>
      </c>
      <c r="F271" s="1" t="s">
        <v>20</v>
      </c>
      <c r="G271">
        <v>338850</v>
      </c>
      <c r="H271">
        <v>3.4</v>
      </c>
      <c r="I271">
        <v>209</v>
      </c>
      <c r="J271">
        <v>261719</v>
      </c>
      <c r="K271">
        <v>10.64</v>
      </c>
    </row>
    <row r="272" spans="1:11" x14ac:dyDescent="0.2">
      <c r="A272" s="1" t="s">
        <v>631</v>
      </c>
      <c r="B272" s="1" t="s">
        <v>632</v>
      </c>
      <c r="C272">
        <v>32675</v>
      </c>
      <c r="D272">
        <v>36407</v>
      </c>
      <c r="E272" s="1" t="s">
        <v>885</v>
      </c>
      <c r="F272" s="1" t="s">
        <v>21</v>
      </c>
      <c r="G272">
        <v>217000</v>
      </c>
      <c r="H272">
        <v>3.4</v>
      </c>
      <c r="I272">
        <v>210</v>
      </c>
      <c r="J272">
        <v>68830</v>
      </c>
      <c r="K272">
        <v>6.64</v>
      </c>
    </row>
    <row r="273" spans="1:11" x14ac:dyDescent="0.2">
      <c r="A273" s="1" t="s">
        <v>561</v>
      </c>
      <c r="B273" s="1" t="s">
        <v>562</v>
      </c>
      <c r="C273">
        <v>34225</v>
      </c>
      <c r="D273">
        <v>40739</v>
      </c>
      <c r="E273" s="1" t="s">
        <v>886</v>
      </c>
      <c r="F273" s="1" t="s">
        <v>19</v>
      </c>
      <c r="G273">
        <v>350000</v>
      </c>
      <c r="H273">
        <v>3.4</v>
      </c>
      <c r="I273">
        <v>211</v>
      </c>
      <c r="J273">
        <v>53258</v>
      </c>
      <c r="K273">
        <v>10.23</v>
      </c>
    </row>
    <row r="274" spans="1:11" x14ac:dyDescent="0.2">
      <c r="A274" s="1" t="s">
        <v>511</v>
      </c>
      <c r="B274" s="1" t="s">
        <v>512</v>
      </c>
      <c r="C274">
        <v>34969</v>
      </c>
      <c r="D274">
        <v>50441</v>
      </c>
      <c r="E274" s="1" t="s">
        <v>887</v>
      </c>
      <c r="F274" s="1" t="s">
        <v>19</v>
      </c>
      <c r="G274">
        <v>490000</v>
      </c>
      <c r="H274">
        <v>3.4</v>
      </c>
      <c r="I274">
        <v>211</v>
      </c>
      <c r="J274">
        <v>57128</v>
      </c>
      <c r="K274">
        <v>14.01</v>
      </c>
    </row>
    <row r="275" spans="1:11" x14ac:dyDescent="0.2">
      <c r="A275" s="1" t="s">
        <v>455</v>
      </c>
      <c r="B275" s="1" t="s">
        <v>456</v>
      </c>
      <c r="C275">
        <v>35454</v>
      </c>
      <c r="D275">
        <v>43720</v>
      </c>
      <c r="E275" s="1" t="s">
        <v>900</v>
      </c>
      <c r="F275" s="1" t="s">
        <v>19</v>
      </c>
      <c r="G275">
        <v>350000</v>
      </c>
      <c r="H275">
        <v>3.3</v>
      </c>
      <c r="I275">
        <v>225</v>
      </c>
      <c r="J275">
        <v>89304</v>
      </c>
      <c r="K275">
        <v>9.8699999999999992</v>
      </c>
    </row>
    <row r="276" spans="1:11" x14ac:dyDescent="0.2">
      <c r="A276" s="1" t="s">
        <v>611</v>
      </c>
      <c r="B276" s="1" t="s">
        <v>612</v>
      </c>
      <c r="C276">
        <v>32927</v>
      </c>
      <c r="D276">
        <v>39671</v>
      </c>
      <c r="E276" s="1" t="s">
        <v>890</v>
      </c>
      <c r="F276" s="1" t="s">
        <v>20</v>
      </c>
      <c r="G276">
        <v>445000</v>
      </c>
      <c r="H276">
        <v>3.4</v>
      </c>
      <c r="I276">
        <v>215</v>
      </c>
      <c r="J276">
        <v>50277</v>
      </c>
      <c r="K276">
        <v>13.51</v>
      </c>
    </row>
    <row r="277" spans="1:11" x14ac:dyDescent="0.2">
      <c r="A277" s="1" t="s">
        <v>461</v>
      </c>
      <c r="B277" s="1" t="s">
        <v>462</v>
      </c>
      <c r="C277">
        <v>38513</v>
      </c>
      <c r="D277">
        <v>46287</v>
      </c>
      <c r="E277" s="1" t="s">
        <v>940</v>
      </c>
      <c r="F277" s="1" t="s">
        <v>19</v>
      </c>
      <c r="G277">
        <v>401500</v>
      </c>
      <c r="H277">
        <v>3</v>
      </c>
      <c r="I277">
        <v>265</v>
      </c>
      <c r="J277">
        <v>86557</v>
      </c>
      <c r="K277">
        <v>10.43</v>
      </c>
    </row>
    <row r="278" spans="1:11" x14ac:dyDescent="0.2">
      <c r="A278" s="1" t="s">
        <v>605</v>
      </c>
      <c r="B278" s="1" t="s">
        <v>606</v>
      </c>
      <c r="C278">
        <v>28752</v>
      </c>
      <c r="D278">
        <v>30037</v>
      </c>
      <c r="E278" s="1" t="s">
        <v>891</v>
      </c>
      <c r="F278" s="1" t="s">
        <v>20</v>
      </c>
      <c r="G278">
        <v>279625</v>
      </c>
      <c r="H278">
        <v>3.4</v>
      </c>
      <c r="I278">
        <v>216</v>
      </c>
      <c r="J278">
        <v>41535</v>
      </c>
      <c r="K278">
        <v>9.73</v>
      </c>
    </row>
    <row r="279" spans="1:11" x14ac:dyDescent="0.2">
      <c r="A279" s="1" t="s">
        <v>463</v>
      </c>
      <c r="B279" s="1" t="s">
        <v>464</v>
      </c>
      <c r="C279">
        <v>37653</v>
      </c>
      <c r="D279">
        <v>57666</v>
      </c>
      <c r="E279" s="1" t="s">
        <v>963</v>
      </c>
      <c r="F279" s="1" t="s">
        <v>19</v>
      </c>
      <c r="G279">
        <v>545000</v>
      </c>
      <c r="H279">
        <v>2.6</v>
      </c>
      <c r="I279">
        <v>288</v>
      </c>
      <c r="J279">
        <v>79309</v>
      </c>
      <c r="K279">
        <v>14.47</v>
      </c>
    </row>
    <row r="280" spans="1:11" x14ac:dyDescent="0.2">
      <c r="A280" s="1" t="s">
        <v>521</v>
      </c>
      <c r="B280" s="1" t="s">
        <v>522</v>
      </c>
      <c r="C280">
        <v>35319</v>
      </c>
      <c r="D280">
        <v>55601</v>
      </c>
      <c r="E280" s="1" t="s">
        <v>892</v>
      </c>
      <c r="F280" s="1" t="s">
        <v>19</v>
      </c>
      <c r="G280">
        <v>441750</v>
      </c>
      <c r="H280">
        <v>3.4</v>
      </c>
      <c r="I280">
        <v>217</v>
      </c>
      <c r="J280">
        <v>65233</v>
      </c>
      <c r="K280">
        <v>12.51</v>
      </c>
    </row>
    <row r="281" spans="1:11" x14ac:dyDescent="0.2">
      <c r="A281" s="1" t="s">
        <v>465</v>
      </c>
      <c r="B281" s="1" t="s">
        <v>466</v>
      </c>
      <c r="C281">
        <v>43538</v>
      </c>
      <c r="D281">
        <v>57185</v>
      </c>
      <c r="E281" s="1" t="s">
        <v>967</v>
      </c>
      <c r="F281" s="1" t="s">
        <v>19</v>
      </c>
      <c r="G281">
        <v>490000</v>
      </c>
      <c r="H281">
        <v>2.6</v>
      </c>
      <c r="I281">
        <v>292</v>
      </c>
      <c r="J281">
        <v>96035</v>
      </c>
      <c r="K281">
        <v>11.25</v>
      </c>
    </row>
    <row r="282" spans="1:11" x14ac:dyDescent="0.2">
      <c r="A282" s="1" t="s">
        <v>467</v>
      </c>
      <c r="B282" s="1" t="s">
        <v>468</v>
      </c>
      <c r="C282">
        <v>31199</v>
      </c>
      <c r="D282">
        <v>35208</v>
      </c>
      <c r="E282" s="1" t="s">
        <v>928</v>
      </c>
      <c r="F282" s="1" t="s">
        <v>19</v>
      </c>
      <c r="G282">
        <v>275000</v>
      </c>
      <c r="H282">
        <v>3.1</v>
      </c>
      <c r="I282">
        <v>253</v>
      </c>
      <c r="J282">
        <v>72382</v>
      </c>
      <c r="K282">
        <v>8.81</v>
      </c>
    </row>
    <row r="283" spans="1:11" x14ac:dyDescent="0.2">
      <c r="A283" s="1" t="s">
        <v>607</v>
      </c>
      <c r="B283" s="1" t="s">
        <v>608</v>
      </c>
      <c r="C283">
        <v>26556</v>
      </c>
      <c r="D283">
        <v>31371</v>
      </c>
      <c r="E283" s="1" t="s">
        <v>895</v>
      </c>
      <c r="F283" s="1" t="s">
        <v>20</v>
      </c>
      <c r="G283">
        <v>299250</v>
      </c>
      <c r="H283">
        <v>3.4</v>
      </c>
      <c r="I283">
        <v>220</v>
      </c>
      <c r="J283">
        <v>31519</v>
      </c>
      <c r="K283">
        <v>11.27</v>
      </c>
    </row>
    <row r="284" spans="1:11" x14ac:dyDescent="0.2">
      <c r="A284" s="1" t="s">
        <v>471</v>
      </c>
      <c r="B284" s="1" t="s">
        <v>472</v>
      </c>
      <c r="C284">
        <v>33088</v>
      </c>
      <c r="D284">
        <v>36401</v>
      </c>
      <c r="E284" s="1" t="s">
        <v>925</v>
      </c>
      <c r="F284" s="1" t="s">
        <v>19</v>
      </c>
      <c r="G284">
        <v>380000</v>
      </c>
      <c r="H284">
        <v>3.1</v>
      </c>
      <c r="I284">
        <v>250</v>
      </c>
      <c r="J284">
        <v>59618</v>
      </c>
      <c r="K284">
        <v>11.48</v>
      </c>
    </row>
    <row r="285" spans="1:11" x14ac:dyDescent="0.2">
      <c r="A285" s="1" t="s">
        <v>489</v>
      </c>
      <c r="B285" s="1" t="s">
        <v>490</v>
      </c>
      <c r="C285">
        <v>30819</v>
      </c>
      <c r="D285">
        <v>35925</v>
      </c>
      <c r="E285" s="1" t="s">
        <v>896</v>
      </c>
      <c r="F285" s="1" t="s">
        <v>19</v>
      </c>
      <c r="G285">
        <v>320000</v>
      </c>
      <c r="H285">
        <v>3.4</v>
      </c>
      <c r="I285">
        <v>221</v>
      </c>
      <c r="J285">
        <v>63693</v>
      </c>
      <c r="K285">
        <v>10.38</v>
      </c>
    </row>
    <row r="286" spans="1:11" x14ac:dyDescent="0.2">
      <c r="A286" s="1" t="s">
        <v>591</v>
      </c>
      <c r="B286" s="1" t="s">
        <v>592</v>
      </c>
      <c r="C286">
        <v>31873</v>
      </c>
      <c r="D286">
        <v>38222</v>
      </c>
      <c r="E286" s="1" t="s">
        <v>897</v>
      </c>
      <c r="F286" s="1" t="s">
        <v>20</v>
      </c>
      <c r="G286">
        <v>320000</v>
      </c>
      <c r="H286">
        <v>3.4</v>
      </c>
      <c r="I286">
        <v>221</v>
      </c>
      <c r="J286">
        <v>270540</v>
      </c>
      <c r="K286">
        <v>10.039999999999999</v>
      </c>
    </row>
    <row r="287" spans="1:11" x14ac:dyDescent="0.2">
      <c r="A287" s="1" t="s">
        <v>475</v>
      </c>
      <c r="B287" s="1" t="s">
        <v>476</v>
      </c>
      <c r="C287">
        <v>33376</v>
      </c>
      <c r="D287">
        <v>43375</v>
      </c>
      <c r="E287" s="1" t="s">
        <v>906</v>
      </c>
      <c r="F287" s="1" t="s">
        <v>19</v>
      </c>
      <c r="G287">
        <v>380000</v>
      </c>
      <c r="H287">
        <v>3.3</v>
      </c>
      <c r="I287">
        <v>231</v>
      </c>
      <c r="J287">
        <v>94121</v>
      </c>
      <c r="K287">
        <v>11.39</v>
      </c>
    </row>
    <row r="288" spans="1:11" x14ac:dyDescent="0.2">
      <c r="A288" s="1" t="s">
        <v>479</v>
      </c>
      <c r="B288" s="1" t="s">
        <v>480</v>
      </c>
      <c r="C288">
        <v>39682</v>
      </c>
      <c r="D288" t="s">
        <v>330</v>
      </c>
      <c r="E288" s="1" t="s">
        <v>950</v>
      </c>
      <c r="F288" s="1" t="s">
        <v>19</v>
      </c>
      <c r="G288">
        <v>420000</v>
      </c>
      <c r="H288">
        <v>2.8</v>
      </c>
      <c r="I288">
        <v>275</v>
      </c>
      <c r="J288">
        <v>67953</v>
      </c>
      <c r="K288">
        <v>10.58</v>
      </c>
    </row>
    <row r="289" spans="1:11" x14ac:dyDescent="0.2">
      <c r="A289" s="1" t="s">
        <v>633</v>
      </c>
      <c r="B289" s="1" t="s">
        <v>634</v>
      </c>
      <c r="C289">
        <v>29752</v>
      </c>
      <c r="D289">
        <v>32355</v>
      </c>
      <c r="E289" s="1" t="s">
        <v>903</v>
      </c>
      <c r="F289" s="1" t="s">
        <v>21</v>
      </c>
      <c r="G289">
        <v>195500</v>
      </c>
      <c r="H289">
        <v>3.3</v>
      </c>
      <c r="I289">
        <v>228</v>
      </c>
      <c r="J289">
        <v>53837</v>
      </c>
      <c r="K289">
        <v>6.57</v>
      </c>
    </row>
    <row r="290" spans="1:11" x14ac:dyDescent="0.2">
      <c r="A290" s="1" t="s">
        <v>487</v>
      </c>
      <c r="B290" s="1" t="s">
        <v>488</v>
      </c>
      <c r="C290">
        <v>39341</v>
      </c>
      <c r="D290">
        <v>49445</v>
      </c>
      <c r="E290" s="1" t="s">
        <v>976</v>
      </c>
      <c r="F290" s="1" t="s">
        <v>19</v>
      </c>
      <c r="G290">
        <v>465000</v>
      </c>
      <c r="H290">
        <v>2.2999999999999998</v>
      </c>
      <c r="I290">
        <v>301</v>
      </c>
      <c r="J290">
        <v>57145</v>
      </c>
      <c r="K290">
        <v>11.82</v>
      </c>
    </row>
    <row r="291" spans="1:11" x14ac:dyDescent="0.2">
      <c r="A291" s="1" t="s">
        <v>491</v>
      </c>
      <c r="B291" s="1" t="s">
        <v>492</v>
      </c>
      <c r="C291">
        <v>31344</v>
      </c>
      <c r="D291">
        <v>37271</v>
      </c>
      <c r="E291" s="1" t="s">
        <v>938</v>
      </c>
      <c r="F291" s="1" t="s">
        <v>19</v>
      </c>
      <c r="G291">
        <v>382000</v>
      </c>
      <c r="H291">
        <v>3</v>
      </c>
      <c r="I291">
        <v>263</v>
      </c>
      <c r="J291">
        <v>106783</v>
      </c>
      <c r="K291">
        <v>12.19</v>
      </c>
    </row>
    <row r="292" spans="1:11" x14ac:dyDescent="0.2">
      <c r="A292" s="1" t="s">
        <v>495</v>
      </c>
      <c r="B292" s="1" t="s">
        <v>496</v>
      </c>
      <c r="C292">
        <v>35314</v>
      </c>
      <c r="D292">
        <v>41780</v>
      </c>
      <c r="E292" s="1" t="s">
        <v>919</v>
      </c>
      <c r="F292" s="1" t="s">
        <v>19</v>
      </c>
      <c r="G292">
        <v>365000</v>
      </c>
      <c r="H292">
        <v>3.2</v>
      </c>
      <c r="I292">
        <v>244</v>
      </c>
      <c r="J292">
        <v>68583</v>
      </c>
      <c r="K292">
        <v>10.34</v>
      </c>
    </row>
    <row r="293" spans="1:11" x14ac:dyDescent="0.2">
      <c r="A293" s="1" t="s">
        <v>497</v>
      </c>
      <c r="B293" s="1" t="s">
        <v>498</v>
      </c>
      <c r="C293">
        <v>38352</v>
      </c>
      <c r="D293" t="s">
        <v>330</v>
      </c>
      <c r="E293" s="1" t="s">
        <v>961</v>
      </c>
      <c r="F293" s="1" t="s">
        <v>19</v>
      </c>
      <c r="G293">
        <v>465000</v>
      </c>
      <c r="H293">
        <v>2.7</v>
      </c>
      <c r="I293">
        <v>286</v>
      </c>
      <c r="J293">
        <v>65058</v>
      </c>
      <c r="K293">
        <v>12.12</v>
      </c>
    </row>
    <row r="294" spans="1:11" x14ac:dyDescent="0.2">
      <c r="A294" s="1" t="s">
        <v>551</v>
      </c>
      <c r="B294" s="1" t="s">
        <v>552</v>
      </c>
      <c r="C294">
        <v>42326</v>
      </c>
      <c r="D294">
        <v>63557</v>
      </c>
      <c r="E294" s="1" t="s">
        <v>909</v>
      </c>
      <c r="F294" s="1" t="s">
        <v>19</v>
      </c>
      <c r="G294">
        <v>552500</v>
      </c>
      <c r="H294">
        <v>3.3</v>
      </c>
      <c r="I294">
        <v>234</v>
      </c>
      <c r="J294">
        <v>70733</v>
      </c>
      <c r="K294">
        <v>13.05</v>
      </c>
    </row>
    <row r="295" spans="1:11" x14ac:dyDescent="0.2">
      <c r="A295" s="1" t="s">
        <v>603</v>
      </c>
      <c r="B295" s="1" t="s">
        <v>604</v>
      </c>
      <c r="C295">
        <v>28911</v>
      </c>
      <c r="D295">
        <v>33150</v>
      </c>
      <c r="E295" s="1" t="s">
        <v>914</v>
      </c>
      <c r="F295" s="1" t="s">
        <v>20</v>
      </c>
      <c r="G295">
        <v>300000</v>
      </c>
      <c r="H295">
        <v>3.2</v>
      </c>
      <c r="I295">
        <v>239</v>
      </c>
      <c r="J295">
        <v>80712</v>
      </c>
      <c r="K295">
        <v>10.38</v>
      </c>
    </row>
    <row r="296" spans="1:11" x14ac:dyDescent="0.2">
      <c r="A296" s="1" t="s">
        <v>593</v>
      </c>
      <c r="B296" s="1" t="s">
        <v>594</v>
      </c>
      <c r="C296">
        <v>32154</v>
      </c>
      <c r="D296">
        <v>35950</v>
      </c>
      <c r="E296" s="1" t="s">
        <v>918</v>
      </c>
      <c r="F296" s="1" t="s">
        <v>20</v>
      </c>
      <c r="G296">
        <v>330000</v>
      </c>
      <c r="H296">
        <v>3.2</v>
      </c>
      <c r="I296">
        <v>240</v>
      </c>
      <c r="J296">
        <v>94050</v>
      </c>
      <c r="K296">
        <v>10.26</v>
      </c>
    </row>
    <row r="297" spans="1:11" x14ac:dyDescent="0.2">
      <c r="A297" s="1" t="s">
        <v>575</v>
      </c>
      <c r="B297" s="1" t="s">
        <v>576</v>
      </c>
      <c r="C297">
        <v>31444</v>
      </c>
      <c r="D297">
        <v>35349</v>
      </c>
      <c r="E297" s="1" t="s">
        <v>921</v>
      </c>
      <c r="F297" s="1" t="s">
        <v>20</v>
      </c>
      <c r="G297">
        <v>345000</v>
      </c>
      <c r="H297">
        <v>3.2</v>
      </c>
      <c r="I297">
        <v>246</v>
      </c>
      <c r="J297">
        <v>232487</v>
      </c>
      <c r="K297">
        <v>10.97</v>
      </c>
    </row>
    <row r="298" spans="1:11" x14ac:dyDescent="0.2">
      <c r="A298" s="1" t="s">
        <v>523</v>
      </c>
      <c r="B298" s="1" t="s">
        <v>524</v>
      </c>
      <c r="C298">
        <v>36568</v>
      </c>
      <c r="D298">
        <v>43315</v>
      </c>
      <c r="E298" s="1" t="s">
        <v>947</v>
      </c>
      <c r="F298" s="1" t="s">
        <v>19</v>
      </c>
      <c r="G298">
        <v>358000</v>
      </c>
      <c r="H298">
        <v>2.9</v>
      </c>
      <c r="I298">
        <v>272</v>
      </c>
      <c r="J298">
        <v>89358</v>
      </c>
      <c r="K298">
        <v>9.7899999999999991</v>
      </c>
    </row>
    <row r="299" spans="1:11" x14ac:dyDescent="0.2">
      <c r="A299" s="1" t="s">
        <v>525</v>
      </c>
      <c r="B299" s="1" t="s">
        <v>526</v>
      </c>
      <c r="C299">
        <v>36517</v>
      </c>
      <c r="D299">
        <v>41516</v>
      </c>
      <c r="E299" s="1" t="s">
        <v>973</v>
      </c>
      <c r="F299" s="1" t="s">
        <v>19</v>
      </c>
      <c r="G299">
        <v>450000</v>
      </c>
      <c r="H299">
        <v>2.5</v>
      </c>
      <c r="I299">
        <v>298</v>
      </c>
      <c r="J299">
        <v>58666</v>
      </c>
      <c r="K299">
        <v>12.32</v>
      </c>
    </row>
    <row r="300" spans="1:11" x14ac:dyDescent="0.2">
      <c r="A300" s="1" t="s">
        <v>527</v>
      </c>
      <c r="B300" s="1" t="s">
        <v>528</v>
      </c>
      <c r="C300">
        <v>43026</v>
      </c>
      <c r="D300">
        <v>62328</v>
      </c>
      <c r="E300" s="1" t="s">
        <v>924</v>
      </c>
      <c r="F300" s="1" t="s">
        <v>19</v>
      </c>
      <c r="G300">
        <v>450000</v>
      </c>
      <c r="H300">
        <v>3.2</v>
      </c>
      <c r="I300">
        <v>249</v>
      </c>
      <c r="J300">
        <v>80124</v>
      </c>
      <c r="K300">
        <v>10.46</v>
      </c>
    </row>
    <row r="301" spans="1:11" x14ac:dyDescent="0.2">
      <c r="A301" s="1" t="s">
        <v>529</v>
      </c>
      <c r="B301" s="1" t="s">
        <v>530</v>
      </c>
      <c r="C301">
        <v>38859</v>
      </c>
      <c r="D301">
        <v>46710</v>
      </c>
      <c r="E301" s="1" t="s">
        <v>970</v>
      </c>
      <c r="F301" s="1" t="s">
        <v>19</v>
      </c>
      <c r="G301">
        <v>400000</v>
      </c>
      <c r="H301">
        <v>2.6</v>
      </c>
      <c r="I301">
        <v>295</v>
      </c>
      <c r="J301">
        <v>69319</v>
      </c>
      <c r="K301">
        <v>10.29</v>
      </c>
    </row>
    <row r="302" spans="1:11" x14ac:dyDescent="0.2">
      <c r="A302" s="1" t="s">
        <v>599</v>
      </c>
      <c r="B302" s="1" t="s">
        <v>600</v>
      </c>
      <c r="C302">
        <v>28386</v>
      </c>
      <c r="D302">
        <v>30317</v>
      </c>
      <c r="E302" s="1" t="s">
        <v>926</v>
      </c>
      <c r="F302" s="1" t="s">
        <v>20</v>
      </c>
      <c r="G302">
        <v>295000</v>
      </c>
      <c r="H302">
        <v>3.1</v>
      </c>
      <c r="I302">
        <v>251</v>
      </c>
      <c r="J302">
        <v>56287</v>
      </c>
      <c r="K302">
        <v>10.39</v>
      </c>
    </row>
    <row r="303" spans="1:11" x14ac:dyDescent="0.2">
      <c r="A303" s="1" t="s">
        <v>533</v>
      </c>
      <c r="B303" s="1" t="s">
        <v>534</v>
      </c>
      <c r="C303">
        <v>42607</v>
      </c>
      <c r="D303">
        <v>79026</v>
      </c>
      <c r="E303" s="1" t="s">
        <v>972</v>
      </c>
      <c r="F303" s="1" t="s">
        <v>19</v>
      </c>
      <c r="G303">
        <v>650000</v>
      </c>
      <c r="H303">
        <v>2.6</v>
      </c>
      <c r="I303">
        <v>297</v>
      </c>
      <c r="J303">
        <v>85486</v>
      </c>
      <c r="K303">
        <v>15.26</v>
      </c>
    </row>
    <row r="304" spans="1:11" x14ac:dyDescent="0.2">
      <c r="A304" s="1" t="s">
        <v>535</v>
      </c>
      <c r="B304" s="1" t="s">
        <v>536</v>
      </c>
      <c r="C304">
        <v>43006</v>
      </c>
      <c r="D304">
        <v>56209</v>
      </c>
      <c r="E304" s="1" t="s">
        <v>966</v>
      </c>
      <c r="F304" s="1" t="s">
        <v>19</v>
      </c>
      <c r="G304">
        <v>550000</v>
      </c>
      <c r="H304">
        <v>2.6</v>
      </c>
      <c r="I304">
        <v>291</v>
      </c>
      <c r="J304">
        <v>42388</v>
      </c>
      <c r="K304">
        <v>12.79</v>
      </c>
    </row>
    <row r="305" spans="1:11" x14ac:dyDescent="0.2">
      <c r="A305" s="1" t="s">
        <v>537</v>
      </c>
      <c r="B305" s="1" t="s">
        <v>538</v>
      </c>
      <c r="C305">
        <v>39985</v>
      </c>
      <c r="D305">
        <v>54626</v>
      </c>
      <c r="E305" s="1" t="s">
        <v>953</v>
      </c>
      <c r="F305" s="1" t="s">
        <v>19</v>
      </c>
      <c r="G305">
        <v>500000</v>
      </c>
      <c r="H305">
        <v>2.8</v>
      </c>
      <c r="I305">
        <v>278</v>
      </c>
      <c r="J305">
        <v>75069</v>
      </c>
      <c r="K305">
        <v>12.5</v>
      </c>
    </row>
    <row r="306" spans="1:11" x14ac:dyDescent="0.2">
      <c r="A306" s="1" t="s">
        <v>547</v>
      </c>
      <c r="B306" s="1" t="s">
        <v>548</v>
      </c>
      <c r="C306">
        <v>37793</v>
      </c>
      <c r="D306" t="s">
        <v>330</v>
      </c>
      <c r="E306" s="1" t="s">
        <v>929</v>
      </c>
      <c r="F306" s="1" t="s">
        <v>19</v>
      </c>
      <c r="G306">
        <v>475000</v>
      </c>
      <c r="H306">
        <v>3.1</v>
      </c>
      <c r="I306">
        <v>254</v>
      </c>
      <c r="J306">
        <v>51140</v>
      </c>
      <c r="K306">
        <v>12.57</v>
      </c>
    </row>
    <row r="307" spans="1:11" x14ac:dyDescent="0.2">
      <c r="A307" s="1" t="s">
        <v>539</v>
      </c>
      <c r="B307" s="1" t="s">
        <v>540</v>
      </c>
      <c r="C307">
        <v>35341</v>
      </c>
      <c r="D307">
        <v>44039</v>
      </c>
      <c r="E307" s="1" t="s">
        <v>957</v>
      </c>
      <c r="F307" s="1" t="s">
        <v>19</v>
      </c>
      <c r="G307">
        <v>577500</v>
      </c>
      <c r="H307">
        <v>2.7</v>
      </c>
      <c r="I307">
        <v>282</v>
      </c>
      <c r="J307">
        <v>45618</v>
      </c>
      <c r="K307">
        <v>16.34</v>
      </c>
    </row>
    <row r="308" spans="1:11" x14ac:dyDescent="0.2">
      <c r="A308" s="1" t="s">
        <v>541</v>
      </c>
      <c r="B308" s="1" t="s">
        <v>542</v>
      </c>
      <c r="C308">
        <v>40014</v>
      </c>
      <c r="D308">
        <v>49833</v>
      </c>
      <c r="E308" s="1" t="s">
        <v>941</v>
      </c>
      <c r="F308" s="1" t="s">
        <v>19</v>
      </c>
      <c r="G308">
        <v>475000</v>
      </c>
      <c r="H308">
        <v>3</v>
      </c>
      <c r="I308">
        <v>266</v>
      </c>
      <c r="J308">
        <v>85780</v>
      </c>
      <c r="K308">
        <v>11.87</v>
      </c>
    </row>
    <row r="309" spans="1:11" x14ac:dyDescent="0.2">
      <c r="A309" s="1" t="s">
        <v>543</v>
      </c>
      <c r="B309" s="1" t="s">
        <v>544</v>
      </c>
      <c r="C309">
        <v>42203</v>
      </c>
      <c r="D309">
        <v>48025</v>
      </c>
      <c r="E309" s="1" t="s">
        <v>945</v>
      </c>
      <c r="F309" s="1" t="s">
        <v>19</v>
      </c>
      <c r="G309">
        <v>465000</v>
      </c>
      <c r="H309">
        <v>2.9</v>
      </c>
      <c r="I309">
        <v>270</v>
      </c>
      <c r="J309">
        <v>46821</v>
      </c>
      <c r="K309">
        <v>11.02</v>
      </c>
    </row>
    <row r="310" spans="1:11" x14ac:dyDescent="0.2">
      <c r="A310" s="1" t="s">
        <v>595</v>
      </c>
      <c r="B310" s="1" t="s">
        <v>596</v>
      </c>
      <c r="C310">
        <v>29531</v>
      </c>
      <c r="D310">
        <v>32967</v>
      </c>
      <c r="E310" s="1" t="s">
        <v>932</v>
      </c>
      <c r="F310" s="1" t="s">
        <v>20</v>
      </c>
      <c r="G310">
        <v>300000</v>
      </c>
      <c r="H310">
        <v>3.1</v>
      </c>
      <c r="I310">
        <v>257</v>
      </c>
      <c r="J310">
        <v>68144</v>
      </c>
      <c r="K310">
        <v>10.16</v>
      </c>
    </row>
    <row r="311" spans="1:11" x14ac:dyDescent="0.2">
      <c r="A311" s="1" t="s">
        <v>565</v>
      </c>
      <c r="B311" s="1" t="s">
        <v>566</v>
      </c>
      <c r="C311">
        <v>37705</v>
      </c>
      <c r="D311">
        <v>43857</v>
      </c>
      <c r="E311" s="1" t="s">
        <v>933</v>
      </c>
      <c r="F311" s="1" t="s">
        <v>19</v>
      </c>
      <c r="G311">
        <v>440000</v>
      </c>
      <c r="H311">
        <v>3.1</v>
      </c>
      <c r="I311">
        <v>258</v>
      </c>
      <c r="J311">
        <v>87532</v>
      </c>
      <c r="K311">
        <v>11.67</v>
      </c>
    </row>
    <row r="312" spans="1:11" x14ac:dyDescent="0.2">
      <c r="A312" s="1" t="s">
        <v>549</v>
      </c>
      <c r="B312" s="1" t="s">
        <v>550</v>
      </c>
      <c r="C312">
        <v>33316</v>
      </c>
      <c r="D312">
        <v>42974</v>
      </c>
      <c r="E312" s="1" t="s">
        <v>942</v>
      </c>
      <c r="F312" s="1" t="s">
        <v>19</v>
      </c>
      <c r="G312">
        <v>509000</v>
      </c>
      <c r="H312">
        <v>2.9</v>
      </c>
      <c r="I312">
        <v>267</v>
      </c>
      <c r="J312">
        <v>47155</v>
      </c>
      <c r="K312">
        <v>15.28</v>
      </c>
    </row>
    <row r="313" spans="1:11" x14ac:dyDescent="0.2">
      <c r="A313" s="1" t="s">
        <v>625</v>
      </c>
      <c r="B313" s="1" t="s">
        <v>626</v>
      </c>
      <c r="C313">
        <v>25179</v>
      </c>
      <c r="D313">
        <v>29318</v>
      </c>
      <c r="E313" s="1" t="s">
        <v>936</v>
      </c>
      <c r="F313" s="1" t="s">
        <v>21</v>
      </c>
      <c r="G313">
        <v>195000</v>
      </c>
      <c r="H313">
        <v>3</v>
      </c>
      <c r="I313">
        <v>261</v>
      </c>
      <c r="J313">
        <v>53839</v>
      </c>
      <c r="K313">
        <v>7.74</v>
      </c>
    </row>
    <row r="314" spans="1:11" x14ac:dyDescent="0.2">
      <c r="A314" s="1" t="s">
        <v>553</v>
      </c>
      <c r="B314" s="1" t="s">
        <v>554</v>
      </c>
      <c r="C314">
        <v>38172</v>
      </c>
      <c r="D314">
        <v>43753</v>
      </c>
      <c r="E314" s="1" t="s">
        <v>960</v>
      </c>
      <c r="F314" s="1" t="s">
        <v>19</v>
      </c>
      <c r="G314">
        <v>450000</v>
      </c>
      <c r="H314">
        <v>2.7</v>
      </c>
      <c r="I314">
        <v>285</v>
      </c>
      <c r="J314">
        <v>61124</v>
      </c>
      <c r="K314">
        <v>11.79</v>
      </c>
    </row>
    <row r="315" spans="1:11" x14ac:dyDescent="0.2">
      <c r="A315" s="1" t="s">
        <v>559</v>
      </c>
      <c r="B315" s="1" t="s">
        <v>560</v>
      </c>
      <c r="C315">
        <v>28585</v>
      </c>
      <c r="D315">
        <v>35844</v>
      </c>
      <c r="E315" s="1" t="s">
        <v>937</v>
      </c>
      <c r="F315" s="1" t="s">
        <v>19</v>
      </c>
      <c r="G315">
        <v>425000</v>
      </c>
      <c r="H315">
        <v>3</v>
      </c>
      <c r="I315">
        <v>262</v>
      </c>
      <c r="J315">
        <v>67707</v>
      </c>
      <c r="K315">
        <v>14.87</v>
      </c>
    </row>
    <row r="316" spans="1:11" x14ac:dyDescent="0.2">
      <c r="A316" s="1" t="s">
        <v>637</v>
      </c>
      <c r="B316" s="1" t="s">
        <v>638</v>
      </c>
      <c r="C316">
        <v>29326</v>
      </c>
      <c r="D316">
        <v>32048</v>
      </c>
      <c r="E316" s="1" t="s">
        <v>939</v>
      </c>
      <c r="F316" s="1" t="s">
        <v>21</v>
      </c>
      <c r="G316">
        <v>225000</v>
      </c>
      <c r="H316">
        <v>3</v>
      </c>
      <c r="I316">
        <v>264</v>
      </c>
      <c r="J316">
        <v>28765</v>
      </c>
      <c r="K316">
        <v>7.67</v>
      </c>
    </row>
    <row r="317" spans="1:11" x14ac:dyDescent="0.2">
      <c r="A317" s="1" t="s">
        <v>563</v>
      </c>
      <c r="B317" s="1" t="s">
        <v>564</v>
      </c>
      <c r="C317">
        <v>36448</v>
      </c>
      <c r="D317">
        <v>43523</v>
      </c>
      <c r="E317" s="1" t="s">
        <v>975</v>
      </c>
      <c r="F317" s="1" t="s">
        <v>19</v>
      </c>
      <c r="G317">
        <v>435000</v>
      </c>
      <c r="H317">
        <v>2.2999999999999998</v>
      </c>
      <c r="I317">
        <v>300</v>
      </c>
      <c r="J317">
        <v>84729</v>
      </c>
      <c r="K317">
        <v>11.93</v>
      </c>
    </row>
    <row r="318" spans="1:11" x14ac:dyDescent="0.2">
      <c r="A318" s="1" t="s">
        <v>601</v>
      </c>
      <c r="B318" s="1" t="s">
        <v>602</v>
      </c>
      <c r="C318">
        <v>29721</v>
      </c>
      <c r="D318">
        <v>33638</v>
      </c>
      <c r="E318" s="1" t="s">
        <v>946</v>
      </c>
      <c r="F318" s="1" t="s">
        <v>20</v>
      </c>
      <c r="G318">
        <v>365000</v>
      </c>
      <c r="H318">
        <v>2.9</v>
      </c>
      <c r="I318">
        <v>271</v>
      </c>
      <c r="J318">
        <v>57050</v>
      </c>
      <c r="K318">
        <v>12.28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6C86-5DAE-874E-9AE2-2B5523849F62}">
  <dimension ref="A1:L318"/>
  <sheetViews>
    <sheetView workbookViewId="0"/>
  </sheetViews>
  <sheetFormatPr baseColWidth="10" defaultRowHeight="16" x14ac:dyDescent="0.2"/>
  <cols>
    <col min="1" max="1" width="11" bestFit="1" customWidth="1"/>
    <col min="2" max="2" width="32.5" bestFit="1" customWidth="1"/>
    <col min="3" max="3" width="22.33203125" bestFit="1" customWidth="1"/>
    <col min="4" max="4" width="13.5" bestFit="1" customWidth="1"/>
    <col min="5" max="5" width="14.83203125" bestFit="1" customWidth="1"/>
    <col min="6" max="6" width="14.6640625" bestFit="1" customWidth="1"/>
    <col min="7" max="7" width="20.6640625" bestFit="1" customWidth="1"/>
    <col min="8" max="8" width="13" bestFit="1" customWidth="1"/>
    <col min="9" max="9" width="12" bestFit="1" customWidth="1"/>
    <col min="11" max="11" width="18.5" bestFit="1" customWidth="1"/>
    <col min="12" max="12" width="18.83203125" bestFit="1" customWidth="1"/>
  </cols>
  <sheetData>
    <row r="1" spans="1:12" x14ac:dyDescent="0.2">
      <c r="A1" t="s">
        <v>27</v>
      </c>
      <c r="B1" t="s">
        <v>667</v>
      </c>
      <c r="C1" t="s">
        <v>1</v>
      </c>
      <c r="D1" t="s">
        <v>668</v>
      </c>
      <c r="E1" t="s">
        <v>669</v>
      </c>
      <c r="F1" t="s">
        <v>670</v>
      </c>
      <c r="G1" t="s">
        <v>671</v>
      </c>
      <c r="H1" t="s">
        <v>672</v>
      </c>
      <c r="I1" t="s">
        <v>673</v>
      </c>
      <c r="J1" t="s">
        <v>674</v>
      </c>
      <c r="K1" t="s">
        <v>675</v>
      </c>
      <c r="L1" t="s">
        <v>5</v>
      </c>
    </row>
    <row r="2" spans="1:12" x14ac:dyDescent="0.2">
      <c r="A2" s="1" t="s">
        <v>81</v>
      </c>
      <c r="B2" s="1" t="s">
        <v>676</v>
      </c>
      <c r="C2" s="1" t="s">
        <v>18</v>
      </c>
      <c r="D2">
        <v>53.496891769954551</v>
      </c>
      <c r="E2">
        <v>-2.3352053040427396</v>
      </c>
      <c r="F2">
        <v>129995</v>
      </c>
      <c r="G2">
        <v>239995</v>
      </c>
      <c r="H2">
        <v>4512</v>
      </c>
      <c r="I2">
        <v>3373</v>
      </c>
      <c r="J2">
        <v>6.3</v>
      </c>
      <c r="K2">
        <v>1</v>
      </c>
      <c r="L2">
        <v>122196</v>
      </c>
    </row>
    <row r="3" spans="1:12" x14ac:dyDescent="0.2">
      <c r="A3" s="1" t="s">
        <v>660</v>
      </c>
      <c r="B3" s="1" t="s">
        <v>677</v>
      </c>
      <c r="C3" s="1" t="s">
        <v>21</v>
      </c>
      <c r="D3">
        <v>51.767667269278149</v>
      </c>
      <c r="E3">
        <v>-3.1918736511456025</v>
      </c>
      <c r="F3">
        <v>78000</v>
      </c>
      <c r="G3">
        <v>140500</v>
      </c>
      <c r="H3">
        <v>753</v>
      </c>
      <c r="I3">
        <v>737</v>
      </c>
      <c r="J3">
        <v>6.1</v>
      </c>
      <c r="K3">
        <v>2</v>
      </c>
      <c r="L3">
        <v>25120</v>
      </c>
    </row>
    <row r="4" spans="1:12" x14ac:dyDescent="0.2">
      <c r="A4" s="1" t="s">
        <v>157</v>
      </c>
      <c r="B4" s="1" t="s">
        <v>678</v>
      </c>
      <c r="C4" s="1" t="s">
        <v>10</v>
      </c>
      <c r="D4">
        <v>52.63605745784519</v>
      </c>
      <c r="E4">
        <v>-1.1251369609832635</v>
      </c>
      <c r="F4">
        <v>135000</v>
      </c>
      <c r="G4">
        <v>242000</v>
      </c>
      <c r="H4">
        <v>3442</v>
      </c>
      <c r="I4">
        <v>2193</v>
      </c>
      <c r="J4">
        <v>6</v>
      </c>
      <c r="K4">
        <v>3</v>
      </c>
      <c r="L4">
        <v>113725</v>
      </c>
    </row>
    <row r="5" spans="1:12" x14ac:dyDescent="0.2">
      <c r="A5" s="1" t="s">
        <v>77</v>
      </c>
      <c r="B5" s="1" t="s">
        <v>679</v>
      </c>
      <c r="C5" s="1" t="s">
        <v>18</v>
      </c>
      <c r="D5">
        <v>53.543156192823986</v>
      </c>
      <c r="E5">
        <v>-2.10485900552001</v>
      </c>
      <c r="F5">
        <v>119500</v>
      </c>
      <c r="G5">
        <v>214000</v>
      </c>
      <c r="H5">
        <v>2473</v>
      </c>
      <c r="I5">
        <v>2337</v>
      </c>
      <c r="J5">
        <v>6</v>
      </c>
      <c r="K5">
        <v>4</v>
      </c>
      <c r="L5">
        <v>97508</v>
      </c>
    </row>
    <row r="6" spans="1:12" x14ac:dyDescent="0.2">
      <c r="A6" s="1" t="s">
        <v>265</v>
      </c>
      <c r="B6" s="1" t="s">
        <v>680</v>
      </c>
      <c r="C6" s="1" t="s">
        <v>22</v>
      </c>
      <c r="D6">
        <v>52.512036506882168</v>
      </c>
      <c r="E6">
        <v>-2.0093614313868615</v>
      </c>
      <c r="F6">
        <v>124950</v>
      </c>
      <c r="G6">
        <v>220000</v>
      </c>
      <c r="H6">
        <v>3317</v>
      </c>
      <c r="I6">
        <v>2489</v>
      </c>
      <c r="J6">
        <v>5.8</v>
      </c>
      <c r="K6">
        <v>5</v>
      </c>
      <c r="L6">
        <v>111954</v>
      </c>
    </row>
    <row r="7" spans="1:12" x14ac:dyDescent="0.2">
      <c r="A7" s="1" t="s">
        <v>75</v>
      </c>
      <c r="B7" s="1" t="s">
        <v>681</v>
      </c>
      <c r="C7" s="1" t="s">
        <v>18</v>
      </c>
      <c r="D7">
        <v>53.461427795087097</v>
      </c>
      <c r="E7">
        <v>-2.2306665467535818</v>
      </c>
      <c r="F7">
        <v>143000</v>
      </c>
      <c r="G7">
        <v>250000</v>
      </c>
      <c r="H7">
        <v>7051</v>
      </c>
      <c r="I7">
        <v>4498</v>
      </c>
      <c r="J7">
        <v>5.7</v>
      </c>
      <c r="K7">
        <v>6</v>
      </c>
      <c r="L7">
        <v>221822</v>
      </c>
    </row>
    <row r="8" spans="1:12" x14ac:dyDescent="0.2">
      <c r="A8" s="1" t="s">
        <v>161</v>
      </c>
      <c r="B8" s="1" t="s">
        <v>682</v>
      </c>
      <c r="C8" s="1" t="s">
        <v>10</v>
      </c>
      <c r="D8">
        <v>52.961122148134081</v>
      </c>
      <c r="E8">
        <v>-1.1688441802297977</v>
      </c>
      <c r="F8">
        <v>115000</v>
      </c>
      <c r="G8">
        <v>200000</v>
      </c>
      <c r="H8">
        <v>3825</v>
      </c>
      <c r="I8">
        <v>2708</v>
      </c>
      <c r="J8">
        <v>5.7</v>
      </c>
      <c r="K8">
        <v>7</v>
      </c>
      <c r="L8">
        <v>122675</v>
      </c>
    </row>
    <row r="9" spans="1:12" x14ac:dyDescent="0.2">
      <c r="A9" s="1" t="s">
        <v>271</v>
      </c>
      <c r="B9" s="1" t="s">
        <v>683</v>
      </c>
      <c r="C9" s="1" t="s">
        <v>22</v>
      </c>
      <c r="D9">
        <v>52.587981584178728</v>
      </c>
      <c r="E9">
        <v>-2.1189597609711615</v>
      </c>
      <c r="F9">
        <v>128000</v>
      </c>
      <c r="G9">
        <v>222000</v>
      </c>
      <c r="H9">
        <v>2737</v>
      </c>
      <c r="I9">
        <v>2140</v>
      </c>
      <c r="J9">
        <v>5.7</v>
      </c>
      <c r="K9">
        <v>8</v>
      </c>
      <c r="L9">
        <v>87503</v>
      </c>
    </row>
    <row r="10" spans="1:12" x14ac:dyDescent="0.2">
      <c r="A10" s="1" t="s">
        <v>71</v>
      </c>
      <c r="B10" s="1" t="s">
        <v>684</v>
      </c>
      <c r="C10" s="1" t="s">
        <v>18</v>
      </c>
      <c r="D10">
        <v>53.577384665597116</v>
      </c>
      <c r="E10">
        <v>-2.4483238872956985</v>
      </c>
      <c r="F10">
        <v>120000</v>
      </c>
      <c r="G10">
        <v>208000</v>
      </c>
      <c r="H10">
        <v>3642</v>
      </c>
      <c r="I10">
        <v>3209</v>
      </c>
      <c r="J10">
        <v>5.7</v>
      </c>
      <c r="K10">
        <v>9</v>
      </c>
      <c r="L10">
        <v>128302</v>
      </c>
    </row>
    <row r="11" spans="1:12" x14ac:dyDescent="0.2">
      <c r="A11" s="1" t="s">
        <v>91</v>
      </c>
      <c r="B11" s="1" t="s">
        <v>685</v>
      </c>
      <c r="C11" s="1" t="s">
        <v>18</v>
      </c>
      <c r="D11">
        <v>53.791809450756496</v>
      </c>
      <c r="E11">
        <v>-2.2507913437053952</v>
      </c>
      <c r="F11">
        <v>78000</v>
      </c>
      <c r="G11">
        <v>134670</v>
      </c>
      <c r="H11">
        <v>1317</v>
      </c>
      <c r="I11">
        <v>1284</v>
      </c>
      <c r="J11">
        <v>5.6</v>
      </c>
      <c r="K11">
        <v>10</v>
      </c>
      <c r="L11">
        <v>54720</v>
      </c>
    </row>
    <row r="12" spans="1:12" x14ac:dyDescent="0.2">
      <c r="A12" s="1" t="s">
        <v>85</v>
      </c>
      <c r="B12" s="1" t="s">
        <v>686</v>
      </c>
      <c r="C12" s="1" t="s">
        <v>18</v>
      </c>
      <c r="D12">
        <v>53.473869480023026</v>
      </c>
      <c r="E12">
        <v>-2.0913418051813473</v>
      </c>
      <c r="F12">
        <v>125000</v>
      </c>
      <c r="G12">
        <v>215000</v>
      </c>
      <c r="H12">
        <v>2980</v>
      </c>
      <c r="I12">
        <v>2678</v>
      </c>
      <c r="J12">
        <v>5.6</v>
      </c>
      <c r="K12">
        <v>11</v>
      </c>
      <c r="L12">
        <v>103741</v>
      </c>
    </row>
    <row r="13" spans="1:12" x14ac:dyDescent="0.2">
      <c r="A13" s="1" t="s">
        <v>73</v>
      </c>
      <c r="B13" s="1" t="s">
        <v>687</v>
      </c>
      <c r="C13" s="1" t="s">
        <v>18</v>
      </c>
      <c r="D13">
        <v>53.570199210061887</v>
      </c>
      <c r="E13">
        <v>-2.303365697570479</v>
      </c>
      <c r="F13">
        <v>146995</v>
      </c>
      <c r="G13">
        <v>250000</v>
      </c>
      <c r="H13">
        <v>2914</v>
      </c>
      <c r="I13">
        <v>2270</v>
      </c>
      <c r="J13">
        <v>5.5</v>
      </c>
      <c r="K13">
        <v>12</v>
      </c>
      <c r="L13">
        <v>94993</v>
      </c>
    </row>
    <row r="14" spans="1:12" x14ac:dyDescent="0.2">
      <c r="A14" s="1" t="s">
        <v>83</v>
      </c>
      <c r="B14" s="1" t="s">
        <v>688</v>
      </c>
      <c r="C14" s="1" t="s">
        <v>18</v>
      </c>
      <c r="D14">
        <v>53.397653504050488</v>
      </c>
      <c r="E14">
        <v>-2.1536065461567446</v>
      </c>
      <c r="F14">
        <v>183000</v>
      </c>
      <c r="G14">
        <v>310000</v>
      </c>
      <c r="H14">
        <v>4941</v>
      </c>
      <c r="I14">
        <v>4347</v>
      </c>
      <c r="J14">
        <v>5.4</v>
      </c>
      <c r="K14">
        <v>13</v>
      </c>
      <c r="L14">
        <v>152836</v>
      </c>
    </row>
    <row r="15" spans="1:12" x14ac:dyDescent="0.2">
      <c r="A15" s="1" t="s">
        <v>87</v>
      </c>
      <c r="B15" s="1" t="s">
        <v>689</v>
      </c>
      <c r="C15" s="1" t="s">
        <v>18</v>
      </c>
      <c r="D15">
        <v>53.424001034296346</v>
      </c>
      <c r="E15">
        <v>-2.3336408483693725</v>
      </c>
      <c r="F15">
        <v>220500</v>
      </c>
      <c r="G15">
        <v>370000</v>
      </c>
      <c r="H15">
        <v>3899</v>
      </c>
      <c r="I15">
        <v>2968</v>
      </c>
      <c r="J15">
        <v>5.3</v>
      </c>
      <c r="K15">
        <v>14</v>
      </c>
      <c r="L15">
        <v>117109</v>
      </c>
    </row>
    <row r="16" spans="1:12" x14ac:dyDescent="0.2">
      <c r="A16" s="1" t="s">
        <v>215</v>
      </c>
      <c r="B16" s="1" t="s">
        <v>690</v>
      </c>
      <c r="C16" s="1" t="s">
        <v>10</v>
      </c>
      <c r="D16">
        <v>52.955106023116436</v>
      </c>
      <c r="E16">
        <v>-1.2497818370433791</v>
      </c>
      <c r="F16">
        <v>149000</v>
      </c>
      <c r="G16">
        <v>250000</v>
      </c>
      <c r="H16">
        <v>1799</v>
      </c>
      <c r="I16">
        <v>1529</v>
      </c>
      <c r="J16">
        <v>5.3</v>
      </c>
      <c r="K16">
        <v>15</v>
      </c>
      <c r="L16">
        <v>57783</v>
      </c>
    </row>
    <row r="17" spans="1:12" x14ac:dyDescent="0.2">
      <c r="A17" s="1" t="s">
        <v>195</v>
      </c>
      <c r="B17" s="1" t="s">
        <v>691</v>
      </c>
      <c r="C17" s="1" t="s">
        <v>10</v>
      </c>
      <c r="D17">
        <v>52.587333858292354</v>
      </c>
      <c r="E17">
        <v>-1.102920430934287</v>
      </c>
      <c r="F17">
        <v>167000</v>
      </c>
      <c r="G17">
        <v>278500</v>
      </c>
      <c r="H17">
        <v>869</v>
      </c>
      <c r="I17">
        <v>668</v>
      </c>
      <c r="J17">
        <v>5.2</v>
      </c>
      <c r="K17">
        <v>16</v>
      </c>
      <c r="L17">
        <v>27093</v>
      </c>
    </row>
    <row r="18" spans="1:12" x14ac:dyDescent="0.2">
      <c r="A18" s="1" t="s">
        <v>247</v>
      </c>
      <c r="B18" s="1" t="s">
        <v>692</v>
      </c>
      <c r="C18" s="1" t="s">
        <v>22</v>
      </c>
      <c r="D18">
        <v>52.626167768639853</v>
      </c>
      <c r="E18">
        <v>-1.680670411206507</v>
      </c>
      <c r="F18">
        <v>150000</v>
      </c>
      <c r="G18">
        <v>250000</v>
      </c>
      <c r="H18">
        <v>1008</v>
      </c>
      <c r="I18">
        <v>1083</v>
      </c>
      <c r="J18">
        <v>5.2</v>
      </c>
      <c r="K18">
        <v>17</v>
      </c>
      <c r="L18">
        <v>38489</v>
      </c>
    </row>
    <row r="19" spans="1:12" x14ac:dyDescent="0.2">
      <c r="A19" s="1" t="s">
        <v>217</v>
      </c>
      <c r="B19" s="1" t="s">
        <v>693</v>
      </c>
      <c r="C19" s="1" t="s">
        <v>10</v>
      </c>
      <c r="D19">
        <v>52.997115994966443</v>
      </c>
      <c r="E19">
        <v>-1.1087812402125281</v>
      </c>
      <c r="F19">
        <v>150000</v>
      </c>
      <c r="G19">
        <v>250000</v>
      </c>
      <c r="H19">
        <v>2052</v>
      </c>
      <c r="I19">
        <v>1792</v>
      </c>
      <c r="J19">
        <v>5.2</v>
      </c>
      <c r="K19">
        <v>17</v>
      </c>
      <c r="L19">
        <v>64419</v>
      </c>
    </row>
    <row r="20" spans="1:12" x14ac:dyDescent="0.2">
      <c r="A20" s="1" t="s">
        <v>269</v>
      </c>
      <c r="B20" s="1" t="s">
        <v>694</v>
      </c>
      <c r="C20" s="1" t="s">
        <v>22</v>
      </c>
      <c r="D20">
        <v>52.595544222295601</v>
      </c>
      <c r="E20">
        <v>-1.9810343979659226</v>
      </c>
      <c r="F20">
        <v>135000</v>
      </c>
      <c r="G20">
        <v>225000</v>
      </c>
      <c r="H20">
        <v>3196</v>
      </c>
      <c r="I20">
        <v>2673</v>
      </c>
      <c r="J20">
        <v>5.2</v>
      </c>
      <c r="K20">
        <v>17</v>
      </c>
      <c r="L20">
        <v>101322</v>
      </c>
    </row>
    <row r="21" spans="1:12" x14ac:dyDescent="0.2">
      <c r="A21" s="1" t="s">
        <v>79</v>
      </c>
      <c r="B21" s="1" t="s">
        <v>695</v>
      </c>
      <c r="C21" s="1" t="s">
        <v>18</v>
      </c>
      <c r="D21">
        <v>53.599985904482715</v>
      </c>
      <c r="E21">
        <v>-2.1720200502015392</v>
      </c>
      <c r="F21">
        <v>124950</v>
      </c>
      <c r="G21">
        <v>207000</v>
      </c>
      <c r="H21">
        <v>2686</v>
      </c>
      <c r="I21">
        <v>2446</v>
      </c>
      <c r="J21">
        <v>5.2</v>
      </c>
      <c r="K21">
        <v>20</v>
      </c>
      <c r="L21">
        <v>90260</v>
      </c>
    </row>
    <row r="22" spans="1:12" x14ac:dyDescent="0.2">
      <c r="A22" s="1" t="s">
        <v>251</v>
      </c>
      <c r="B22" s="1" t="s">
        <v>696</v>
      </c>
      <c r="C22" s="1" t="s">
        <v>22</v>
      </c>
      <c r="D22">
        <v>52.506797067200459</v>
      </c>
      <c r="E22">
        <v>-1.474478912782385</v>
      </c>
      <c r="F22">
        <v>145000</v>
      </c>
      <c r="G22">
        <v>240000</v>
      </c>
      <c r="H22">
        <v>2075</v>
      </c>
      <c r="I22">
        <v>1811</v>
      </c>
      <c r="J22">
        <v>5.2</v>
      </c>
      <c r="K22">
        <v>21</v>
      </c>
      <c r="L22">
        <v>67009</v>
      </c>
    </row>
    <row r="23" spans="1:12" x14ac:dyDescent="0.2">
      <c r="A23" s="1" t="s">
        <v>233</v>
      </c>
      <c r="B23" s="1" t="s">
        <v>697</v>
      </c>
      <c r="C23" s="1" t="s">
        <v>22</v>
      </c>
      <c r="D23">
        <v>52.707460788118809</v>
      </c>
      <c r="E23">
        <v>-1.9940450586633662</v>
      </c>
      <c r="F23">
        <v>138000</v>
      </c>
      <c r="G23">
        <v>228000</v>
      </c>
      <c r="H23">
        <v>1407</v>
      </c>
      <c r="I23">
        <v>1374</v>
      </c>
      <c r="J23">
        <v>5.0999999999999996</v>
      </c>
      <c r="K23">
        <v>22</v>
      </c>
      <c r="L23">
        <v>48134</v>
      </c>
    </row>
    <row r="24" spans="1:12" x14ac:dyDescent="0.2">
      <c r="A24" s="1" t="s">
        <v>470</v>
      </c>
      <c r="B24" s="1" t="s">
        <v>698</v>
      </c>
      <c r="C24" s="1" t="s">
        <v>19</v>
      </c>
      <c r="D24">
        <v>50.865674309375002</v>
      </c>
      <c r="E24">
        <v>0.56597937906249995</v>
      </c>
      <c r="F24">
        <v>171000</v>
      </c>
      <c r="G24">
        <v>282500</v>
      </c>
      <c r="H24">
        <v>1952</v>
      </c>
      <c r="I24">
        <v>1257</v>
      </c>
      <c r="J24">
        <v>5.0999999999999996</v>
      </c>
      <c r="K24">
        <v>23</v>
      </c>
      <c r="L24">
        <v>60616</v>
      </c>
    </row>
    <row r="25" spans="1:12" x14ac:dyDescent="0.2">
      <c r="A25" s="1" t="s">
        <v>263</v>
      </c>
      <c r="B25" s="1" t="s">
        <v>699</v>
      </c>
      <c r="C25" s="1" t="s">
        <v>22</v>
      </c>
      <c r="D25">
        <v>52.484858595533495</v>
      </c>
      <c r="E25">
        <v>-2.1099386876426798</v>
      </c>
      <c r="F25">
        <v>147500</v>
      </c>
      <c r="G25">
        <v>242000</v>
      </c>
      <c r="H25">
        <v>4224</v>
      </c>
      <c r="I25">
        <v>3530</v>
      </c>
      <c r="J25">
        <v>5.0999999999999996</v>
      </c>
      <c r="K25">
        <v>24</v>
      </c>
      <c r="L25">
        <v>131996</v>
      </c>
    </row>
    <row r="26" spans="1:12" x14ac:dyDescent="0.2">
      <c r="A26" s="1" t="s">
        <v>518</v>
      </c>
      <c r="B26" s="1" t="s">
        <v>700</v>
      </c>
      <c r="C26" s="1" t="s">
        <v>19</v>
      </c>
      <c r="D26">
        <v>51.362954371249771</v>
      </c>
      <c r="E26">
        <v>1.3885579219584023</v>
      </c>
      <c r="F26">
        <v>180000</v>
      </c>
      <c r="G26">
        <v>295000</v>
      </c>
      <c r="H26">
        <v>2938</v>
      </c>
      <c r="I26">
        <v>2009</v>
      </c>
      <c r="J26">
        <v>5.0999999999999996</v>
      </c>
      <c r="K26">
        <v>25</v>
      </c>
      <c r="L26">
        <v>84386</v>
      </c>
    </row>
    <row r="27" spans="1:12" x14ac:dyDescent="0.2">
      <c r="A27" s="1" t="s">
        <v>115</v>
      </c>
      <c r="B27" s="1" t="s">
        <v>701</v>
      </c>
      <c r="C27" s="1" t="s">
        <v>18</v>
      </c>
      <c r="D27">
        <v>53.433286822906055</v>
      </c>
      <c r="E27">
        <v>-2.8467006586509069</v>
      </c>
      <c r="F27">
        <v>119050</v>
      </c>
      <c r="G27">
        <v>195000</v>
      </c>
      <c r="H27">
        <v>1514</v>
      </c>
      <c r="I27">
        <v>1738</v>
      </c>
      <c r="J27">
        <v>5.0999999999999996</v>
      </c>
      <c r="K27">
        <v>26</v>
      </c>
      <c r="L27">
        <v>56827</v>
      </c>
    </row>
    <row r="28" spans="1:12" x14ac:dyDescent="0.2">
      <c r="A28" s="1" t="s">
        <v>259</v>
      </c>
      <c r="B28" s="1" t="s">
        <v>702</v>
      </c>
      <c r="C28" s="1" t="s">
        <v>22</v>
      </c>
      <c r="D28">
        <v>52.480620565575173</v>
      </c>
      <c r="E28">
        <v>-1.8852513660592256</v>
      </c>
      <c r="F28">
        <v>145000</v>
      </c>
      <c r="G28">
        <v>237500</v>
      </c>
      <c r="H28">
        <v>12580</v>
      </c>
      <c r="I28">
        <v>9054</v>
      </c>
      <c r="J28">
        <v>5.0999999999999996</v>
      </c>
      <c r="K28">
        <v>27</v>
      </c>
      <c r="L28">
        <v>419720</v>
      </c>
    </row>
    <row r="29" spans="1:12" x14ac:dyDescent="0.2">
      <c r="A29" s="1" t="s">
        <v>662</v>
      </c>
      <c r="B29" s="1" t="s">
        <v>703</v>
      </c>
      <c r="C29" s="1" t="s">
        <v>21</v>
      </c>
      <c r="D29">
        <v>51.675892101128881</v>
      </c>
      <c r="E29">
        <v>-3.0358869541392286</v>
      </c>
      <c r="F29">
        <v>122250</v>
      </c>
      <c r="G29">
        <v>200000</v>
      </c>
      <c r="H29">
        <v>1046</v>
      </c>
      <c r="I29">
        <v>1018</v>
      </c>
      <c r="J29">
        <v>5</v>
      </c>
      <c r="K29">
        <v>28</v>
      </c>
      <c r="L29">
        <v>37175</v>
      </c>
    </row>
    <row r="30" spans="1:12" x14ac:dyDescent="0.2">
      <c r="A30" s="1" t="s">
        <v>289</v>
      </c>
      <c r="B30" s="1" t="s">
        <v>704</v>
      </c>
      <c r="C30" s="1" t="s">
        <v>15</v>
      </c>
      <c r="D30">
        <v>51.891382356031869</v>
      </c>
      <c r="E30">
        <v>-0.43005577807283762</v>
      </c>
      <c r="F30">
        <v>193000</v>
      </c>
      <c r="G30">
        <v>315000</v>
      </c>
      <c r="H30">
        <v>2611</v>
      </c>
      <c r="I30">
        <v>1676</v>
      </c>
      <c r="J30">
        <v>5</v>
      </c>
      <c r="K30">
        <v>29</v>
      </c>
      <c r="L30">
        <v>93541</v>
      </c>
    </row>
    <row r="31" spans="1:12" x14ac:dyDescent="0.2">
      <c r="A31" s="1" t="s">
        <v>450</v>
      </c>
      <c r="B31" s="1" t="s">
        <v>705</v>
      </c>
      <c r="C31" s="1" t="s">
        <v>19</v>
      </c>
      <c r="D31">
        <v>51.381272652477321</v>
      </c>
      <c r="E31">
        <v>0.53861963305419869</v>
      </c>
      <c r="F31">
        <v>191500</v>
      </c>
      <c r="G31">
        <v>312500</v>
      </c>
      <c r="H31">
        <v>4757</v>
      </c>
      <c r="I31">
        <v>3427</v>
      </c>
      <c r="J31">
        <v>5</v>
      </c>
      <c r="K31">
        <v>30</v>
      </c>
      <c r="L31">
        <v>142967</v>
      </c>
    </row>
    <row r="32" spans="1:12" x14ac:dyDescent="0.2">
      <c r="A32" s="1" t="s">
        <v>101</v>
      </c>
      <c r="B32" s="1" t="s">
        <v>706</v>
      </c>
      <c r="C32" s="1" t="s">
        <v>18</v>
      </c>
      <c r="D32">
        <v>53.864000441983855</v>
      </c>
      <c r="E32">
        <v>-2.1942554987312572</v>
      </c>
      <c r="F32">
        <v>90000</v>
      </c>
      <c r="G32">
        <v>146750</v>
      </c>
      <c r="H32">
        <v>1379</v>
      </c>
      <c r="I32">
        <v>1362</v>
      </c>
      <c r="J32">
        <v>5</v>
      </c>
      <c r="K32">
        <v>31</v>
      </c>
      <c r="L32">
        <v>51224</v>
      </c>
    </row>
    <row r="33" spans="1:12" x14ac:dyDescent="0.2">
      <c r="A33" s="1" t="s">
        <v>656</v>
      </c>
      <c r="B33" s="1" t="s">
        <v>707</v>
      </c>
      <c r="C33" s="1" t="s">
        <v>21</v>
      </c>
      <c r="D33">
        <v>51.735117967967966</v>
      </c>
      <c r="E33">
        <v>-3.3633275570570569</v>
      </c>
      <c r="F33">
        <v>89000</v>
      </c>
      <c r="G33">
        <v>145000</v>
      </c>
      <c r="H33">
        <v>713</v>
      </c>
      <c r="I33">
        <v>583</v>
      </c>
      <c r="J33">
        <v>5</v>
      </c>
      <c r="K33">
        <v>32</v>
      </c>
      <c r="L33">
        <v>21966</v>
      </c>
    </row>
    <row r="34" spans="1:12" x14ac:dyDescent="0.2">
      <c r="A34" s="1" t="s">
        <v>55</v>
      </c>
      <c r="B34" s="1" t="s">
        <v>708</v>
      </c>
      <c r="C34" s="1" t="s">
        <v>18</v>
      </c>
      <c r="D34">
        <v>53.729119137300664</v>
      </c>
      <c r="E34">
        <v>-2.477177295604823</v>
      </c>
      <c r="F34">
        <v>103000</v>
      </c>
      <c r="G34">
        <v>167750</v>
      </c>
      <c r="H34">
        <v>1652</v>
      </c>
      <c r="I34">
        <v>1816</v>
      </c>
      <c r="J34">
        <v>5</v>
      </c>
      <c r="K34">
        <v>33</v>
      </c>
      <c r="L34">
        <v>69625</v>
      </c>
    </row>
    <row r="35" spans="1:12" x14ac:dyDescent="0.2">
      <c r="A35" s="1" t="s">
        <v>574</v>
      </c>
      <c r="B35" s="1" t="s">
        <v>709</v>
      </c>
      <c r="C35" s="1" t="s">
        <v>20</v>
      </c>
      <c r="D35">
        <v>51.460560022976914</v>
      </c>
      <c r="E35">
        <v>-2.5874414444631251</v>
      </c>
      <c r="F35">
        <v>215000</v>
      </c>
      <c r="G35">
        <v>350000</v>
      </c>
      <c r="H35">
        <v>7990</v>
      </c>
      <c r="I35">
        <v>5855</v>
      </c>
      <c r="J35">
        <v>5</v>
      </c>
      <c r="K35">
        <v>34</v>
      </c>
      <c r="L35">
        <v>235062</v>
      </c>
    </row>
    <row r="36" spans="1:12" x14ac:dyDescent="0.2">
      <c r="A36" s="1" t="s">
        <v>283</v>
      </c>
      <c r="B36" s="1" t="s">
        <v>710</v>
      </c>
      <c r="C36" s="1" t="s">
        <v>22</v>
      </c>
      <c r="D36">
        <v>52.375508629324166</v>
      </c>
      <c r="E36">
        <v>-2.264626848797251</v>
      </c>
      <c r="F36">
        <v>156950</v>
      </c>
      <c r="G36">
        <v>255275</v>
      </c>
      <c r="H36">
        <v>1597</v>
      </c>
      <c r="I36">
        <v>1466</v>
      </c>
      <c r="J36">
        <v>5</v>
      </c>
      <c r="K36">
        <v>35</v>
      </c>
      <c r="L36">
        <v>48939</v>
      </c>
    </row>
    <row r="37" spans="1:12" x14ac:dyDescent="0.2">
      <c r="A37" s="1" t="s">
        <v>658</v>
      </c>
      <c r="B37" s="1" t="s">
        <v>711</v>
      </c>
      <c r="C37" s="1" t="s">
        <v>21</v>
      </c>
      <c r="D37">
        <v>51.645599610433457</v>
      </c>
      <c r="E37">
        <v>-3.2043685438902201</v>
      </c>
      <c r="F37">
        <v>118750</v>
      </c>
      <c r="G37">
        <v>192500</v>
      </c>
      <c r="H37">
        <v>2134</v>
      </c>
      <c r="I37">
        <v>2052</v>
      </c>
      <c r="J37">
        <v>4.9000000000000004</v>
      </c>
      <c r="K37">
        <v>36</v>
      </c>
      <c r="L37">
        <v>75047</v>
      </c>
    </row>
    <row r="38" spans="1:12" x14ac:dyDescent="0.2">
      <c r="A38" s="1" t="s">
        <v>327</v>
      </c>
      <c r="B38" s="1" t="s">
        <v>712</v>
      </c>
      <c r="C38" s="1" t="s">
        <v>15</v>
      </c>
      <c r="D38">
        <v>51.849145109099965</v>
      </c>
      <c r="E38">
        <v>1.1470551800066422</v>
      </c>
      <c r="F38">
        <v>175000</v>
      </c>
      <c r="G38">
        <v>283250</v>
      </c>
      <c r="H38">
        <v>3146</v>
      </c>
      <c r="I38">
        <v>2508</v>
      </c>
      <c r="J38">
        <v>4.9000000000000004</v>
      </c>
      <c r="K38">
        <v>37</v>
      </c>
      <c r="L38">
        <v>99050</v>
      </c>
    </row>
    <row r="39" spans="1:12" x14ac:dyDescent="0.2">
      <c r="A39" s="1" t="s">
        <v>508</v>
      </c>
      <c r="B39" s="1" t="s">
        <v>713</v>
      </c>
      <c r="C39" s="1" t="s">
        <v>19</v>
      </c>
      <c r="D39">
        <v>51.424881957188497</v>
      </c>
      <c r="E39">
        <v>0.37396782300319487</v>
      </c>
      <c r="F39">
        <v>230000</v>
      </c>
      <c r="G39">
        <v>370000</v>
      </c>
      <c r="H39">
        <v>1429</v>
      </c>
      <c r="I39">
        <v>1132</v>
      </c>
      <c r="J39">
        <v>4.9000000000000004</v>
      </c>
      <c r="K39">
        <v>38</v>
      </c>
      <c r="L39">
        <v>45066</v>
      </c>
    </row>
    <row r="40" spans="1:12" x14ac:dyDescent="0.2">
      <c r="A40" s="1" t="s">
        <v>177</v>
      </c>
      <c r="B40" s="1" t="s">
        <v>714</v>
      </c>
      <c r="C40" s="1" t="s">
        <v>10</v>
      </c>
      <c r="D40">
        <v>53.364390471888697</v>
      </c>
      <c r="E40">
        <v>-1.9407263291404613</v>
      </c>
      <c r="F40">
        <v>163000</v>
      </c>
      <c r="G40">
        <v>261500</v>
      </c>
      <c r="H40">
        <v>1578</v>
      </c>
      <c r="I40">
        <v>1393</v>
      </c>
      <c r="J40">
        <v>4.8</v>
      </c>
      <c r="K40">
        <v>39</v>
      </c>
      <c r="L40">
        <v>50332</v>
      </c>
    </row>
    <row r="41" spans="1:12" x14ac:dyDescent="0.2">
      <c r="A41" s="1" t="s">
        <v>253</v>
      </c>
      <c r="B41" s="1" t="s">
        <v>715</v>
      </c>
      <c r="C41" s="1" t="s">
        <v>22</v>
      </c>
      <c r="D41">
        <v>52.375158114230665</v>
      </c>
      <c r="E41">
        <v>-1.2809708089733003</v>
      </c>
      <c r="F41">
        <v>187500</v>
      </c>
      <c r="G41">
        <v>300748</v>
      </c>
      <c r="H41">
        <v>1917</v>
      </c>
      <c r="I41">
        <v>1752</v>
      </c>
      <c r="J41">
        <v>4.8</v>
      </c>
      <c r="K41">
        <v>40</v>
      </c>
      <c r="L41">
        <v>60141</v>
      </c>
    </row>
    <row r="42" spans="1:12" x14ac:dyDescent="0.2">
      <c r="A42" s="1" t="s">
        <v>89</v>
      </c>
      <c r="B42" s="1" t="s">
        <v>716</v>
      </c>
      <c r="C42" s="1" t="s">
        <v>18</v>
      </c>
      <c r="D42">
        <v>53.524903858812259</v>
      </c>
      <c r="E42">
        <v>-2.5850272755747126</v>
      </c>
      <c r="F42">
        <v>125000</v>
      </c>
      <c r="G42">
        <v>199999</v>
      </c>
      <c r="H42">
        <v>4344</v>
      </c>
      <c r="I42">
        <v>4277</v>
      </c>
      <c r="J42">
        <v>4.8</v>
      </c>
      <c r="K42">
        <v>41</v>
      </c>
      <c r="L42">
        <v>153577</v>
      </c>
    </row>
    <row r="43" spans="1:12" x14ac:dyDescent="0.2">
      <c r="A43" s="1" t="s">
        <v>169</v>
      </c>
      <c r="B43" s="1" t="s">
        <v>717</v>
      </c>
      <c r="C43" s="1" t="s">
        <v>10</v>
      </c>
      <c r="D43">
        <v>53.20768010865109</v>
      </c>
      <c r="E43">
        <v>-1.2748448765887659</v>
      </c>
      <c r="F43">
        <v>115000</v>
      </c>
      <c r="G43">
        <v>183500</v>
      </c>
      <c r="H43">
        <v>1217</v>
      </c>
      <c r="I43">
        <v>1234</v>
      </c>
      <c r="J43">
        <v>4.8</v>
      </c>
      <c r="K43">
        <v>42</v>
      </c>
      <c r="L43">
        <v>40611</v>
      </c>
    </row>
    <row r="44" spans="1:12" x14ac:dyDescent="0.2">
      <c r="A44" s="1" t="s">
        <v>155</v>
      </c>
      <c r="B44" s="1" t="s">
        <v>718</v>
      </c>
      <c r="C44" s="1" t="s">
        <v>10</v>
      </c>
      <c r="D44">
        <v>52.912693120450037</v>
      </c>
      <c r="E44">
        <v>-1.4718634011416281</v>
      </c>
      <c r="F44">
        <v>138000</v>
      </c>
      <c r="G44">
        <v>220000</v>
      </c>
      <c r="H44">
        <v>3653</v>
      </c>
      <c r="I44">
        <v>2899</v>
      </c>
      <c r="J44">
        <v>4.8</v>
      </c>
      <c r="K44">
        <v>43</v>
      </c>
      <c r="L44">
        <v>120862</v>
      </c>
    </row>
    <row r="45" spans="1:12" x14ac:dyDescent="0.2">
      <c r="A45" s="1" t="s">
        <v>175</v>
      </c>
      <c r="B45" s="1" t="s">
        <v>719</v>
      </c>
      <c r="C45" s="1" t="s">
        <v>10</v>
      </c>
      <c r="D45">
        <v>52.932728544113395</v>
      </c>
      <c r="E45">
        <v>-1.3153874567544113</v>
      </c>
      <c r="F45">
        <v>135000</v>
      </c>
      <c r="G45">
        <v>215000</v>
      </c>
      <c r="H45">
        <v>1994</v>
      </c>
      <c r="I45">
        <v>1593</v>
      </c>
      <c r="J45">
        <v>4.8</v>
      </c>
      <c r="K45">
        <v>44</v>
      </c>
      <c r="L45">
        <v>61647</v>
      </c>
    </row>
    <row r="46" spans="1:12" x14ac:dyDescent="0.2">
      <c r="A46" s="1" t="s">
        <v>227</v>
      </c>
      <c r="B46" s="1" t="s">
        <v>720</v>
      </c>
      <c r="C46" s="1" t="s">
        <v>22</v>
      </c>
      <c r="D46">
        <v>53.015698820484211</v>
      </c>
      <c r="E46">
        <v>-2.1666580734129197</v>
      </c>
      <c r="F46">
        <v>100500</v>
      </c>
      <c r="G46">
        <v>160000</v>
      </c>
      <c r="H46">
        <v>3359</v>
      </c>
      <c r="I46">
        <v>2754</v>
      </c>
      <c r="J46">
        <v>4.8</v>
      </c>
      <c r="K46">
        <v>45</v>
      </c>
      <c r="L46">
        <v>118904</v>
      </c>
    </row>
    <row r="47" spans="1:12" x14ac:dyDescent="0.2">
      <c r="A47" s="1" t="s">
        <v>183</v>
      </c>
      <c r="B47" s="1" t="s">
        <v>721</v>
      </c>
      <c r="C47" s="1" t="s">
        <v>10</v>
      </c>
      <c r="D47">
        <v>52.589718239400327</v>
      </c>
      <c r="E47">
        <v>-1.2008910367767627</v>
      </c>
      <c r="F47">
        <v>176000</v>
      </c>
      <c r="G47">
        <v>280000</v>
      </c>
      <c r="H47">
        <v>1854</v>
      </c>
      <c r="I47">
        <v>1415</v>
      </c>
      <c r="J47">
        <v>4.8</v>
      </c>
      <c r="K47">
        <v>46</v>
      </c>
      <c r="L47">
        <v>53637</v>
      </c>
    </row>
    <row r="48" spans="1:12" x14ac:dyDescent="0.2">
      <c r="A48" s="1" t="s">
        <v>307</v>
      </c>
      <c r="B48" s="1" t="s">
        <v>722</v>
      </c>
      <c r="C48" s="1" t="s">
        <v>15</v>
      </c>
      <c r="D48">
        <v>51.590136585512425</v>
      </c>
      <c r="E48">
        <v>0.46541609680038981</v>
      </c>
      <c r="F48">
        <v>230000</v>
      </c>
      <c r="G48">
        <v>365000</v>
      </c>
      <c r="H48">
        <v>3353</v>
      </c>
      <c r="I48">
        <v>2426</v>
      </c>
      <c r="J48">
        <v>4.7</v>
      </c>
      <c r="K48">
        <v>47</v>
      </c>
      <c r="L48">
        <v>94483</v>
      </c>
    </row>
    <row r="49" spans="1:12" x14ac:dyDescent="0.2">
      <c r="A49" s="1" t="s">
        <v>261</v>
      </c>
      <c r="B49" s="1" t="s">
        <v>723</v>
      </c>
      <c r="C49" s="1" t="s">
        <v>22</v>
      </c>
      <c r="D49">
        <v>52.412979994143328</v>
      </c>
      <c r="E49">
        <v>-1.5063375932275582</v>
      </c>
      <c r="F49">
        <v>145000</v>
      </c>
      <c r="G49">
        <v>230000</v>
      </c>
      <c r="H49">
        <v>4681</v>
      </c>
      <c r="I49">
        <v>3402</v>
      </c>
      <c r="J49">
        <v>4.7</v>
      </c>
      <c r="K49">
        <v>48</v>
      </c>
      <c r="L49">
        <v>145612</v>
      </c>
    </row>
    <row r="50" spans="1:12" x14ac:dyDescent="0.2">
      <c r="A50" s="1" t="s">
        <v>143</v>
      </c>
      <c r="B50" s="1" t="s">
        <v>724</v>
      </c>
      <c r="C50" s="1" t="s">
        <v>23</v>
      </c>
      <c r="D50">
        <v>53.384834665654274</v>
      </c>
      <c r="E50">
        <v>-1.4671844095027282</v>
      </c>
      <c r="F50">
        <v>138000</v>
      </c>
      <c r="G50">
        <v>218361</v>
      </c>
      <c r="H50">
        <v>7392</v>
      </c>
      <c r="I50">
        <v>5893</v>
      </c>
      <c r="J50">
        <v>4.7</v>
      </c>
      <c r="K50">
        <v>49</v>
      </c>
      <c r="L50">
        <v>236237</v>
      </c>
    </row>
    <row r="51" spans="1:12" x14ac:dyDescent="0.2">
      <c r="A51" s="1" t="s">
        <v>516</v>
      </c>
      <c r="B51" s="1" t="s">
        <v>725</v>
      </c>
      <c r="C51" s="1" t="s">
        <v>19</v>
      </c>
      <c r="D51">
        <v>51.353761961495536</v>
      </c>
      <c r="E51">
        <v>0.78867832124255954</v>
      </c>
      <c r="F51">
        <v>195950</v>
      </c>
      <c r="G51">
        <v>310000</v>
      </c>
      <c r="H51">
        <v>2611</v>
      </c>
      <c r="I51">
        <v>2156</v>
      </c>
      <c r="J51">
        <v>4.7</v>
      </c>
      <c r="K51">
        <v>50</v>
      </c>
      <c r="L51">
        <v>77681</v>
      </c>
    </row>
    <row r="52" spans="1:12" x14ac:dyDescent="0.2">
      <c r="A52" s="1" t="s">
        <v>295</v>
      </c>
      <c r="B52" s="1" t="s">
        <v>726</v>
      </c>
      <c r="C52" s="1" t="s">
        <v>15</v>
      </c>
      <c r="D52">
        <v>51.494960602445872</v>
      </c>
      <c r="E52">
        <v>0.33956171972734561</v>
      </c>
      <c r="F52">
        <v>225000</v>
      </c>
      <c r="G52">
        <v>355000</v>
      </c>
      <c r="H52">
        <v>2783</v>
      </c>
      <c r="I52">
        <v>1945</v>
      </c>
      <c r="J52">
        <v>4.7</v>
      </c>
      <c r="K52">
        <v>51</v>
      </c>
      <c r="L52">
        <v>87396</v>
      </c>
    </row>
    <row r="53" spans="1:12" x14ac:dyDescent="0.2">
      <c r="A53" s="1" t="s">
        <v>153</v>
      </c>
      <c r="B53" s="1" t="s">
        <v>727</v>
      </c>
      <c r="C53" s="1" t="s">
        <v>23</v>
      </c>
      <c r="D53">
        <v>53.675889961146858</v>
      </c>
      <c r="E53">
        <v>-1.425963378594119</v>
      </c>
      <c r="F53">
        <v>130000</v>
      </c>
      <c r="G53">
        <v>205000</v>
      </c>
      <c r="H53">
        <v>5064</v>
      </c>
      <c r="I53">
        <v>4479</v>
      </c>
      <c r="J53">
        <v>4.7</v>
      </c>
      <c r="K53">
        <v>52</v>
      </c>
      <c r="L53">
        <v>157771</v>
      </c>
    </row>
    <row r="54" spans="1:12" x14ac:dyDescent="0.2">
      <c r="A54" s="1" t="s">
        <v>191</v>
      </c>
      <c r="B54" s="1" t="s">
        <v>728</v>
      </c>
      <c r="C54" s="1" t="s">
        <v>10</v>
      </c>
      <c r="D54">
        <v>52.78689680866966</v>
      </c>
      <c r="E54">
        <v>-0.87739116542102635</v>
      </c>
      <c r="F54">
        <v>172500</v>
      </c>
      <c r="G54">
        <v>272000</v>
      </c>
      <c r="H54">
        <v>891</v>
      </c>
      <c r="I54">
        <v>914</v>
      </c>
      <c r="J54">
        <v>4.7</v>
      </c>
      <c r="K54">
        <v>53</v>
      </c>
      <c r="L54">
        <v>28470</v>
      </c>
    </row>
    <row r="55" spans="1:12" x14ac:dyDescent="0.2">
      <c r="A55" s="1" t="s">
        <v>151</v>
      </c>
      <c r="B55" s="1" t="s">
        <v>729</v>
      </c>
      <c r="C55" s="1" t="s">
        <v>23</v>
      </c>
      <c r="D55">
        <v>53.812654707972605</v>
      </c>
      <c r="E55">
        <v>-1.548918775132446</v>
      </c>
      <c r="F55">
        <v>157000</v>
      </c>
      <c r="G55">
        <v>247500</v>
      </c>
      <c r="H55">
        <v>11984</v>
      </c>
      <c r="I55">
        <v>9499</v>
      </c>
      <c r="J55">
        <v>4.7</v>
      </c>
      <c r="K55">
        <v>54</v>
      </c>
      <c r="L55">
        <v>387541</v>
      </c>
    </row>
    <row r="56" spans="1:12" x14ac:dyDescent="0.2">
      <c r="A56" s="1" t="s">
        <v>159</v>
      </c>
      <c r="B56" s="1" t="s">
        <v>730</v>
      </c>
      <c r="C56" s="1" t="s">
        <v>10</v>
      </c>
      <c r="D56">
        <v>52.380782598629672</v>
      </c>
      <c r="E56">
        <v>-0.66912545609879881</v>
      </c>
      <c r="F56">
        <v>165000</v>
      </c>
      <c r="G56">
        <v>260000</v>
      </c>
      <c r="H56">
        <v>6484</v>
      </c>
      <c r="I56">
        <v>5183</v>
      </c>
      <c r="J56">
        <v>4.7</v>
      </c>
      <c r="K56">
        <v>55</v>
      </c>
      <c r="L56">
        <v>198120</v>
      </c>
    </row>
    <row r="57" spans="1:12" x14ac:dyDescent="0.2">
      <c r="A57" s="1" t="s">
        <v>666</v>
      </c>
      <c r="B57" s="1" t="s">
        <v>731</v>
      </c>
      <c r="C57" s="1" t="s">
        <v>21</v>
      </c>
      <c r="D57">
        <v>51.58809217300783</v>
      </c>
      <c r="E57">
        <v>-2.9905640569322891</v>
      </c>
      <c r="F57">
        <v>150000</v>
      </c>
      <c r="G57">
        <v>236000</v>
      </c>
      <c r="H57">
        <v>2330</v>
      </c>
      <c r="I57">
        <v>2158</v>
      </c>
      <c r="J57">
        <v>4.5999999999999996</v>
      </c>
      <c r="K57">
        <v>56</v>
      </c>
      <c r="L57">
        <v>71486</v>
      </c>
    </row>
    <row r="58" spans="1:12" x14ac:dyDescent="0.2">
      <c r="A58" s="1" t="s">
        <v>149</v>
      </c>
      <c r="B58" s="1" t="s">
        <v>732</v>
      </c>
      <c r="C58" s="1" t="s">
        <v>23</v>
      </c>
      <c r="D58">
        <v>53.655427100465452</v>
      </c>
      <c r="E58">
        <v>-1.7336232699631264</v>
      </c>
      <c r="F58">
        <v>135000</v>
      </c>
      <c r="G58">
        <v>212178</v>
      </c>
      <c r="H58">
        <v>5687</v>
      </c>
      <c r="I58">
        <v>5278</v>
      </c>
      <c r="J58">
        <v>4.5999999999999996</v>
      </c>
      <c r="K58">
        <v>57</v>
      </c>
      <c r="L58">
        <v>200407</v>
      </c>
    </row>
    <row r="59" spans="1:12" x14ac:dyDescent="0.2">
      <c r="A59" s="1" t="s">
        <v>652</v>
      </c>
      <c r="B59" s="1" t="s">
        <v>733</v>
      </c>
      <c r="C59" s="1" t="s">
        <v>21</v>
      </c>
      <c r="D59">
        <v>51.498470505614883</v>
      </c>
      <c r="E59">
        <v>-3.1852118652978092</v>
      </c>
      <c r="F59">
        <v>172000</v>
      </c>
      <c r="G59">
        <v>270000</v>
      </c>
      <c r="H59">
        <v>5403</v>
      </c>
      <c r="I59">
        <v>4257</v>
      </c>
      <c r="J59">
        <v>4.5999999999999996</v>
      </c>
      <c r="K59">
        <v>58</v>
      </c>
      <c r="L59">
        <v>174509</v>
      </c>
    </row>
    <row r="60" spans="1:12" x14ac:dyDescent="0.2">
      <c r="A60" s="1" t="s">
        <v>424</v>
      </c>
      <c r="B60" s="1" t="s">
        <v>734</v>
      </c>
      <c r="C60" s="1" t="s">
        <v>16</v>
      </c>
      <c r="D60">
        <v>51.570430219743656</v>
      </c>
      <c r="E60">
        <v>0.20320951947251664</v>
      </c>
      <c r="F60">
        <v>287500</v>
      </c>
      <c r="G60">
        <v>450000</v>
      </c>
      <c r="H60">
        <v>4151</v>
      </c>
      <c r="I60">
        <v>3013</v>
      </c>
      <c r="J60">
        <v>4.5999999999999996</v>
      </c>
      <c r="K60">
        <v>59</v>
      </c>
      <c r="L60">
        <v>115576</v>
      </c>
    </row>
    <row r="61" spans="1:12" x14ac:dyDescent="0.2">
      <c r="A61" s="1" t="s">
        <v>137</v>
      </c>
      <c r="B61" s="1" t="s">
        <v>735</v>
      </c>
      <c r="C61" s="1" t="s">
        <v>23</v>
      </c>
      <c r="D61">
        <v>53.546235813099038</v>
      </c>
      <c r="E61">
        <v>-1.4675762964399817</v>
      </c>
      <c r="F61">
        <v>115000</v>
      </c>
      <c r="G61">
        <v>180000</v>
      </c>
      <c r="H61">
        <v>3190</v>
      </c>
      <c r="I61">
        <v>3105</v>
      </c>
      <c r="J61">
        <v>4.5999999999999996</v>
      </c>
      <c r="K61">
        <v>59</v>
      </c>
      <c r="L61">
        <v>112507</v>
      </c>
    </row>
    <row r="62" spans="1:12" x14ac:dyDescent="0.2">
      <c r="A62" s="1" t="s">
        <v>644</v>
      </c>
      <c r="B62" s="1" t="s">
        <v>736</v>
      </c>
      <c r="C62" s="1" t="s">
        <v>21</v>
      </c>
      <c r="D62">
        <v>51.642132657159351</v>
      </c>
      <c r="E62">
        <v>-3.9783672260969976</v>
      </c>
      <c r="F62">
        <v>133000</v>
      </c>
      <c r="G62">
        <v>208000</v>
      </c>
      <c r="H62">
        <v>3120</v>
      </c>
      <c r="I62">
        <v>2827</v>
      </c>
      <c r="J62">
        <v>4.5999999999999996</v>
      </c>
      <c r="K62">
        <v>61</v>
      </c>
      <c r="L62">
        <v>109018</v>
      </c>
    </row>
    <row r="63" spans="1:12" x14ac:dyDescent="0.2">
      <c r="A63" s="1" t="s">
        <v>648</v>
      </c>
      <c r="B63" s="1" t="s">
        <v>737</v>
      </c>
      <c r="C63" s="1" t="s">
        <v>21</v>
      </c>
      <c r="D63">
        <v>51.531237868244027</v>
      </c>
      <c r="E63">
        <v>-3.6050219995360706</v>
      </c>
      <c r="F63">
        <v>137500</v>
      </c>
      <c r="G63">
        <v>215000</v>
      </c>
      <c r="H63">
        <v>2318</v>
      </c>
      <c r="I63">
        <v>1897</v>
      </c>
      <c r="J63">
        <v>4.5999999999999996</v>
      </c>
      <c r="K63">
        <v>62</v>
      </c>
      <c r="L63">
        <v>66974</v>
      </c>
    </row>
    <row r="64" spans="1:12" x14ac:dyDescent="0.2">
      <c r="A64" s="1" t="s">
        <v>293</v>
      </c>
      <c r="B64" s="1" t="s">
        <v>738</v>
      </c>
      <c r="C64" s="1" t="s">
        <v>15</v>
      </c>
      <c r="D64">
        <v>51.546160072094999</v>
      </c>
      <c r="E64">
        <v>0.70292326921119597</v>
      </c>
      <c r="F64">
        <v>221000</v>
      </c>
      <c r="G64">
        <v>345000</v>
      </c>
      <c r="H64">
        <v>3402</v>
      </c>
      <c r="I64">
        <v>2320</v>
      </c>
      <c r="J64">
        <v>4.5999999999999996</v>
      </c>
      <c r="K64">
        <v>63</v>
      </c>
      <c r="L64">
        <v>109589</v>
      </c>
    </row>
    <row r="65" spans="1:12" x14ac:dyDescent="0.2">
      <c r="A65" s="1" t="s">
        <v>514</v>
      </c>
      <c r="B65" s="1" t="s">
        <v>739</v>
      </c>
      <c r="C65" s="1" t="s">
        <v>19</v>
      </c>
      <c r="D65">
        <v>51.067865511991869</v>
      </c>
      <c r="E65">
        <v>1.0916122176829268</v>
      </c>
      <c r="F65">
        <v>205000</v>
      </c>
      <c r="G65">
        <v>320000</v>
      </c>
      <c r="H65">
        <v>2179</v>
      </c>
      <c r="I65">
        <v>1714</v>
      </c>
      <c r="J65">
        <v>4.5999999999999996</v>
      </c>
      <c r="K65">
        <v>64</v>
      </c>
      <c r="L65">
        <v>65809</v>
      </c>
    </row>
    <row r="66" spans="1:12" x14ac:dyDescent="0.2">
      <c r="A66" s="1" t="s">
        <v>211</v>
      </c>
      <c r="B66" s="1" t="s">
        <v>740</v>
      </c>
      <c r="C66" s="1" t="s">
        <v>10</v>
      </c>
      <c r="D66">
        <v>53.087315661202183</v>
      </c>
      <c r="E66">
        <v>-1.2486749055859139</v>
      </c>
      <c r="F66">
        <v>125000</v>
      </c>
      <c r="G66">
        <v>195000</v>
      </c>
      <c r="H66">
        <v>1981</v>
      </c>
      <c r="I66">
        <v>1741</v>
      </c>
      <c r="J66">
        <v>4.5</v>
      </c>
      <c r="K66">
        <v>65</v>
      </c>
      <c r="L66">
        <v>63468</v>
      </c>
    </row>
    <row r="67" spans="1:12" x14ac:dyDescent="0.2">
      <c r="A67" s="1" t="s">
        <v>291</v>
      </c>
      <c r="B67" s="1" t="s">
        <v>741</v>
      </c>
      <c r="C67" s="1" t="s">
        <v>15</v>
      </c>
      <c r="D67">
        <v>52.586526598789511</v>
      </c>
      <c r="E67">
        <v>-0.26795868231338266</v>
      </c>
      <c r="F67">
        <v>155000</v>
      </c>
      <c r="G67">
        <v>241750</v>
      </c>
      <c r="H67">
        <v>3137</v>
      </c>
      <c r="I67">
        <v>2234</v>
      </c>
      <c r="J67">
        <v>4.5</v>
      </c>
      <c r="K67">
        <v>66</v>
      </c>
      <c r="L67">
        <v>101129</v>
      </c>
    </row>
    <row r="68" spans="1:12" x14ac:dyDescent="0.2">
      <c r="A68" s="1" t="s">
        <v>219</v>
      </c>
      <c r="B68" s="1" t="s">
        <v>742</v>
      </c>
      <c r="C68" s="1" t="s">
        <v>10</v>
      </c>
      <c r="D68">
        <v>53.154605761376899</v>
      </c>
      <c r="E68">
        <v>-1.1849079156942823</v>
      </c>
      <c r="F68">
        <v>122000</v>
      </c>
      <c r="G68">
        <v>190000</v>
      </c>
      <c r="H68">
        <v>1712</v>
      </c>
      <c r="I68">
        <v>1433</v>
      </c>
      <c r="J68">
        <v>4.5</v>
      </c>
      <c r="K68">
        <v>67</v>
      </c>
      <c r="L68">
        <v>54409</v>
      </c>
    </row>
    <row r="69" spans="1:12" x14ac:dyDescent="0.2">
      <c r="A69" s="1" t="s">
        <v>107</v>
      </c>
      <c r="B69" s="1" t="s">
        <v>743</v>
      </c>
      <c r="C69" s="1" t="s">
        <v>18</v>
      </c>
      <c r="D69">
        <v>53.697118890324617</v>
      </c>
      <c r="E69">
        <v>-2.2590563621178696</v>
      </c>
      <c r="F69">
        <v>122850</v>
      </c>
      <c r="G69">
        <v>190500</v>
      </c>
      <c r="H69">
        <v>1089</v>
      </c>
      <c r="I69">
        <v>1094</v>
      </c>
      <c r="J69">
        <v>4.5</v>
      </c>
      <c r="K69">
        <v>68</v>
      </c>
      <c r="L69">
        <v>36434</v>
      </c>
    </row>
    <row r="70" spans="1:12" x14ac:dyDescent="0.2">
      <c r="A70" s="1" t="s">
        <v>237</v>
      </c>
      <c r="B70" s="1" t="s">
        <v>744</v>
      </c>
      <c r="C70" s="1" t="s">
        <v>22</v>
      </c>
      <c r="D70">
        <v>52.683436667395</v>
      </c>
      <c r="E70">
        <v>-1.8408380818159749</v>
      </c>
      <c r="F70">
        <v>200000</v>
      </c>
      <c r="G70">
        <v>310000</v>
      </c>
      <c r="H70">
        <v>1654</v>
      </c>
      <c r="I70">
        <v>1687</v>
      </c>
      <c r="J70">
        <v>4.5</v>
      </c>
      <c r="K70">
        <v>69</v>
      </c>
      <c r="L70">
        <v>53860</v>
      </c>
    </row>
    <row r="71" spans="1:12" x14ac:dyDescent="0.2">
      <c r="A71" s="1" t="s">
        <v>458</v>
      </c>
      <c r="B71" s="1" t="s">
        <v>745</v>
      </c>
      <c r="C71" s="1" t="s">
        <v>19</v>
      </c>
      <c r="D71">
        <v>51.511159347497447</v>
      </c>
      <c r="E71">
        <v>-0.59211276547497449</v>
      </c>
      <c r="F71">
        <v>255000</v>
      </c>
      <c r="G71">
        <v>395000</v>
      </c>
      <c r="H71">
        <v>1839</v>
      </c>
      <c r="I71">
        <v>930</v>
      </c>
      <c r="J71">
        <v>4.5</v>
      </c>
      <c r="K71">
        <v>70</v>
      </c>
      <c r="L71">
        <v>60534</v>
      </c>
    </row>
    <row r="72" spans="1:12" x14ac:dyDescent="0.2">
      <c r="A72" s="1" t="s">
        <v>63</v>
      </c>
      <c r="B72" s="1" t="s">
        <v>746</v>
      </c>
      <c r="C72" s="1" t="s">
        <v>18</v>
      </c>
      <c r="D72">
        <v>53.196861165599067</v>
      </c>
      <c r="E72">
        <v>-2.3126276783824431</v>
      </c>
      <c r="F72">
        <v>193750</v>
      </c>
      <c r="G72">
        <v>300000</v>
      </c>
      <c r="H72">
        <v>7289</v>
      </c>
      <c r="I72">
        <v>6865</v>
      </c>
      <c r="J72">
        <v>4.5</v>
      </c>
      <c r="K72">
        <v>71</v>
      </c>
      <c r="L72">
        <v>226643</v>
      </c>
    </row>
    <row r="73" spans="1:12" x14ac:dyDescent="0.2">
      <c r="A73" s="1" t="s">
        <v>209</v>
      </c>
      <c r="B73" s="1" t="s">
        <v>747</v>
      </c>
      <c r="C73" s="1" t="s">
        <v>10</v>
      </c>
      <c r="D73">
        <v>53.380326047700585</v>
      </c>
      <c r="E73">
        <v>-0.53808796257338554</v>
      </c>
      <c r="F73">
        <v>150000</v>
      </c>
      <c r="G73">
        <v>232000</v>
      </c>
      <c r="H73">
        <v>1691</v>
      </c>
      <c r="I73">
        <v>1553</v>
      </c>
      <c r="J73">
        <v>4.5</v>
      </c>
      <c r="K73">
        <v>72</v>
      </c>
      <c r="L73">
        <v>52633</v>
      </c>
    </row>
    <row r="74" spans="1:12" x14ac:dyDescent="0.2">
      <c r="A74" s="1" t="s">
        <v>358</v>
      </c>
      <c r="B74" s="1" t="s">
        <v>748</v>
      </c>
      <c r="C74" s="1" t="s">
        <v>15</v>
      </c>
      <c r="D74">
        <v>52.738985506705447</v>
      </c>
      <c r="E74">
        <v>0.43859062514137986</v>
      </c>
      <c r="F74">
        <v>173000</v>
      </c>
      <c r="G74">
        <v>267500</v>
      </c>
      <c r="H74">
        <v>2813</v>
      </c>
      <c r="I74">
        <v>2135</v>
      </c>
      <c r="J74">
        <v>4.5</v>
      </c>
      <c r="K74">
        <v>73</v>
      </c>
      <c r="L74">
        <v>86976</v>
      </c>
    </row>
    <row r="75" spans="1:12" x14ac:dyDescent="0.2">
      <c r="A75" s="1" t="s">
        <v>193</v>
      </c>
      <c r="B75" s="1" t="s">
        <v>749</v>
      </c>
      <c r="C75" s="1" t="s">
        <v>10</v>
      </c>
      <c r="D75">
        <v>52.745242574476819</v>
      </c>
      <c r="E75">
        <v>-1.4003644456298727</v>
      </c>
      <c r="F75">
        <v>173000</v>
      </c>
      <c r="G75">
        <v>267500</v>
      </c>
      <c r="H75">
        <v>1926</v>
      </c>
      <c r="I75">
        <v>1692</v>
      </c>
      <c r="J75">
        <v>4.5</v>
      </c>
      <c r="K75">
        <v>73</v>
      </c>
      <c r="L75">
        <v>57538</v>
      </c>
    </row>
    <row r="76" spans="1:12" x14ac:dyDescent="0.2">
      <c r="A76" s="1" t="s">
        <v>616</v>
      </c>
      <c r="B76" s="1" t="s">
        <v>750</v>
      </c>
      <c r="C76" s="1" t="s">
        <v>20</v>
      </c>
      <c r="D76">
        <v>51.848660779755285</v>
      </c>
      <c r="E76">
        <v>-2.237578128846867</v>
      </c>
      <c r="F76">
        <v>165000</v>
      </c>
      <c r="G76">
        <v>255000</v>
      </c>
      <c r="H76">
        <v>2368</v>
      </c>
      <c r="I76">
        <v>1859</v>
      </c>
      <c r="J76">
        <v>4.4000000000000004</v>
      </c>
      <c r="K76">
        <v>75</v>
      </c>
      <c r="L76">
        <v>74236</v>
      </c>
    </row>
    <row r="77" spans="1:12" x14ac:dyDescent="0.2">
      <c r="A77" s="1" t="s">
        <v>61</v>
      </c>
      <c r="B77" s="1" t="s">
        <v>751</v>
      </c>
      <c r="C77" s="1" t="s">
        <v>18</v>
      </c>
      <c r="D77">
        <v>53.397418973693611</v>
      </c>
      <c r="E77">
        <v>-2.5785737011070111</v>
      </c>
      <c r="F77">
        <v>165000</v>
      </c>
      <c r="G77">
        <v>255000</v>
      </c>
      <c r="H77">
        <v>3345</v>
      </c>
      <c r="I77">
        <v>2811</v>
      </c>
      <c r="J77">
        <v>4.4000000000000004</v>
      </c>
      <c r="K77">
        <v>75</v>
      </c>
      <c r="L77">
        <v>105190</v>
      </c>
    </row>
    <row r="78" spans="1:12" x14ac:dyDescent="0.2">
      <c r="A78" s="1" t="s">
        <v>404</v>
      </c>
      <c r="B78" s="1" t="s">
        <v>752</v>
      </c>
      <c r="C78" s="1" t="s">
        <v>16</v>
      </c>
      <c r="D78">
        <v>51.546159907587963</v>
      </c>
      <c r="E78">
        <v>0.1249080852055956</v>
      </c>
      <c r="F78">
        <v>246000</v>
      </c>
      <c r="G78">
        <v>380000</v>
      </c>
      <c r="H78">
        <v>2241</v>
      </c>
      <c r="I78">
        <v>1232</v>
      </c>
      <c r="J78">
        <v>4.4000000000000004</v>
      </c>
      <c r="K78">
        <v>77</v>
      </c>
      <c r="L78">
        <v>67350</v>
      </c>
    </row>
    <row r="79" spans="1:12" x14ac:dyDescent="0.2">
      <c r="A79" s="1" t="s">
        <v>119</v>
      </c>
      <c r="B79" s="1" t="s">
        <v>753</v>
      </c>
      <c r="C79" s="1" t="s">
        <v>18</v>
      </c>
      <c r="D79">
        <v>53.452831999043823</v>
      </c>
      <c r="E79">
        <v>-2.7183216081274901</v>
      </c>
      <c r="F79">
        <v>124000</v>
      </c>
      <c r="G79">
        <v>191125</v>
      </c>
      <c r="H79">
        <v>2318</v>
      </c>
      <c r="I79">
        <v>2178</v>
      </c>
      <c r="J79">
        <v>4.4000000000000004</v>
      </c>
      <c r="K79">
        <v>78</v>
      </c>
      <c r="L79">
        <v>76227</v>
      </c>
    </row>
    <row r="80" spans="1:12" x14ac:dyDescent="0.2">
      <c r="A80" s="1" t="s">
        <v>213</v>
      </c>
      <c r="B80" s="1" t="s">
        <v>754</v>
      </c>
      <c r="C80" s="1" t="s">
        <v>10</v>
      </c>
      <c r="D80">
        <v>53.332577932962046</v>
      </c>
      <c r="E80">
        <v>-1.0233250765264026</v>
      </c>
      <c r="F80">
        <v>134995</v>
      </c>
      <c r="G80">
        <v>208000</v>
      </c>
      <c r="H80">
        <v>1756</v>
      </c>
      <c r="I80">
        <v>1807</v>
      </c>
      <c r="J80">
        <v>4.4000000000000004</v>
      </c>
      <c r="K80">
        <v>79</v>
      </c>
      <c r="L80">
        <v>59357</v>
      </c>
    </row>
    <row r="81" spans="1:12" x14ac:dyDescent="0.2">
      <c r="A81" s="1" t="s">
        <v>323</v>
      </c>
      <c r="B81" s="1" t="s">
        <v>755</v>
      </c>
      <c r="C81" s="1" t="s">
        <v>15</v>
      </c>
      <c r="D81">
        <v>51.712612416666666</v>
      </c>
      <c r="E81">
        <v>0.73025926195355195</v>
      </c>
      <c r="F81">
        <v>250000</v>
      </c>
      <c r="G81">
        <v>385000</v>
      </c>
      <c r="H81">
        <v>1099</v>
      </c>
      <c r="I81">
        <v>1028</v>
      </c>
      <c r="J81">
        <v>4.4000000000000004</v>
      </c>
      <c r="K81">
        <v>80</v>
      </c>
      <c r="L81">
        <v>37667</v>
      </c>
    </row>
    <row r="82" spans="1:12" x14ac:dyDescent="0.2">
      <c r="A82" s="1" t="s">
        <v>301</v>
      </c>
      <c r="B82" s="1" t="s">
        <v>756</v>
      </c>
      <c r="C82" s="1" t="s">
        <v>15</v>
      </c>
      <c r="D82">
        <v>52.586546804704014</v>
      </c>
      <c r="E82">
        <v>7.8994127378435516E-2</v>
      </c>
      <c r="F82">
        <v>150000</v>
      </c>
      <c r="G82">
        <v>231000</v>
      </c>
      <c r="H82">
        <v>1784</v>
      </c>
      <c r="I82">
        <v>1507</v>
      </c>
      <c r="J82">
        <v>4.4000000000000004</v>
      </c>
      <c r="K82">
        <v>80</v>
      </c>
      <c r="L82">
        <v>60733</v>
      </c>
    </row>
    <row r="83" spans="1:12" x14ac:dyDescent="0.2">
      <c r="A83" s="1" t="s">
        <v>241</v>
      </c>
      <c r="B83" s="1" t="s">
        <v>757</v>
      </c>
      <c r="C83" s="1" t="s">
        <v>22</v>
      </c>
      <c r="D83">
        <v>52.611193367983965</v>
      </c>
      <c r="E83">
        <v>-2.1541203427835054</v>
      </c>
      <c r="F83">
        <v>190000</v>
      </c>
      <c r="G83">
        <v>292500</v>
      </c>
      <c r="H83">
        <v>1499</v>
      </c>
      <c r="I83">
        <v>1374</v>
      </c>
      <c r="J83">
        <v>4.4000000000000004</v>
      </c>
      <c r="K83">
        <v>82</v>
      </c>
      <c r="L83">
        <v>46728</v>
      </c>
    </row>
    <row r="84" spans="1:12" x14ac:dyDescent="0.2">
      <c r="A84" s="1" t="s">
        <v>584</v>
      </c>
      <c r="B84" s="1" t="s">
        <v>758</v>
      </c>
      <c r="C84" s="1" t="s">
        <v>20</v>
      </c>
      <c r="D84">
        <v>51.568128559965764</v>
      </c>
      <c r="E84">
        <v>-1.7803977515780465</v>
      </c>
      <c r="F84">
        <v>182000</v>
      </c>
      <c r="G84">
        <v>280000</v>
      </c>
      <c r="H84">
        <v>4468</v>
      </c>
      <c r="I84">
        <v>3254</v>
      </c>
      <c r="J84">
        <v>4.4000000000000004</v>
      </c>
      <c r="K84">
        <v>83</v>
      </c>
      <c r="L84">
        <v>133556</v>
      </c>
    </row>
    <row r="85" spans="1:12" x14ac:dyDescent="0.2">
      <c r="A85" s="1" t="s">
        <v>189</v>
      </c>
      <c r="B85" s="1" t="s">
        <v>759</v>
      </c>
      <c r="C85" s="1" t="s">
        <v>10</v>
      </c>
      <c r="D85">
        <v>52.58319768147944</v>
      </c>
      <c r="E85">
        <v>-1.3527511432514492</v>
      </c>
      <c r="F85">
        <v>172000</v>
      </c>
      <c r="G85">
        <v>264000</v>
      </c>
      <c r="H85">
        <v>2290</v>
      </c>
      <c r="I85">
        <v>1825</v>
      </c>
      <c r="J85">
        <v>4.4000000000000004</v>
      </c>
      <c r="K85">
        <v>84</v>
      </c>
      <c r="L85">
        <v>63820</v>
      </c>
    </row>
    <row r="86" spans="1:12" x14ac:dyDescent="0.2">
      <c r="A86" s="1" t="s">
        <v>185</v>
      </c>
      <c r="B86" s="1" t="s">
        <v>760</v>
      </c>
      <c r="C86" s="1" t="s">
        <v>10</v>
      </c>
      <c r="D86">
        <v>52.737919510094692</v>
      </c>
      <c r="E86">
        <v>-1.1677296943005182</v>
      </c>
      <c r="F86">
        <v>179950</v>
      </c>
      <c r="G86">
        <v>275750</v>
      </c>
      <c r="H86">
        <v>2912</v>
      </c>
      <c r="I86">
        <v>2497</v>
      </c>
      <c r="J86">
        <v>4.4000000000000004</v>
      </c>
      <c r="K86">
        <v>85</v>
      </c>
      <c r="L86">
        <v>90973</v>
      </c>
    </row>
    <row r="87" spans="1:12" x14ac:dyDescent="0.2">
      <c r="A87" s="1" t="s">
        <v>277</v>
      </c>
      <c r="B87" s="1" t="s">
        <v>761</v>
      </c>
      <c r="C87" s="1" t="s">
        <v>22</v>
      </c>
      <c r="D87">
        <v>52.300814867407702</v>
      </c>
      <c r="E87">
        <v>-1.9352942802699484</v>
      </c>
      <c r="F87">
        <v>170000</v>
      </c>
      <c r="G87">
        <v>260000</v>
      </c>
      <c r="H87">
        <v>1335</v>
      </c>
      <c r="I87">
        <v>1078</v>
      </c>
      <c r="J87">
        <v>4.3</v>
      </c>
      <c r="K87">
        <v>86</v>
      </c>
      <c r="L87">
        <v>43417</v>
      </c>
    </row>
    <row r="88" spans="1:12" x14ac:dyDescent="0.2">
      <c r="A88" s="1" t="s">
        <v>646</v>
      </c>
      <c r="B88" s="1" t="s">
        <v>762</v>
      </c>
      <c r="C88" s="1" t="s">
        <v>21</v>
      </c>
      <c r="D88">
        <v>51.659967461720939</v>
      </c>
      <c r="E88">
        <v>-3.7865689102868232</v>
      </c>
      <c r="F88">
        <v>108000</v>
      </c>
      <c r="G88">
        <v>165000</v>
      </c>
      <c r="H88">
        <v>1894</v>
      </c>
      <c r="I88">
        <v>1722</v>
      </c>
      <c r="J88">
        <v>4.3</v>
      </c>
      <c r="K88">
        <v>87</v>
      </c>
      <c r="L88">
        <v>60258</v>
      </c>
    </row>
    <row r="89" spans="1:12" x14ac:dyDescent="0.2">
      <c r="A89" s="1" t="s">
        <v>59</v>
      </c>
      <c r="B89" s="1" t="s">
        <v>763</v>
      </c>
      <c r="C89" s="1" t="s">
        <v>18</v>
      </c>
      <c r="D89">
        <v>53.351398464399814</v>
      </c>
      <c r="E89">
        <v>-2.7214102183934279</v>
      </c>
      <c r="F89">
        <v>128000</v>
      </c>
      <c r="G89">
        <v>195500</v>
      </c>
      <c r="H89">
        <v>1532</v>
      </c>
      <c r="I89">
        <v>1469</v>
      </c>
      <c r="J89">
        <v>4.3</v>
      </c>
      <c r="K89">
        <v>88</v>
      </c>
      <c r="L89">
        <v>52541</v>
      </c>
    </row>
    <row r="90" spans="1:12" x14ac:dyDescent="0.2">
      <c r="A90" s="1" t="s">
        <v>636</v>
      </c>
      <c r="B90" s="1" t="s">
        <v>764</v>
      </c>
      <c r="C90" s="1" t="s">
        <v>21</v>
      </c>
      <c r="D90">
        <v>52.33962315443145</v>
      </c>
      <c r="E90">
        <v>-3.3465661931802169</v>
      </c>
      <c r="F90">
        <v>164000</v>
      </c>
      <c r="G90">
        <v>250000</v>
      </c>
      <c r="H90">
        <v>1687</v>
      </c>
      <c r="I90">
        <v>1426</v>
      </c>
      <c r="J90">
        <v>4.3</v>
      </c>
      <c r="K90">
        <v>89</v>
      </c>
      <c r="L90">
        <v>52887</v>
      </c>
    </row>
    <row r="91" spans="1:12" x14ac:dyDescent="0.2">
      <c r="A91" s="1" t="s">
        <v>121</v>
      </c>
      <c r="B91" s="1" t="s">
        <v>765</v>
      </c>
      <c r="C91" s="1" t="s">
        <v>18</v>
      </c>
      <c r="D91">
        <v>53.539283398470168</v>
      </c>
      <c r="E91">
        <v>-2.9985851425803163</v>
      </c>
      <c r="F91">
        <v>151000</v>
      </c>
      <c r="G91">
        <v>230000</v>
      </c>
      <c r="H91">
        <v>3844</v>
      </c>
      <c r="I91">
        <v>3559</v>
      </c>
      <c r="J91">
        <v>4.3</v>
      </c>
      <c r="K91">
        <v>90</v>
      </c>
      <c r="L91">
        <v>124929</v>
      </c>
    </row>
    <row r="92" spans="1:12" x14ac:dyDescent="0.2">
      <c r="A92" s="1" t="s">
        <v>197</v>
      </c>
      <c r="B92" s="1" t="s">
        <v>766</v>
      </c>
      <c r="C92" s="1" t="s">
        <v>10</v>
      </c>
      <c r="D92">
        <v>52.969773412406013</v>
      </c>
      <c r="E92">
        <v>-2.8854798120300753E-2</v>
      </c>
      <c r="F92">
        <v>138000</v>
      </c>
      <c r="G92">
        <v>210000</v>
      </c>
      <c r="H92">
        <v>1008</v>
      </c>
      <c r="I92">
        <v>835</v>
      </c>
      <c r="J92">
        <v>4.3</v>
      </c>
      <c r="K92">
        <v>91</v>
      </c>
      <c r="L92">
        <v>35440</v>
      </c>
    </row>
    <row r="93" spans="1:12" x14ac:dyDescent="0.2">
      <c r="A93" s="1" t="s">
        <v>97</v>
      </c>
      <c r="B93" s="1" t="s">
        <v>767</v>
      </c>
      <c r="C93" s="1" t="s">
        <v>18</v>
      </c>
      <c r="D93">
        <v>53.759450003422053</v>
      </c>
      <c r="E93">
        <v>-2.3810839688212928</v>
      </c>
      <c r="F93">
        <v>92000</v>
      </c>
      <c r="G93">
        <v>139950</v>
      </c>
      <c r="H93">
        <v>1111</v>
      </c>
      <c r="I93">
        <v>1106</v>
      </c>
      <c r="J93">
        <v>4.3</v>
      </c>
      <c r="K93">
        <v>92</v>
      </c>
      <c r="L93">
        <v>44862</v>
      </c>
    </row>
    <row r="94" spans="1:12" x14ac:dyDescent="0.2">
      <c r="A94" s="1" t="s">
        <v>614</v>
      </c>
      <c r="B94" s="1" t="s">
        <v>768</v>
      </c>
      <c r="C94" s="1" t="s">
        <v>20</v>
      </c>
      <c r="D94">
        <v>51.805385925614033</v>
      </c>
      <c r="E94">
        <v>-2.5231523305263157</v>
      </c>
      <c r="F94">
        <v>183500</v>
      </c>
      <c r="G94">
        <v>279000</v>
      </c>
      <c r="H94">
        <v>1355</v>
      </c>
      <c r="I94">
        <v>1099</v>
      </c>
      <c r="J94">
        <v>4.3</v>
      </c>
      <c r="K94">
        <v>93</v>
      </c>
      <c r="L94">
        <v>41778</v>
      </c>
    </row>
    <row r="95" spans="1:12" x14ac:dyDescent="0.2">
      <c r="A95" s="1" t="s">
        <v>325</v>
      </c>
      <c r="B95" s="1" t="s">
        <v>769</v>
      </c>
      <c r="C95" s="1" t="s">
        <v>15</v>
      </c>
      <c r="D95">
        <v>51.591571101851855</v>
      </c>
      <c r="E95">
        <v>0.66313725548696845</v>
      </c>
      <c r="F95">
        <v>270000</v>
      </c>
      <c r="G95">
        <v>410000</v>
      </c>
      <c r="H95">
        <v>1505</v>
      </c>
      <c r="I95">
        <v>1334</v>
      </c>
      <c r="J95">
        <v>4.3</v>
      </c>
      <c r="K95">
        <v>94</v>
      </c>
      <c r="L95">
        <v>46814</v>
      </c>
    </row>
    <row r="96" spans="1:12" x14ac:dyDescent="0.2">
      <c r="A96" s="1" t="s">
        <v>317</v>
      </c>
      <c r="B96" s="1" t="s">
        <v>770</v>
      </c>
      <c r="C96" s="1" t="s">
        <v>15</v>
      </c>
      <c r="D96">
        <v>51.878561287045542</v>
      </c>
      <c r="E96">
        <v>0.8809019873999212</v>
      </c>
      <c r="F96">
        <v>217500</v>
      </c>
      <c r="G96">
        <v>330000</v>
      </c>
      <c r="H96">
        <v>3730</v>
      </c>
      <c r="I96">
        <v>2686</v>
      </c>
      <c r="J96">
        <v>4.3</v>
      </c>
      <c r="K96">
        <v>95</v>
      </c>
      <c r="L96">
        <v>109467</v>
      </c>
    </row>
    <row r="97" spans="1:12" x14ac:dyDescent="0.2">
      <c r="A97" s="1" t="s">
        <v>123</v>
      </c>
      <c r="B97" s="1" t="s">
        <v>771</v>
      </c>
      <c r="C97" s="1" t="s">
        <v>18</v>
      </c>
      <c r="D97">
        <v>53.379396577773583</v>
      </c>
      <c r="E97">
        <v>-3.0611333011457398</v>
      </c>
      <c r="F97">
        <v>145000</v>
      </c>
      <c r="G97">
        <v>220000</v>
      </c>
      <c r="H97">
        <v>4691</v>
      </c>
      <c r="I97">
        <v>4447</v>
      </c>
      <c r="J97">
        <v>4.3</v>
      </c>
      <c r="K97">
        <v>95</v>
      </c>
      <c r="L97">
        <v>156949</v>
      </c>
    </row>
    <row r="98" spans="1:12" x14ac:dyDescent="0.2">
      <c r="A98" s="1" t="s">
        <v>117</v>
      </c>
      <c r="B98" s="1" t="s">
        <v>772</v>
      </c>
      <c r="C98" s="1" t="s">
        <v>18</v>
      </c>
      <c r="D98">
        <v>53.40620658737538</v>
      </c>
      <c r="E98">
        <v>-2.9386216477540046</v>
      </c>
      <c r="F98">
        <v>120000</v>
      </c>
      <c r="G98">
        <v>182000</v>
      </c>
      <c r="H98">
        <v>5721</v>
      </c>
      <c r="I98">
        <v>4468</v>
      </c>
      <c r="J98">
        <v>4.3</v>
      </c>
      <c r="K98">
        <v>97</v>
      </c>
      <c r="L98">
        <v>192037</v>
      </c>
    </row>
    <row r="99" spans="1:12" x14ac:dyDescent="0.2">
      <c r="A99" s="1" t="s">
        <v>221</v>
      </c>
      <c r="B99" s="1" t="s">
        <v>773</v>
      </c>
      <c r="C99" s="1" t="s">
        <v>10</v>
      </c>
      <c r="D99">
        <v>53.104718089999999</v>
      </c>
      <c r="E99">
        <v>-0.90001356976744185</v>
      </c>
      <c r="F99">
        <v>155000</v>
      </c>
      <c r="G99">
        <v>235000</v>
      </c>
      <c r="H99">
        <v>2010</v>
      </c>
      <c r="I99">
        <v>1920</v>
      </c>
      <c r="J99">
        <v>4.2</v>
      </c>
      <c r="K99">
        <v>98</v>
      </c>
      <c r="L99">
        <v>65755</v>
      </c>
    </row>
    <row r="100" spans="1:12" x14ac:dyDescent="0.2">
      <c r="A100" s="1" t="s">
        <v>205</v>
      </c>
      <c r="B100" s="1" t="s">
        <v>774</v>
      </c>
      <c r="C100" s="1" t="s">
        <v>10</v>
      </c>
      <c r="D100">
        <v>52.790034817608259</v>
      </c>
      <c r="E100">
        <v>-7.9711606251792369E-2</v>
      </c>
      <c r="F100">
        <v>155000</v>
      </c>
      <c r="G100">
        <v>235000</v>
      </c>
      <c r="H100">
        <v>1739</v>
      </c>
      <c r="I100">
        <v>1488</v>
      </c>
      <c r="J100">
        <v>4.2</v>
      </c>
      <c r="K100">
        <v>98</v>
      </c>
      <c r="L100">
        <v>56150</v>
      </c>
    </row>
    <row r="101" spans="1:12" x14ac:dyDescent="0.2">
      <c r="A101" s="1" t="s">
        <v>642</v>
      </c>
      <c r="B101" s="1" t="s">
        <v>775</v>
      </c>
      <c r="C101" s="1" t="s">
        <v>21</v>
      </c>
      <c r="D101">
        <v>51.822313942145691</v>
      </c>
      <c r="E101">
        <v>-4.1690020816402376</v>
      </c>
      <c r="F101">
        <v>130000</v>
      </c>
      <c r="G101">
        <v>197000</v>
      </c>
      <c r="H101">
        <v>2490</v>
      </c>
      <c r="I101">
        <v>2204</v>
      </c>
      <c r="J101">
        <v>4.2</v>
      </c>
      <c r="K101">
        <v>100</v>
      </c>
      <c r="L101">
        <v>77902</v>
      </c>
    </row>
    <row r="102" spans="1:12" x14ac:dyDescent="0.2">
      <c r="A102" s="1" t="s">
        <v>344</v>
      </c>
      <c r="B102" s="1" t="s">
        <v>776</v>
      </c>
      <c r="C102" s="1" t="s">
        <v>15</v>
      </c>
      <c r="D102">
        <v>51.903529806907898</v>
      </c>
      <c r="E102">
        <v>-0.1921546105263158</v>
      </c>
      <c r="F102">
        <v>227750</v>
      </c>
      <c r="G102">
        <v>345000</v>
      </c>
      <c r="H102">
        <v>1320</v>
      </c>
      <c r="I102">
        <v>950</v>
      </c>
      <c r="J102">
        <v>4.2</v>
      </c>
      <c r="K102">
        <v>101</v>
      </c>
      <c r="L102">
        <v>40849</v>
      </c>
    </row>
    <row r="103" spans="1:12" x14ac:dyDescent="0.2">
      <c r="A103" s="1" t="s">
        <v>486</v>
      </c>
      <c r="B103" s="1" t="s">
        <v>777</v>
      </c>
      <c r="C103" s="1" t="s">
        <v>19</v>
      </c>
      <c r="D103">
        <v>50.803709387971196</v>
      </c>
      <c r="E103">
        <v>-1.1567199601863618</v>
      </c>
      <c r="F103">
        <v>167500</v>
      </c>
      <c r="G103">
        <v>253000</v>
      </c>
      <c r="H103">
        <v>1520</v>
      </c>
      <c r="I103">
        <v>1129</v>
      </c>
      <c r="J103">
        <v>4.2</v>
      </c>
      <c r="K103">
        <v>102</v>
      </c>
      <c r="L103">
        <v>50081</v>
      </c>
    </row>
    <row r="104" spans="1:12" x14ac:dyDescent="0.2">
      <c r="A104" s="1" t="s">
        <v>654</v>
      </c>
      <c r="B104" s="1" t="s">
        <v>778</v>
      </c>
      <c r="C104" s="1" t="s">
        <v>21</v>
      </c>
      <c r="D104">
        <v>51.616417490909093</v>
      </c>
      <c r="E104">
        <v>-3.4056137008885852</v>
      </c>
      <c r="F104">
        <v>106000</v>
      </c>
      <c r="G104">
        <v>160000</v>
      </c>
      <c r="H104">
        <v>3442</v>
      </c>
      <c r="I104">
        <v>2798</v>
      </c>
      <c r="J104">
        <v>4.2</v>
      </c>
      <c r="K104">
        <v>103</v>
      </c>
      <c r="L104">
        <v>105534</v>
      </c>
    </row>
    <row r="105" spans="1:12" x14ac:dyDescent="0.2">
      <c r="A105" s="1" t="s">
        <v>408</v>
      </c>
      <c r="B105" s="1" t="s">
        <v>779</v>
      </c>
      <c r="C105" s="1" t="s">
        <v>16</v>
      </c>
      <c r="D105">
        <v>51.459295585852388</v>
      </c>
      <c r="E105">
        <v>0.13647457280957495</v>
      </c>
      <c r="F105">
        <v>285000</v>
      </c>
      <c r="G105">
        <v>430000</v>
      </c>
      <c r="H105">
        <v>3836</v>
      </c>
      <c r="I105">
        <v>2738</v>
      </c>
      <c r="J105">
        <v>4.2</v>
      </c>
      <c r="K105">
        <v>104</v>
      </c>
      <c r="L105">
        <v>115274</v>
      </c>
    </row>
    <row r="106" spans="1:12" x14ac:dyDescent="0.2">
      <c r="A106" s="1" t="s">
        <v>181</v>
      </c>
      <c r="B106" s="1" t="s">
        <v>780</v>
      </c>
      <c r="C106" s="1" t="s">
        <v>10</v>
      </c>
      <c r="D106">
        <v>52.822423474580518</v>
      </c>
      <c r="E106">
        <v>-1.546014361131981</v>
      </c>
      <c r="F106">
        <v>170000</v>
      </c>
      <c r="G106">
        <v>256000</v>
      </c>
      <c r="H106">
        <v>1971</v>
      </c>
      <c r="I106">
        <v>1838</v>
      </c>
      <c r="J106">
        <v>4.2</v>
      </c>
      <c r="K106">
        <v>105</v>
      </c>
      <c r="L106">
        <v>61679</v>
      </c>
    </row>
    <row r="107" spans="1:12" x14ac:dyDescent="0.2">
      <c r="A107" s="1" t="s">
        <v>504</v>
      </c>
      <c r="B107" s="1" t="s">
        <v>781</v>
      </c>
      <c r="C107" s="1" t="s">
        <v>19</v>
      </c>
      <c r="D107">
        <v>51.438812013150532</v>
      </c>
      <c r="E107">
        <v>0.24142587185226635</v>
      </c>
      <c r="F107">
        <v>253500</v>
      </c>
      <c r="G107">
        <v>381500</v>
      </c>
      <c r="H107">
        <v>2203</v>
      </c>
      <c r="I107">
        <v>1507</v>
      </c>
      <c r="J107">
        <v>4.2</v>
      </c>
      <c r="K107">
        <v>106</v>
      </c>
      <c r="L107">
        <v>59299</v>
      </c>
    </row>
    <row r="108" spans="1:12" x14ac:dyDescent="0.2">
      <c r="A108" s="1" t="s">
        <v>506</v>
      </c>
      <c r="B108" s="1" t="s">
        <v>782</v>
      </c>
      <c r="C108" s="1" t="s">
        <v>19</v>
      </c>
      <c r="D108">
        <v>51.192468371142283</v>
      </c>
      <c r="E108">
        <v>1.3176686238476953</v>
      </c>
      <c r="F108">
        <v>195000</v>
      </c>
      <c r="G108">
        <v>293070</v>
      </c>
      <c r="H108">
        <v>2347</v>
      </c>
      <c r="I108">
        <v>1740</v>
      </c>
      <c r="J108">
        <v>4.2</v>
      </c>
      <c r="K108">
        <v>107</v>
      </c>
      <c r="L108">
        <v>62658</v>
      </c>
    </row>
    <row r="109" spans="1:12" x14ac:dyDescent="0.2">
      <c r="A109" s="1" t="s">
        <v>249</v>
      </c>
      <c r="B109" s="1" t="s">
        <v>783</v>
      </c>
      <c r="C109" s="1" t="s">
        <v>22</v>
      </c>
      <c r="D109">
        <v>52.554200568747447</v>
      </c>
      <c r="E109">
        <v>-1.624314594859241</v>
      </c>
      <c r="F109">
        <v>173000</v>
      </c>
      <c r="G109">
        <v>260000</v>
      </c>
      <c r="H109">
        <v>1013</v>
      </c>
      <c r="I109">
        <v>924</v>
      </c>
      <c r="J109">
        <v>4.2</v>
      </c>
      <c r="K109">
        <v>108</v>
      </c>
      <c r="L109">
        <v>30284</v>
      </c>
    </row>
    <row r="110" spans="1:12" x14ac:dyDescent="0.2">
      <c r="A110" s="1" t="s">
        <v>650</v>
      </c>
      <c r="B110" s="1" t="s">
        <v>784</v>
      </c>
      <c r="C110" s="1" t="s">
        <v>21</v>
      </c>
      <c r="D110">
        <v>51.424394080717491</v>
      </c>
      <c r="E110">
        <v>-3.2937799644245143</v>
      </c>
      <c r="F110">
        <v>189950</v>
      </c>
      <c r="G110">
        <v>285000</v>
      </c>
      <c r="H110">
        <v>2307</v>
      </c>
      <c r="I110">
        <v>1890</v>
      </c>
      <c r="J110">
        <v>4.0999999999999996</v>
      </c>
      <c r="K110">
        <v>109</v>
      </c>
      <c r="L110">
        <v>70719</v>
      </c>
    </row>
    <row r="111" spans="1:12" x14ac:dyDescent="0.2">
      <c r="A111" s="1" t="s">
        <v>285</v>
      </c>
      <c r="B111" s="1" t="s">
        <v>785</v>
      </c>
      <c r="C111" s="1" t="s">
        <v>15</v>
      </c>
      <c r="D111">
        <v>52.144044530615183</v>
      </c>
      <c r="E111">
        <v>-0.47277691687076789</v>
      </c>
      <c r="F111">
        <v>229995</v>
      </c>
      <c r="G111">
        <v>345000</v>
      </c>
      <c r="H111">
        <v>3110</v>
      </c>
      <c r="I111">
        <v>2266</v>
      </c>
      <c r="J111">
        <v>4.0999999999999996</v>
      </c>
      <c r="K111">
        <v>110</v>
      </c>
      <c r="L111">
        <v>90904</v>
      </c>
    </row>
    <row r="112" spans="1:12" x14ac:dyDescent="0.2">
      <c r="A112" s="1" t="s">
        <v>229</v>
      </c>
      <c r="B112" s="1" t="s">
        <v>786</v>
      </c>
      <c r="C112" s="1" t="s">
        <v>22</v>
      </c>
      <c r="D112">
        <v>52.690251282773701</v>
      </c>
      <c r="E112">
        <v>-2.4613271233757881</v>
      </c>
      <c r="F112">
        <v>152000</v>
      </c>
      <c r="G112">
        <v>228000</v>
      </c>
      <c r="H112">
        <v>2802</v>
      </c>
      <c r="I112">
        <v>2211</v>
      </c>
      <c r="J112">
        <v>4.0999999999999996</v>
      </c>
      <c r="K112">
        <v>111</v>
      </c>
      <c r="L112">
        <v>88577</v>
      </c>
    </row>
    <row r="113" spans="1:12" x14ac:dyDescent="0.2">
      <c r="A113" s="1" t="s">
        <v>478</v>
      </c>
      <c r="B113" s="1" t="s">
        <v>787</v>
      </c>
      <c r="C113" s="1" t="s">
        <v>19</v>
      </c>
      <c r="D113">
        <v>51.2864525745604</v>
      </c>
      <c r="E113">
        <v>-1.1463497513130851</v>
      </c>
      <c r="F113">
        <v>250000</v>
      </c>
      <c r="G113">
        <v>375000</v>
      </c>
      <c r="H113">
        <v>3049</v>
      </c>
      <c r="I113">
        <v>2510</v>
      </c>
      <c r="J113">
        <v>4.0999999999999996</v>
      </c>
      <c r="K113">
        <v>111</v>
      </c>
      <c r="L113">
        <v>98377</v>
      </c>
    </row>
    <row r="114" spans="1:12" x14ac:dyDescent="0.2">
      <c r="A114" s="1" t="s">
        <v>147</v>
      </c>
      <c r="B114" s="1" t="s">
        <v>788</v>
      </c>
      <c r="C114" s="1" t="s">
        <v>23</v>
      </c>
      <c r="D114">
        <v>53.717444828391365</v>
      </c>
      <c r="E114">
        <v>-1.9010141116850914</v>
      </c>
      <c r="F114">
        <v>130000</v>
      </c>
      <c r="G114">
        <v>195000</v>
      </c>
      <c r="H114">
        <v>3200</v>
      </c>
      <c r="I114">
        <v>2946</v>
      </c>
      <c r="J114">
        <v>4.0999999999999996</v>
      </c>
      <c r="K114">
        <v>111</v>
      </c>
      <c r="L114">
        <v>110979</v>
      </c>
    </row>
    <row r="115" spans="1:12" x14ac:dyDescent="0.2">
      <c r="A115" s="1" t="s">
        <v>332</v>
      </c>
      <c r="B115" s="1" t="s">
        <v>789</v>
      </c>
      <c r="C115" s="1" t="s">
        <v>15</v>
      </c>
      <c r="D115">
        <v>51.723940071647121</v>
      </c>
      <c r="E115">
        <v>-2.9687767975522694E-2</v>
      </c>
      <c r="F115">
        <v>290000</v>
      </c>
      <c r="G115">
        <v>435000</v>
      </c>
      <c r="H115">
        <v>1573</v>
      </c>
      <c r="I115">
        <v>1297</v>
      </c>
      <c r="J115">
        <v>4.0999999999999996</v>
      </c>
      <c r="K115">
        <v>111</v>
      </c>
      <c r="L115">
        <v>53434</v>
      </c>
    </row>
    <row r="116" spans="1:12" x14ac:dyDescent="0.2">
      <c r="A116" s="1" t="s">
        <v>309</v>
      </c>
      <c r="B116" s="1" t="s">
        <v>790</v>
      </c>
      <c r="C116" s="1" t="s">
        <v>15</v>
      </c>
      <c r="D116">
        <v>51.887860754930756</v>
      </c>
      <c r="E116">
        <v>0.59125137110085324</v>
      </c>
      <c r="F116">
        <v>230000</v>
      </c>
      <c r="G116">
        <v>345000</v>
      </c>
      <c r="H116">
        <v>2883</v>
      </c>
      <c r="I116">
        <v>2294</v>
      </c>
      <c r="J116">
        <v>4.0999999999999996</v>
      </c>
      <c r="K116">
        <v>111</v>
      </c>
      <c r="L116">
        <v>88459</v>
      </c>
    </row>
    <row r="117" spans="1:12" x14ac:dyDescent="0.2">
      <c r="A117" s="1" t="s">
        <v>368</v>
      </c>
      <c r="B117" s="1" t="s">
        <v>791</v>
      </c>
      <c r="C117" s="1" t="s">
        <v>15</v>
      </c>
      <c r="D117">
        <v>52.055150832247556</v>
      </c>
      <c r="E117">
        <v>1.1556826247964169</v>
      </c>
      <c r="F117">
        <v>157000</v>
      </c>
      <c r="G117">
        <v>235000</v>
      </c>
      <c r="H117">
        <v>2265</v>
      </c>
      <c r="I117">
        <v>1475</v>
      </c>
      <c r="J117">
        <v>4.0999999999999996</v>
      </c>
      <c r="K117">
        <v>116</v>
      </c>
      <c r="L117">
        <v>69971</v>
      </c>
    </row>
    <row r="118" spans="1:12" x14ac:dyDescent="0.2">
      <c r="A118" s="1" t="s">
        <v>165</v>
      </c>
      <c r="B118" s="1" t="s">
        <v>792</v>
      </c>
      <c r="C118" s="1" t="s">
        <v>10</v>
      </c>
      <c r="D118">
        <v>52.224885436896287</v>
      </c>
      <c r="E118">
        <v>-0.96734318530757502</v>
      </c>
      <c r="F118">
        <v>200000</v>
      </c>
      <c r="G118">
        <v>299250</v>
      </c>
      <c r="H118">
        <v>7517</v>
      </c>
      <c r="I118">
        <v>6023</v>
      </c>
      <c r="J118">
        <v>4.0999999999999996</v>
      </c>
      <c r="K118">
        <v>117</v>
      </c>
      <c r="L118">
        <v>240390</v>
      </c>
    </row>
    <row r="119" spans="1:12" x14ac:dyDescent="0.2">
      <c r="A119" s="1" t="s">
        <v>167</v>
      </c>
      <c r="B119" s="1" t="s">
        <v>793</v>
      </c>
      <c r="C119" s="1" t="s">
        <v>10</v>
      </c>
      <c r="D119">
        <v>53.037647049853945</v>
      </c>
      <c r="E119">
        <v>-1.4245952097370982</v>
      </c>
      <c r="F119">
        <v>154000</v>
      </c>
      <c r="G119">
        <v>230000</v>
      </c>
      <c r="H119">
        <v>2247</v>
      </c>
      <c r="I119">
        <v>1949</v>
      </c>
      <c r="J119">
        <v>4.0999999999999996</v>
      </c>
      <c r="K119">
        <v>118</v>
      </c>
      <c r="L119">
        <v>68803</v>
      </c>
    </row>
    <row r="120" spans="1:12" x14ac:dyDescent="0.2">
      <c r="A120" s="1" t="s">
        <v>239</v>
      </c>
      <c r="B120" s="1" t="s">
        <v>794</v>
      </c>
      <c r="C120" s="1" t="s">
        <v>22</v>
      </c>
      <c r="D120">
        <v>53.024595606362773</v>
      </c>
      <c r="E120">
        <v>-2.2575240664767331</v>
      </c>
      <c r="F120">
        <v>134000</v>
      </c>
      <c r="G120">
        <v>200000</v>
      </c>
      <c r="H120">
        <v>1801</v>
      </c>
      <c r="I120">
        <v>1580</v>
      </c>
      <c r="J120">
        <v>4.0999999999999996</v>
      </c>
      <c r="K120">
        <v>119</v>
      </c>
      <c r="L120">
        <v>57070</v>
      </c>
    </row>
    <row r="121" spans="1:12" x14ac:dyDescent="0.2">
      <c r="A121" s="1" t="s">
        <v>199</v>
      </c>
      <c r="B121" s="1" t="s">
        <v>795</v>
      </c>
      <c r="C121" s="1" t="s">
        <v>10</v>
      </c>
      <c r="D121">
        <v>53.250009207904043</v>
      </c>
      <c r="E121">
        <v>7.9000420113793629E-2</v>
      </c>
      <c r="F121">
        <v>147500</v>
      </c>
      <c r="G121">
        <v>219950</v>
      </c>
      <c r="H121">
        <v>2376</v>
      </c>
      <c r="I121">
        <v>2125</v>
      </c>
      <c r="J121">
        <v>4.0999999999999996</v>
      </c>
      <c r="K121">
        <v>120</v>
      </c>
      <c r="L121">
        <v>80891</v>
      </c>
    </row>
    <row r="122" spans="1:12" x14ac:dyDescent="0.2">
      <c r="A122" s="1" t="s">
        <v>179</v>
      </c>
      <c r="B122" s="1" t="s">
        <v>796</v>
      </c>
      <c r="C122" s="1" t="s">
        <v>10</v>
      </c>
      <c r="D122">
        <v>53.246680531625117</v>
      </c>
      <c r="E122">
        <v>-1.4168273127885502</v>
      </c>
      <c r="F122">
        <v>165000</v>
      </c>
      <c r="G122">
        <v>246000</v>
      </c>
      <c r="H122">
        <v>1425</v>
      </c>
      <c r="I122">
        <v>1405</v>
      </c>
      <c r="J122">
        <v>4.0999999999999996</v>
      </c>
      <c r="K122">
        <v>121</v>
      </c>
      <c r="L122">
        <v>46163</v>
      </c>
    </row>
    <row r="123" spans="1:12" x14ac:dyDescent="0.2">
      <c r="A123" s="1" t="s">
        <v>103</v>
      </c>
      <c r="B123" s="1" t="s">
        <v>797</v>
      </c>
      <c r="C123" s="1" t="s">
        <v>18</v>
      </c>
      <c r="D123">
        <v>53.773262124715814</v>
      </c>
      <c r="E123">
        <v>-2.7041530904514453</v>
      </c>
      <c r="F123">
        <v>126000</v>
      </c>
      <c r="G123">
        <v>187800</v>
      </c>
      <c r="H123">
        <v>1811</v>
      </c>
      <c r="I123">
        <v>1884</v>
      </c>
      <c r="J123">
        <v>4.0999999999999996</v>
      </c>
      <c r="K123">
        <v>122</v>
      </c>
      <c r="L123">
        <v>70393</v>
      </c>
    </row>
    <row r="124" spans="1:12" x14ac:dyDescent="0.2">
      <c r="A124" s="1" t="s">
        <v>664</v>
      </c>
      <c r="B124" s="1" t="s">
        <v>798</v>
      </c>
      <c r="C124" s="1" t="s">
        <v>21</v>
      </c>
      <c r="D124">
        <v>51.716429599526812</v>
      </c>
      <c r="E124">
        <v>-2.818754520504732</v>
      </c>
      <c r="F124">
        <v>210000</v>
      </c>
      <c r="G124">
        <v>313000</v>
      </c>
      <c r="H124">
        <v>1446</v>
      </c>
      <c r="I124">
        <v>1229</v>
      </c>
      <c r="J124">
        <v>4.0999999999999996</v>
      </c>
      <c r="K124">
        <v>122</v>
      </c>
      <c r="L124">
        <v>45515</v>
      </c>
    </row>
    <row r="125" spans="1:12" x14ac:dyDescent="0.2">
      <c r="A125" s="1" t="s">
        <v>303</v>
      </c>
      <c r="B125" s="1" t="s">
        <v>799</v>
      </c>
      <c r="C125" s="1" t="s">
        <v>15</v>
      </c>
      <c r="D125">
        <v>52.336118630277106</v>
      </c>
      <c r="E125">
        <v>-0.18712570755067881</v>
      </c>
      <c r="F125">
        <v>214998</v>
      </c>
      <c r="G125">
        <v>320000</v>
      </c>
      <c r="H125">
        <v>3336</v>
      </c>
      <c r="I125">
        <v>2847</v>
      </c>
      <c r="J125">
        <v>4.0999999999999996</v>
      </c>
      <c r="K125">
        <v>124</v>
      </c>
      <c r="L125">
        <v>108174</v>
      </c>
    </row>
    <row r="126" spans="1:12" x14ac:dyDescent="0.2">
      <c r="A126" s="1" t="s">
        <v>235</v>
      </c>
      <c r="B126" s="1" t="s">
        <v>800</v>
      </c>
      <c r="C126" s="1" t="s">
        <v>22</v>
      </c>
      <c r="D126">
        <v>52.835079719887958</v>
      </c>
      <c r="E126">
        <v>-1.7113032551566081</v>
      </c>
      <c r="F126">
        <v>160000</v>
      </c>
      <c r="G126">
        <v>238000</v>
      </c>
      <c r="H126">
        <v>1893</v>
      </c>
      <c r="I126">
        <v>1775</v>
      </c>
      <c r="J126">
        <v>4.0999999999999996</v>
      </c>
      <c r="K126">
        <v>125</v>
      </c>
      <c r="L126">
        <v>63021</v>
      </c>
    </row>
    <row r="127" spans="1:12" x14ac:dyDescent="0.2">
      <c r="A127" s="1" t="s">
        <v>452</v>
      </c>
      <c r="B127" s="1" t="s">
        <v>801</v>
      </c>
      <c r="C127" s="1" t="s">
        <v>19</v>
      </c>
      <c r="D127">
        <v>52.038813860719998</v>
      </c>
      <c r="E127">
        <v>-0.75132999848000004</v>
      </c>
      <c r="F127">
        <v>232000</v>
      </c>
      <c r="G127">
        <v>345000</v>
      </c>
      <c r="H127">
        <v>4730</v>
      </c>
      <c r="I127">
        <v>3213</v>
      </c>
      <c r="J127">
        <v>4</v>
      </c>
      <c r="K127">
        <v>126</v>
      </c>
      <c r="L127">
        <v>156090</v>
      </c>
    </row>
    <row r="128" spans="1:12" x14ac:dyDescent="0.2">
      <c r="A128" s="1" t="s">
        <v>231</v>
      </c>
      <c r="B128" s="1" t="s">
        <v>802</v>
      </c>
      <c r="C128" s="1" t="s">
        <v>22</v>
      </c>
      <c r="D128">
        <v>52.6912486698509</v>
      </c>
      <c r="E128">
        <v>-2.7190357432388823</v>
      </c>
      <c r="F128">
        <v>185000</v>
      </c>
      <c r="G128">
        <v>275000</v>
      </c>
      <c r="H128">
        <v>5082</v>
      </c>
      <c r="I128">
        <v>4311</v>
      </c>
      <c r="J128">
        <v>4</v>
      </c>
      <c r="K128">
        <v>127</v>
      </c>
      <c r="L128">
        <v>157878</v>
      </c>
    </row>
    <row r="129" spans="1:12" x14ac:dyDescent="0.2">
      <c r="A129" s="1" t="s">
        <v>628</v>
      </c>
      <c r="B129" s="1" t="s">
        <v>803</v>
      </c>
      <c r="C129" s="1" t="s">
        <v>21</v>
      </c>
      <c r="D129">
        <v>53.261432612228639</v>
      </c>
      <c r="E129">
        <v>-3.7499498713403705</v>
      </c>
      <c r="F129">
        <v>146000</v>
      </c>
      <c r="G129">
        <v>216975</v>
      </c>
      <c r="H129">
        <v>1883</v>
      </c>
      <c r="I129">
        <v>1792</v>
      </c>
      <c r="J129">
        <v>4</v>
      </c>
      <c r="K129">
        <v>128</v>
      </c>
      <c r="L129">
        <v>64257</v>
      </c>
    </row>
    <row r="130" spans="1:12" x14ac:dyDescent="0.2">
      <c r="A130" s="1" t="s">
        <v>454</v>
      </c>
      <c r="B130" s="1" t="s">
        <v>804</v>
      </c>
      <c r="C130" s="1" t="s">
        <v>19</v>
      </c>
      <c r="D130">
        <v>50.809796721486222</v>
      </c>
      <c r="E130">
        <v>-1.0771367339728948</v>
      </c>
      <c r="F130">
        <v>173975</v>
      </c>
      <c r="G130">
        <v>258250</v>
      </c>
      <c r="H130">
        <v>3552</v>
      </c>
      <c r="I130">
        <v>2350</v>
      </c>
      <c r="J130">
        <v>4</v>
      </c>
      <c r="K130">
        <v>129</v>
      </c>
      <c r="L130">
        <v>111577</v>
      </c>
    </row>
    <row r="131" spans="1:12" x14ac:dyDescent="0.2">
      <c r="A131" s="1" t="s">
        <v>287</v>
      </c>
      <c r="B131" s="1" t="s">
        <v>805</v>
      </c>
      <c r="C131" s="1" t="s">
        <v>15</v>
      </c>
      <c r="D131">
        <v>51.979407525910574</v>
      </c>
      <c r="E131">
        <v>-0.47470929049452176</v>
      </c>
      <c r="F131">
        <v>246000</v>
      </c>
      <c r="G131">
        <v>365000</v>
      </c>
      <c r="H131">
        <v>5942</v>
      </c>
      <c r="I131">
        <v>4799</v>
      </c>
      <c r="J131">
        <v>4</v>
      </c>
      <c r="K131">
        <v>130</v>
      </c>
      <c r="L131">
        <v>170108</v>
      </c>
    </row>
    <row r="132" spans="1:12" x14ac:dyDescent="0.2">
      <c r="A132" s="1" t="s">
        <v>315</v>
      </c>
      <c r="B132" s="1" t="s">
        <v>806</v>
      </c>
      <c r="C132" s="1" t="s">
        <v>15</v>
      </c>
      <c r="D132">
        <v>51.725621407286731</v>
      </c>
      <c r="E132">
        <v>0.49401144490521326</v>
      </c>
      <c r="F132">
        <v>274995</v>
      </c>
      <c r="G132">
        <v>408000</v>
      </c>
      <c r="H132">
        <v>3225</v>
      </c>
      <c r="I132">
        <v>2543</v>
      </c>
      <c r="J132">
        <v>4</v>
      </c>
      <c r="K132">
        <v>131</v>
      </c>
      <c r="L132">
        <v>97251</v>
      </c>
    </row>
    <row r="133" spans="1:12" x14ac:dyDescent="0.2">
      <c r="A133" s="1" t="s">
        <v>500</v>
      </c>
      <c r="B133" s="1" t="s">
        <v>807</v>
      </c>
      <c r="C133" s="1" t="s">
        <v>19</v>
      </c>
      <c r="D133">
        <v>51.135009983745341</v>
      </c>
      <c r="E133">
        <v>0.83731831290213343</v>
      </c>
      <c r="F133">
        <v>233000</v>
      </c>
      <c r="G133">
        <v>345000</v>
      </c>
      <c r="H133">
        <v>2360</v>
      </c>
      <c r="I133">
        <v>1762</v>
      </c>
      <c r="J133">
        <v>4</v>
      </c>
      <c r="K133">
        <v>132</v>
      </c>
      <c r="L133">
        <v>69182</v>
      </c>
    </row>
    <row r="134" spans="1:12" x14ac:dyDescent="0.2">
      <c r="A134" s="1" t="s">
        <v>352</v>
      </c>
      <c r="B134" s="1" t="s">
        <v>808</v>
      </c>
      <c r="C134" s="1" t="s">
        <v>15</v>
      </c>
      <c r="D134">
        <v>52.580974294345182</v>
      </c>
      <c r="E134">
        <v>0.86840739767913055</v>
      </c>
      <c r="F134">
        <v>182500</v>
      </c>
      <c r="G134">
        <v>270000</v>
      </c>
      <c r="H134">
        <v>2657</v>
      </c>
      <c r="I134">
        <v>2067</v>
      </c>
      <c r="J134">
        <v>4</v>
      </c>
      <c r="K134">
        <v>133</v>
      </c>
      <c r="L134">
        <v>78844</v>
      </c>
    </row>
    <row r="135" spans="1:12" x14ac:dyDescent="0.2">
      <c r="A135" s="1" t="s">
        <v>630</v>
      </c>
      <c r="B135" s="1" t="s">
        <v>809</v>
      </c>
      <c r="C135" s="1" t="s">
        <v>21</v>
      </c>
      <c r="D135">
        <v>53.214055543181821</v>
      </c>
      <c r="E135">
        <v>-3.3990849665909093</v>
      </c>
      <c r="F135">
        <v>135500</v>
      </c>
      <c r="G135">
        <v>199950</v>
      </c>
      <c r="H135">
        <v>1336</v>
      </c>
      <c r="I135">
        <v>1229</v>
      </c>
      <c r="J135">
        <v>4</v>
      </c>
      <c r="K135">
        <v>134</v>
      </c>
      <c r="L135">
        <v>47291</v>
      </c>
    </row>
    <row r="136" spans="1:12" x14ac:dyDescent="0.2">
      <c r="A136" s="1" t="s">
        <v>570</v>
      </c>
      <c r="B136" s="1" t="s">
        <v>810</v>
      </c>
      <c r="C136" s="1" t="s">
        <v>20</v>
      </c>
      <c r="D136">
        <v>51.364003465646533</v>
      </c>
      <c r="E136">
        <v>-2.4374936931495745</v>
      </c>
      <c r="F136">
        <v>270000</v>
      </c>
      <c r="G136">
        <v>398000</v>
      </c>
      <c r="H136">
        <v>3368</v>
      </c>
      <c r="I136">
        <v>2635</v>
      </c>
      <c r="J136">
        <v>4</v>
      </c>
      <c r="K136">
        <v>135</v>
      </c>
      <c r="L136">
        <v>96002</v>
      </c>
    </row>
    <row r="137" spans="1:12" x14ac:dyDescent="0.2">
      <c r="A137" s="1" t="s">
        <v>245</v>
      </c>
      <c r="B137" s="1" t="s">
        <v>811</v>
      </c>
      <c r="C137" s="1" t="s">
        <v>22</v>
      </c>
      <c r="D137">
        <v>53.066101817315776</v>
      </c>
      <c r="E137">
        <v>-2.0397549265900814</v>
      </c>
      <c r="F137">
        <v>154000</v>
      </c>
      <c r="G137">
        <v>227000</v>
      </c>
      <c r="H137">
        <v>1604</v>
      </c>
      <c r="I137">
        <v>1466</v>
      </c>
      <c r="J137">
        <v>4</v>
      </c>
      <c r="K137">
        <v>136</v>
      </c>
      <c r="L137">
        <v>46976</v>
      </c>
    </row>
    <row r="138" spans="1:12" x14ac:dyDescent="0.2">
      <c r="A138" s="1" t="s">
        <v>171</v>
      </c>
      <c r="B138" s="1" t="s">
        <v>812</v>
      </c>
      <c r="C138" s="1" t="s">
        <v>10</v>
      </c>
      <c r="D138">
        <v>53.245310917856251</v>
      </c>
      <c r="E138">
        <v>-1.421420577761082</v>
      </c>
      <c r="F138">
        <v>134725</v>
      </c>
      <c r="G138">
        <v>198500</v>
      </c>
      <c r="H138">
        <v>1580</v>
      </c>
      <c r="I138">
        <v>1432</v>
      </c>
      <c r="J138">
        <v>4</v>
      </c>
      <c r="K138">
        <v>137</v>
      </c>
      <c r="L138">
        <v>49491</v>
      </c>
    </row>
    <row r="139" spans="1:12" x14ac:dyDescent="0.2">
      <c r="A139" s="1" t="s">
        <v>321</v>
      </c>
      <c r="B139" s="1" t="s">
        <v>813</v>
      </c>
      <c r="C139" s="1" t="s">
        <v>15</v>
      </c>
      <c r="D139">
        <v>51.768132185326841</v>
      </c>
      <c r="E139">
        <v>0.10414772253129347</v>
      </c>
      <c r="F139">
        <v>227500</v>
      </c>
      <c r="G139">
        <v>335000</v>
      </c>
      <c r="H139">
        <v>1331</v>
      </c>
      <c r="I139">
        <v>1024</v>
      </c>
      <c r="J139">
        <v>3.9</v>
      </c>
      <c r="K139">
        <v>138</v>
      </c>
      <c r="L139">
        <v>42984</v>
      </c>
    </row>
    <row r="140" spans="1:12" x14ac:dyDescent="0.2">
      <c r="A140" s="1" t="s">
        <v>313</v>
      </c>
      <c r="B140" s="1" t="s">
        <v>814</v>
      </c>
      <c r="C140" s="1" t="s">
        <v>15</v>
      </c>
      <c r="D140">
        <v>51.545646131738664</v>
      </c>
      <c r="E140">
        <v>0.58303149803641552</v>
      </c>
      <c r="F140">
        <v>248000</v>
      </c>
      <c r="G140">
        <v>365000</v>
      </c>
      <c r="H140">
        <v>1595</v>
      </c>
      <c r="I140">
        <v>1259</v>
      </c>
      <c r="J140">
        <v>3.9</v>
      </c>
      <c r="K140">
        <v>139</v>
      </c>
      <c r="L140">
        <v>48480</v>
      </c>
    </row>
    <row r="141" spans="1:12" x14ac:dyDescent="0.2">
      <c r="A141" s="1" t="s">
        <v>311</v>
      </c>
      <c r="B141" s="1" t="s">
        <v>815</v>
      </c>
      <c r="C141" s="1" t="s">
        <v>15</v>
      </c>
      <c r="D141">
        <v>51.63092253938094</v>
      </c>
      <c r="E141">
        <v>0.3173731556849525</v>
      </c>
      <c r="F141">
        <v>340000</v>
      </c>
      <c r="G141">
        <v>500000</v>
      </c>
      <c r="H141">
        <v>1491</v>
      </c>
      <c r="I141">
        <v>1244</v>
      </c>
      <c r="J141">
        <v>3.9</v>
      </c>
      <c r="K141">
        <v>140</v>
      </c>
      <c r="L141">
        <v>43797</v>
      </c>
    </row>
    <row r="142" spans="1:12" x14ac:dyDescent="0.2">
      <c r="A142" s="1" t="s">
        <v>141</v>
      </c>
      <c r="B142" s="1" t="s">
        <v>816</v>
      </c>
      <c r="C142" s="1" t="s">
        <v>23</v>
      </c>
      <c r="D142">
        <v>53.423043813418928</v>
      </c>
      <c r="E142">
        <v>-1.3108761084075378</v>
      </c>
      <c r="F142">
        <v>131250</v>
      </c>
      <c r="G142">
        <v>193000</v>
      </c>
      <c r="H142">
        <v>3390</v>
      </c>
      <c r="I142">
        <v>3184</v>
      </c>
      <c r="J142">
        <v>3.9</v>
      </c>
      <c r="K142">
        <v>141</v>
      </c>
      <c r="L142">
        <v>112361</v>
      </c>
    </row>
    <row r="143" spans="1:12" x14ac:dyDescent="0.2">
      <c r="A143" s="1" t="s">
        <v>145</v>
      </c>
      <c r="B143" s="1" t="s">
        <v>817</v>
      </c>
      <c r="C143" s="1" t="s">
        <v>23</v>
      </c>
      <c r="D143">
        <v>53.821622673532346</v>
      </c>
      <c r="E143">
        <v>-1.8024070107256418</v>
      </c>
      <c r="F143">
        <v>126000</v>
      </c>
      <c r="G143">
        <v>185000</v>
      </c>
      <c r="H143">
        <v>6904</v>
      </c>
      <c r="I143">
        <v>6360</v>
      </c>
      <c r="J143">
        <v>3.9</v>
      </c>
      <c r="K143">
        <v>142</v>
      </c>
      <c r="L143">
        <v>252977</v>
      </c>
    </row>
    <row r="144" spans="1:12" x14ac:dyDescent="0.2">
      <c r="A144" s="1" t="s">
        <v>356</v>
      </c>
      <c r="B144" s="1" t="s">
        <v>818</v>
      </c>
      <c r="C144" s="1" t="s">
        <v>15</v>
      </c>
      <c r="D144">
        <v>52.613555574600355</v>
      </c>
      <c r="E144">
        <v>1.7074434638839551</v>
      </c>
      <c r="F144">
        <v>149995</v>
      </c>
      <c r="G144">
        <v>220000</v>
      </c>
      <c r="H144">
        <v>1686</v>
      </c>
      <c r="I144">
        <v>1374</v>
      </c>
      <c r="J144">
        <v>3.9</v>
      </c>
      <c r="K144">
        <v>143</v>
      </c>
      <c r="L144">
        <v>54082</v>
      </c>
    </row>
    <row r="145" spans="1:12" x14ac:dyDescent="0.2">
      <c r="A145" s="1" t="s">
        <v>618</v>
      </c>
      <c r="B145" s="1" t="s">
        <v>819</v>
      </c>
      <c r="C145" s="1" t="s">
        <v>20</v>
      </c>
      <c r="D145">
        <v>51.730527617453454</v>
      </c>
      <c r="E145">
        <v>-2.2695350122249387</v>
      </c>
      <c r="F145">
        <v>225000</v>
      </c>
      <c r="G145">
        <v>330000</v>
      </c>
      <c r="H145">
        <v>2183</v>
      </c>
      <c r="I145">
        <v>1840</v>
      </c>
      <c r="J145">
        <v>3.9</v>
      </c>
      <c r="K145">
        <v>144</v>
      </c>
      <c r="L145">
        <v>64693</v>
      </c>
    </row>
    <row r="146" spans="1:12" x14ac:dyDescent="0.2">
      <c r="A146" s="1" t="s">
        <v>578</v>
      </c>
      <c r="B146" s="1" t="s">
        <v>820</v>
      </c>
      <c r="C146" s="1" t="s">
        <v>20</v>
      </c>
      <c r="D146">
        <v>51.392453890433508</v>
      </c>
      <c r="E146">
        <v>-2.832618304097311</v>
      </c>
      <c r="F146">
        <v>215000</v>
      </c>
      <c r="G146">
        <v>315000</v>
      </c>
      <c r="H146">
        <v>4399</v>
      </c>
      <c r="I146">
        <v>3642</v>
      </c>
      <c r="J146">
        <v>3.9</v>
      </c>
      <c r="K146">
        <v>145</v>
      </c>
      <c r="L146">
        <v>135113</v>
      </c>
    </row>
    <row r="147" spans="1:12" x14ac:dyDescent="0.2">
      <c r="A147" s="1" t="s">
        <v>622</v>
      </c>
      <c r="B147" s="1" t="s">
        <v>821</v>
      </c>
      <c r="C147" s="1" t="s">
        <v>20</v>
      </c>
      <c r="D147">
        <v>51.086755715674407</v>
      </c>
      <c r="E147">
        <v>-2.8629734089010346</v>
      </c>
      <c r="F147">
        <v>195000</v>
      </c>
      <c r="G147">
        <v>285000</v>
      </c>
      <c r="H147">
        <v>10501</v>
      </c>
      <c r="I147">
        <v>8239</v>
      </c>
      <c r="J147">
        <v>3.9</v>
      </c>
      <c r="K147">
        <v>146</v>
      </c>
      <c r="L147">
        <v>320693</v>
      </c>
    </row>
    <row r="148" spans="1:12" x14ac:dyDescent="0.2">
      <c r="A148" s="1" t="s">
        <v>201</v>
      </c>
      <c r="B148" s="1" t="s">
        <v>822</v>
      </c>
      <c r="C148" s="1" t="s">
        <v>10</v>
      </c>
      <c r="D148">
        <v>53.225645318896625</v>
      </c>
      <c r="E148">
        <v>-0.54866539340036091</v>
      </c>
      <c r="F148">
        <v>130000</v>
      </c>
      <c r="G148">
        <v>190000</v>
      </c>
      <c r="H148">
        <v>1719</v>
      </c>
      <c r="I148">
        <v>1206</v>
      </c>
      <c r="J148">
        <v>3.9</v>
      </c>
      <c r="K148">
        <v>146</v>
      </c>
      <c r="L148">
        <v>54089</v>
      </c>
    </row>
    <row r="149" spans="1:12" x14ac:dyDescent="0.2">
      <c r="A149" s="1" t="s">
        <v>275</v>
      </c>
      <c r="B149" s="1" t="s">
        <v>823</v>
      </c>
      <c r="C149" s="1" t="s">
        <v>22</v>
      </c>
      <c r="D149">
        <v>52.15254850073508</v>
      </c>
      <c r="E149">
        <v>-2.3277130885033812</v>
      </c>
      <c r="F149">
        <v>226000</v>
      </c>
      <c r="G149">
        <v>330000</v>
      </c>
      <c r="H149">
        <v>1231</v>
      </c>
      <c r="I149">
        <v>1187</v>
      </c>
      <c r="J149">
        <v>3.9</v>
      </c>
      <c r="K149">
        <v>148</v>
      </c>
      <c r="L149">
        <v>38436</v>
      </c>
    </row>
    <row r="150" spans="1:12" x14ac:dyDescent="0.2">
      <c r="A150" s="1" t="s">
        <v>510</v>
      </c>
      <c r="B150" s="1" t="s">
        <v>824</v>
      </c>
      <c r="C150" s="1" t="s">
        <v>19</v>
      </c>
      <c r="D150">
        <v>51.250250000557649</v>
      </c>
      <c r="E150">
        <v>0.54375998745294851</v>
      </c>
      <c r="F150">
        <v>250000</v>
      </c>
      <c r="G150">
        <v>365000</v>
      </c>
      <c r="H150">
        <v>2837</v>
      </c>
      <c r="I150">
        <v>2376</v>
      </c>
      <c r="J150">
        <v>3.9</v>
      </c>
      <c r="K150">
        <v>149</v>
      </c>
      <c r="L150">
        <v>89385</v>
      </c>
    </row>
    <row r="151" spans="1:12" x14ac:dyDescent="0.2">
      <c r="A151" s="1" t="s">
        <v>340</v>
      </c>
      <c r="B151" s="1" t="s">
        <v>825</v>
      </c>
      <c r="C151" s="1" t="s">
        <v>15</v>
      </c>
      <c r="D151">
        <v>51.969563217141861</v>
      </c>
      <c r="E151">
        <v>-0.20148039603616133</v>
      </c>
      <c r="F151">
        <v>288000</v>
      </c>
      <c r="G151">
        <v>420000</v>
      </c>
      <c r="H151">
        <v>2414</v>
      </c>
      <c r="I151">
        <v>1926</v>
      </c>
      <c r="J151">
        <v>3.8</v>
      </c>
      <c r="K151">
        <v>150</v>
      </c>
      <c r="L151">
        <v>72476</v>
      </c>
    </row>
    <row r="152" spans="1:12" x14ac:dyDescent="0.2">
      <c r="A152" s="1" t="s">
        <v>203</v>
      </c>
      <c r="B152" s="1" t="s">
        <v>826</v>
      </c>
      <c r="C152" s="1" t="s">
        <v>10</v>
      </c>
      <c r="D152">
        <v>53.100589652295916</v>
      </c>
      <c r="E152">
        <v>-0.47662123086734692</v>
      </c>
      <c r="F152">
        <v>168000</v>
      </c>
      <c r="G152">
        <v>245000</v>
      </c>
      <c r="H152">
        <v>2383</v>
      </c>
      <c r="I152">
        <v>1899</v>
      </c>
      <c r="J152">
        <v>3.8</v>
      </c>
      <c r="K152">
        <v>150</v>
      </c>
      <c r="L152">
        <v>70226</v>
      </c>
    </row>
    <row r="153" spans="1:12" x14ac:dyDescent="0.2">
      <c r="A153" s="1" t="s">
        <v>370</v>
      </c>
      <c r="B153" s="1" t="s">
        <v>827</v>
      </c>
      <c r="C153" s="1" t="s">
        <v>15</v>
      </c>
      <c r="D153">
        <v>52.221685767025093</v>
      </c>
      <c r="E153">
        <v>1.0513953957410922</v>
      </c>
      <c r="F153">
        <v>215000</v>
      </c>
      <c r="G153">
        <v>313500</v>
      </c>
      <c r="H153">
        <v>1832</v>
      </c>
      <c r="I153">
        <v>1827</v>
      </c>
      <c r="J153">
        <v>3.8</v>
      </c>
      <c r="K153">
        <v>152</v>
      </c>
      <c r="L153">
        <v>58881</v>
      </c>
    </row>
    <row r="154" spans="1:12" x14ac:dyDescent="0.2">
      <c r="A154" s="1" t="s">
        <v>434</v>
      </c>
      <c r="B154" s="1" t="s">
        <v>828</v>
      </c>
      <c r="C154" s="1" t="s">
        <v>16</v>
      </c>
      <c r="D154">
        <v>51.579014157561161</v>
      </c>
      <c r="E154">
        <v>6.6707894663455447E-2</v>
      </c>
      <c r="F154">
        <v>350000</v>
      </c>
      <c r="G154">
        <v>510000</v>
      </c>
      <c r="H154">
        <v>3305</v>
      </c>
      <c r="I154">
        <v>2075</v>
      </c>
      <c r="J154">
        <v>3.8</v>
      </c>
      <c r="K154">
        <v>153</v>
      </c>
      <c r="L154">
        <v>115472</v>
      </c>
    </row>
    <row r="155" spans="1:12" x14ac:dyDescent="0.2">
      <c r="A155" s="1" t="s">
        <v>109</v>
      </c>
      <c r="B155" s="1" t="s">
        <v>829</v>
      </c>
      <c r="C155" s="1" t="s">
        <v>18</v>
      </c>
      <c r="D155">
        <v>53.714336904087318</v>
      </c>
      <c r="E155">
        <v>-2.7021841193683231</v>
      </c>
      <c r="F155">
        <v>151000</v>
      </c>
      <c r="G155">
        <v>220000</v>
      </c>
      <c r="H155">
        <v>1913</v>
      </c>
      <c r="I155">
        <v>1846</v>
      </c>
      <c r="J155">
        <v>3.8</v>
      </c>
      <c r="K155">
        <v>154</v>
      </c>
      <c r="L155">
        <v>62145</v>
      </c>
    </row>
    <row r="156" spans="1:12" x14ac:dyDescent="0.2">
      <c r="A156" s="1" t="s">
        <v>582</v>
      </c>
      <c r="B156" s="1" t="s">
        <v>830</v>
      </c>
      <c r="C156" s="1" t="s">
        <v>20</v>
      </c>
      <c r="D156">
        <v>51.51812944429863</v>
      </c>
      <c r="E156">
        <v>-2.4997552317731118</v>
      </c>
      <c r="F156">
        <v>230000</v>
      </c>
      <c r="G156">
        <v>335000</v>
      </c>
      <c r="H156">
        <v>4974</v>
      </c>
      <c r="I156">
        <v>4086</v>
      </c>
      <c r="J156">
        <v>3.8</v>
      </c>
      <c r="K156">
        <v>155</v>
      </c>
      <c r="L156">
        <v>153718</v>
      </c>
    </row>
    <row r="157" spans="1:12" x14ac:dyDescent="0.2">
      <c r="A157" s="1" t="s">
        <v>207</v>
      </c>
      <c r="B157" s="1" t="s">
        <v>831</v>
      </c>
      <c r="C157" s="1" t="s">
        <v>10</v>
      </c>
      <c r="D157">
        <v>52.821902353843242</v>
      </c>
      <c r="E157">
        <v>-0.52776146346081032</v>
      </c>
      <c r="F157">
        <v>178725</v>
      </c>
      <c r="G157">
        <v>260000</v>
      </c>
      <c r="H157">
        <v>2838</v>
      </c>
      <c r="I157">
        <v>2255</v>
      </c>
      <c r="J157">
        <v>3.8</v>
      </c>
      <c r="K157">
        <v>156</v>
      </c>
      <c r="L157">
        <v>85761</v>
      </c>
    </row>
    <row r="158" spans="1:12" x14ac:dyDescent="0.2">
      <c r="A158" s="1" t="s">
        <v>620</v>
      </c>
      <c r="B158" s="1" t="s">
        <v>832</v>
      </c>
      <c r="C158" s="1" t="s">
        <v>20</v>
      </c>
      <c r="D158">
        <v>51.931837732830004</v>
      </c>
      <c r="E158">
        <v>-2.1240705535801268</v>
      </c>
      <c r="F158">
        <v>227250</v>
      </c>
      <c r="G158">
        <v>330000</v>
      </c>
      <c r="H158">
        <v>1798</v>
      </c>
      <c r="I158">
        <v>1618</v>
      </c>
      <c r="J158">
        <v>3.8</v>
      </c>
      <c r="K158">
        <v>157</v>
      </c>
      <c r="L158">
        <v>52630</v>
      </c>
    </row>
    <row r="159" spans="1:12" x14ac:dyDescent="0.2">
      <c r="A159" s="1" t="s">
        <v>440</v>
      </c>
      <c r="B159" s="1" t="s">
        <v>833</v>
      </c>
      <c r="C159" s="1" t="s">
        <v>16</v>
      </c>
      <c r="D159">
        <v>51.587959195734733</v>
      </c>
      <c r="E159">
        <v>-9.3257053754016942E-3</v>
      </c>
      <c r="F159">
        <v>371975</v>
      </c>
      <c r="G159">
        <v>540000</v>
      </c>
      <c r="H159">
        <v>3398</v>
      </c>
      <c r="I159">
        <v>2748</v>
      </c>
      <c r="J159">
        <v>3.8</v>
      </c>
      <c r="K159">
        <v>158</v>
      </c>
      <c r="L159">
        <v>111137</v>
      </c>
    </row>
    <row r="160" spans="1:12" x14ac:dyDescent="0.2">
      <c r="A160" s="1" t="s">
        <v>394</v>
      </c>
      <c r="B160" s="1" t="s">
        <v>834</v>
      </c>
      <c r="C160" s="1" t="s">
        <v>16</v>
      </c>
      <c r="D160">
        <v>51.531199685056869</v>
      </c>
      <c r="E160">
        <v>3.0401366453131129E-2</v>
      </c>
      <c r="F160">
        <v>310000</v>
      </c>
      <c r="G160">
        <v>450012</v>
      </c>
      <c r="H160">
        <v>2839</v>
      </c>
      <c r="I160">
        <v>1880</v>
      </c>
      <c r="J160">
        <v>3.8</v>
      </c>
      <c r="K160">
        <v>159</v>
      </c>
      <c r="L160">
        <v>98327</v>
      </c>
    </row>
    <row r="161" spans="1:12" x14ac:dyDescent="0.2">
      <c r="A161" s="1" t="s">
        <v>125</v>
      </c>
      <c r="B161" s="1" t="s">
        <v>835</v>
      </c>
      <c r="C161" s="1" t="s">
        <v>23</v>
      </c>
      <c r="D161">
        <v>53.869555728463347</v>
      </c>
      <c r="E161">
        <v>-0.4924797556742323</v>
      </c>
      <c r="F161">
        <v>155000</v>
      </c>
      <c r="G161">
        <v>225000</v>
      </c>
      <c r="H161">
        <v>6132</v>
      </c>
      <c r="I161">
        <v>5843</v>
      </c>
      <c r="J161">
        <v>3.8</v>
      </c>
      <c r="K161">
        <v>160</v>
      </c>
      <c r="L161">
        <v>205913</v>
      </c>
    </row>
    <row r="162" spans="1:12" x14ac:dyDescent="0.2">
      <c r="A162" s="1" t="s">
        <v>243</v>
      </c>
      <c r="B162" s="1" t="s">
        <v>836</v>
      </c>
      <c r="C162" s="1" t="s">
        <v>22</v>
      </c>
      <c r="D162">
        <v>52.834314013527155</v>
      </c>
      <c r="E162">
        <v>-2.1353571564708256</v>
      </c>
      <c r="F162">
        <v>179250</v>
      </c>
      <c r="G162">
        <v>260000</v>
      </c>
      <c r="H162">
        <v>2224</v>
      </c>
      <c r="I162">
        <v>1914</v>
      </c>
      <c r="J162">
        <v>3.8</v>
      </c>
      <c r="K162">
        <v>161</v>
      </c>
      <c r="L162">
        <v>69308</v>
      </c>
    </row>
    <row r="163" spans="1:12" x14ac:dyDescent="0.2">
      <c r="A163" s="1" t="s">
        <v>418</v>
      </c>
      <c r="B163" s="1" t="s">
        <v>837</v>
      </c>
      <c r="C163" s="1" t="s">
        <v>16</v>
      </c>
      <c r="D163">
        <v>51.639623860252115</v>
      </c>
      <c r="E163">
        <v>-8.3000152747685643E-2</v>
      </c>
      <c r="F163">
        <v>331000</v>
      </c>
      <c r="G163">
        <v>480000</v>
      </c>
      <c r="H163">
        <v>3517</v>
      </c>
      <c r="I163">
        <v>2409</v>
      </c>
      <c r="J163">
        <v>3.8</v>
      </c>
      <c r="K163">
        <v>162</v>
      </c>
      <c r="L163">
        <v>130186</v>
      </c>
    </row>
    <row r="164" spans="1:12" x14ac:dyDescent="0.2">
      <c r="A164" s="1" t="s">
        <v>426</v>
      </c>
      <c r="B164" s="1" t="s">
        <v>838</v>
      </c>
      <c r="C164" s="1" t="s">
        <v>16</v>
      </c>
      <c r="D164">
        <v>51.537753680494014</v>
      </c>
      <c r="E164">
        <v>-0.43805985971528238</v>
      </c>
      <c r="F164">
        <v>352500</v>
      </c>
      <c r="G164">
        <v>510000</v>
      </c>
      <c r="H164">
        <v>3730</v>
      </c>
      <c r="I164">
        <v>2300</v>
      </c>
      <c r="J164">
        <v>3.8</v>
      </c>
      <c r="K164">
        <v>163</v>
      </c>
      <c r="L164">
        <v>121150</v>
      </c>
    </row>
    <row r="165" spans="1:12" x14ac:dyDescent="0.2">
      <c r="A165" s="1" t="s">
        <v>442</v>
      </c>
      <c r="B165" s="1" t="s">
        <v>839</v>
      </c>
      <c r="C165" s="1" t="s">
        <v>19</v>
      </c>
      <c r="D165">
        <v>51.401487852617684</v>
      </c>
      <c r="E165">
        <v>-0.76130311189323951</v>
      </c>
      <c r="F165">
        <v>290500</v>
      </c>
      <c r="G165">
        <v>420000</v>
      </c>
      <c r="H165">
        <v>2168</v>
      </c>
      <c r="I165">
        <v>1690</v>
      </c>
      <c r="J165">
        <v>3.8</v>
      </c>
      <c r="K165">
        <v>164</v>
      </c>
      <c r="L165">
        <v>71809</v>
      </c>
    </row>
    <row r="166" spans="1:12" x14ac:dyDescent="0.2">
      <c r="A166" s="1" t="s">
        <v>610</v>
      </c>
      <c r="B166" s="1" t="s">
        <v>840</v>
      </c>
      <c r="C166" s="1" t="s">
        <v>20</v>
      </c>
      <c r="D166">
        <v>51.898464195117725</v>
      </c>
      <c r="E166">
        <v>-2.0839958145775621</v>
      </c>
      <c r="F166">
        <v>225000</v>
      </c>
      <c r="G166">
        <v>325000</v>
      </c>
      <c r="H166">
        <v>2470</v>
      </c>
      <c r="I166">
        <v>1991</v>
      </c>
      <c r="J166">
        <v>3.7</v>
      </c>
      <c r="K166">
        <v>165</v>
      </c>
      <c r="L166">
        <v>76000</v>
      </c>
    </row>
    <row r="167" spans="1:12" x14ac:dyDescent="0.2">
      <c r="A167" s="1" t="s">
        <v>598</v>
      </c>
      <c r="B167" s="1" t="s">
        <v>841</v>
      </c>
      <c r="C167" s="1" t="s">
        <v>20</v>
      </c>
      <c r="D167">
        <v>50.870038848396504</v>
      </c>
      <c r="E167">
        <v>-3.518743543974733</v>
      </c>
      <c r="F167">
        <v>202500</v>
      </c>
      <c r="G167">
        <v>292000</v>
      </c>
      <c r="H167">
        <v>1395</v>
      </c>
      <c r="I167">
        <v>1103</v>
      </c>
      <c r="J167">
        <v>3.7</v>
      </c>
      <c r="K167">
        <v>166</v>
      </c>
      <c r="L167">
        <v>43517</v>
      </c>
    </row>
    <row r="168" spans="1:12" x14ac:dyDescent="0.2">
      <c r="A168" s="1" t="s">
        <v>139</v>
      </c>
      <c r="B168" s="1" t="s">
        <v>842</v>
      </c>
      <c r="C168" s="1" t="s">
        <v>23</v>
      </c>
      <c r="D168">
        <v>53.52873957117253</v>
      </c>
      <c r="E168">
        <v>-1.1177106882369587</v>
      </c>
      <c r="F168">
        <v>125000</v>
      </c>
      <c r="G168">
        <v>180000</v>
      </c>
      <c r="H168">
        <v>4117</v>
      </c>
      <c r="I168">
        <v>3860</v>
      </c>
      <c r="J168">
        <v>3.7</v>
      </c>
      <c r="K168">
        <v>167</v>
      </c>
      <c r="L168">
        <v>141062</v>
      </c>
    </row>
    <row r="169" spans="1:12" x14ac:dyDescent="0.2">
      <c r="A169" s="1" t="s">
        <v>494</v>
      </c>
      <c r="B169" s="1" t="s">
        <v>843</v>
      </c>
      <c r="C169" s="1" t="s">
        <v>19</v>
      </c>
      <c r="D169">
        <v>51.271956848442713</v>
      </c>
      <c r="E169">
        <v>-0.76023517046718581</v>
      </c>
      <c r="F169">
        <v>250000</v>
      </c>
      <c r="G169">
        <v>360000</v>
      </c>
      <c r="H169">
        <v>1708</v>
      </c>
      <c r="I169">
        <v>1259</v>
      </c>
      <c r="J169">
        <v>3.7</v>
      </c>
      <c r="K169">
        <v>167</v>
      </c>
      <c r="L169">
        <v>54229</v>
      </c>
    </row>
    <row r="170" spans="1:12" x14ac:dyDescent="0.2">
      <c r="A170" s="1" t="s">
        <v>546</v>
      </c>
      <c r="B170" s="1" t="s">
        <v>844</v>
      </c>
      <c r="C170" s="1" t="s">
        <v>19</v>
      </c>
      <c r="D170">
        <v>51.422770165697678</v>
      </c>
      <c r="E170">
        <v>-0.45755164534883719</v>
      </c>
      <c r="F170">
        <v>325000</v>
      </c>
      <c r="G170">
        <v>467500</v>
      </c>
      <c r="H170">
        <v>1711</v>
      </c>
      <c r="I170">
        <v>1288</v>
      </c>
      <c r="J170">
        <v>3.7</v>
      </c>
      <c r="K170">
        <v>169</v>
      </c>
      <c r="L170">
        <v>52773</v>
      </c>
    </row>
    <row r="171" spans="1:12" x14ac:dyDescent="0.2">
      <c r="A171" s="1" t="s">
        <v>299</v>
      </c>
      <c r="B171" s="1" t="s">
        <v>845</v>
      </c>
      <c r="C171" s="1" t="s">
        <v>15</v>
      </c>
      <c r="D171">
        <v>52.343738218864168</v>
      </c>
      <c r="E171">
        <v>0.29182496147459314</v>
      </c>
      <c r="F171">
        <v>240000</v>
      </c>
      <c r="G171">
        <v>344500</v>
      </c>
      <c r="H171">
        <v>1419</v>
      </c>
      <c r="I171">
        <v>1224</v>
      </c>
      <c r="J171">
        <v>3.7</v>
      </c>
      <c r="K171">
        <v>170</v>
      </c>
      <c r="L171">
        <v>49724</v>
      </c>
    </row>
    <row r="172" spans="1:12" x14ac:dyDescent="0.2">
      <c r="A172" s="1" t="s">
        <v>438</v>
      </c>
      <c r="B172" s="1" t="s">
        <v>846</v>
      </c>
      <c r="C172" s="1" t="s">
        <v>16</v>
      </c>
      <c r="D172">
        <v>51.364231844962504</v>
      </c>
      <c r="E172">
        <v>-0.18184253537658951</v>
      </c>
      <c r="F172">
        <v>320975</v>
      </c>
      <c r="G172">
        <v>460000</v>
      </c>
      <c r="H172">
        <v>3262</v>
      </c>
      <c r="I172">
        <v>2239</v>
      </c>
      <c r="J172">
        <v>3.7</v>
      </c>
      <c r="K172">
        <v>171</v>
      </c>
      <c r="L172">
        <v>107133</v>
      </c>
    </row>
    <row r="173" spans="1:12" x14ac:dyDescent="0.2">
      <c r="A173" s="1" t="s">
        <v>223</v>
      </c>
      <c r="B173" s="1" t="s">
        <v>847</v>
      </c>
      <c r="C173" s="1" t="s">
        <v>10</v>
      </c>
      <c r="D173">
        <v>52.910436788690475</v>
      </c>
      <c r="E173">
        <v>-1.0754912083333332</v>
      </c>
      <c r="F173">
        <v>235750</v>
      </c>
      <c r="G173">
        <v>337500</v>
      </c>
      <c r="H173">
        <v>2068</v>
      </c>
      <c r="I173">
        <v>1999</v>
      </c>
      <c r="J173">
        <v>3.7</v>
      </c>
      <c r="K173">
        <v>172</v>
      </c>
      <c r="L173">
        <v>67801</v>
      </c>
    </row>
    <row r="174" spans="1:12" x14ac:dyDescent="0.2">
      <c r="A174" s="1" t="s">
        <v>588</v>
      </c>
      <c r="B174" s="1" t="s">
        <v>848</v>
      </c>
      <c r="C174" s="1" t="s">
        <v>20</v>
      </c>
      <c r="D174">
        <v>50.328820027004497</v>
      </c>
      <c r="E174">
        <v>-4.9519608504784687</v>
      </c>
      <c r="F174">
        <v>200000</v>
      </c>
      <c r="G174">
        <v>286000</v>
      </c>
      <c r="H174">
        <v>10493</v>
      </c>
      <c r="I174">
        <v>7966</v>
      </c>
      <c r="J174">
        <v>3.6</v>
      </c>
      <c r="K174">
        <v>173</v>
      </c>
      <c r="L174">
        <v>319877</v>
      </c>
    </row>
    <row r="175" spans="1:12" x14ac:dyDescent="0.2">
      <c r="A175" s="1" t="s">
        <v>360</v>
      </c>
      <c r="B175" s="1" t="s">
        <v>849</v>
      </c>
      <c r="C175" s="1" t="s">
        <v>15</v>
      </c>
      <c r="D175">
        <v>52.853550868952382</v>
      </c>
      <c r="E175">
        <v>1.2098906472380953</v>
      </c>
      <c r="F175">
        <v>210000</v>
      </c>
      <c r="G175">
        <v>300000</v>
      </c>
      <c r="H175">
        <v>2349</v>
      </c>
      <c r="I175">
        <v>1527</v>
      </c>
      <c r="J175">
        <v>3.6</v>
      </c>
      <c r="K175">
        <v>174</v>
      </c>
      <c r="L175">
        <v>66884</v>
      </c>
    </row>
    <row r="176" spans="1:12" x14ac:dyDescent="0.2">
      <c r="A176" s="1" t="s">
        <v>558</v>
      </c>
      <c r="B176" s="1" t="s">
        <v>850</v>
      </c>
      <c r="C176" s="1" t="s">
        <v>19</v>
      </c>
      <c r="D176">
        <v>50.809170055899706</v>
      </c>
      <c r="E176">
        <v>-0.59681833598820055</v>
      </c>
      <c r="F176">
        <v>245000</v>
      </c>
      <c r="G176">
        <v>350000</v>
      </c>
      <c r="H176">
        <v>3566</v>
      </c>
      <c r="I176">
        <v>2742</v>
      </c>
      <c r="J176">
        <v>3.6</v>
      </c>
      <c r="K176">
        <v>174</v>
      </c>
      <c r="L176">
        <v>109518</v>
      </c>
    </row>
    <row r="177" spans="1:12" x14ac:dyDescent="0.2">
      <c r="A177" s="1" t="s">
        <v>364</v>
      </c>
      <c r="B177" s="1" t="s">
        <v>851</v>
      </c>
      <c r="C177" s="1" t="s">
        <v>15</v>
      </c>
      <c r="D177">
        <v>52.513620373086624</v>
      </c>
      <c r="E177">
        <v>1.2259388556770394</v>
      </c>
      <c r="F177">
        <v>210000</v>
      </c>
      <c r="G177">
        <v>300000</v>
      </c>
      <c r="H177">
        <v>2622</v>
      </c>
      <c r="I177">
        <v>2127</v>
      </c>
      <c r="J177">
        <v>3.6</v>
      </c>
      <c r="K177">
        <v>174</v>
      </c>
      <c r="L177">
        <v>77395</v>
      </c>
    </row>
    <row r="178" spans="1:12" x14ac:dyDescent="0.2">
      <c r="A178" s="1" t="s">
        <v>113</v>
      </c>
      <c r="B178" s="1" t="s">
        <v>852</v>
      </c>
      <c r="C178" s="1" t="s">
        <v>18</v>
      </c>
      <c r="D178">
        <v>53.886578870152185</v>
      </c>
      <c r="E178">
        <v>-2.9570894818360336</v>
      </c>
      <c r="F178">
        <v>140000</v>
      </c>
      <c r="G178">
        <v>199950</v>
      </c>
      <c r="H178">
        <v>1844</v>
      </c>
      <c r="I178">
        <v>1949</v>
      </c>
      <c r="J178">
        <v>3.6</v>
      </c>
      <c r="K178">
        <v>177</v>
      </c>
      <c r="L178">
        <v>64815</v>
      </c>
    </row>
    <row r="179" spans="1:12" x14ac:dyDescent="0.2">
      <c r="A179" s="1" t="s">
        <v>624</v>
      </c>
      <c r="B179" s="1" t="s">
        <v>853</v>
      </c>
      <c r="C179" s="1" t="s">
        <v>21</v>
      </c>
      <c r="D179">
        <v>53.286172467520586</v>
      </c>
      <c r="E179">
        <v>-4.3830141405916434</v>
      </c>
      <c r="F179">
        <v>157000</v>
      </c>
      <c r="G179">
        <v>224000</v>
      </c>
      <c r="H179">
        <v>964</v>
      </c>
      <c r="I179">
        <v>774</v>
      </c>
      <c r="J179">
        <v>3.6</v>
      </c>
      <c r="K179">
        <v>178</v>
      </c>
      <c r="L179">
        <v>31323</v>
      </c>
    </row>
    <row r="180" spans="1:12" x14ac:dyDescent="0.2">
      <c r="A180" s="1" t="s">
        <v>279</v>
      </c>
      <c r="B180" s="1" t="s">
        <v>854</v>
      </c>
      <c r="C180" s="1" t="s">
        <v>22</v>
      </c>
      <c r="D180">
        <v>52.19858596143181</v>
      </c>
      <c r="E180">
        <v>-2.2094648303503908</v>
      </c>
      <c r="F180">
        <v>181000</v>
      </c>
      <c r="G180">
        <v>258000</v>
      </c>
      <c r="H180">
        <v>1713</v>
      </c>
      <c r="I180">
        <v>1483</v>
      </c>
      <c r="J180">
        <v>3.6</v>
      </c>
      <c r="K180">
        <v>179</v>
      </c>
      <c r="L180">
        <v>59439</v>
      </c>
    </row>
    <row r="181" spans="1:12" x14ac:dyDescent="0.2">
      <c r="A181" s="1" t="s">
        <v>460</v>
      </c>
      <c r="B181" s="1" t="s">
        <v>855</v>
      </c>
      <c r="C181" s="1" t="s">
        <v>19</v>
      </c>
      <c r="D181">
        <v>50.917525886540602</v>
      </c>
      <c r="E181">
        <v>-1.3986391571190211</v>
      </c>
      <c r="F181">
        <v>182500</v>
      </c>
      <c r="G181">
        <v>260000</v>
      </c>
      <c r="H181">
        <v>3975</v>
      </c>
      <c r="I181">
        <v>2564</v>
      </c>
      <c r="J181">
        <v>3.6</v>
      </c>
      <c r="K181">
        <v>180</v>
      </c>
      <c r="L181">
        <v>120423</v>
      </c>
    </row>
    <row r="182" spans="1:12" x14ac:dyDescent="0.2">
      <c r="A182" s="1" t="s">
        <v>366</v>
      </c>
      <c r="B182" s="1" t="s">
        <v>856</v>
      </c>
      <c r="C182" s="1" t="s">
        <v>15</v>
      </c>
      <c r="D182">
        <v>52.038835468716634</v>
      </c>
      <c r="E182">
        <v>0.88299410377962839</v>
      </c>
      <c r="F182">
        <v>232000</v>
      </c>
      <c r="G182">
        <v>330500</v>
      </c>
      <c r="H182">
        <v>1462</v>
      </c>
      <c r="I182">
        <v>1384</v>
      </c>
      <c r="J182">
        <v>3.6</v>
      </c>
      <c r="K182">
        <v>181</v>
      </c>
      <c r="L182">
        <v>50214</v>
      </c>
    </row>
    <row r="183" spans="1:12" x14ac:dyDescent="0.2">
      <c r="A183" s="1" t="s">
        <v>65</v>
      </c>
      <c r="B183" s="1" t="s">
        <v>857</v>
      </c>
      <c r="C183" s="1" t="s">
        <v>18</v>
      </c>
      <c r="D183">
        <v>53.234215007390858</v>
      </c>
      <c r="E183">
        <v>-2.7903787601122954</v>
      </c>
      <c r="F183">
        <v>182625</v>
      </c>
      <c r="G183">
        <v>260000</v>
      </c>
      <c r="H183">
        <v>5996</v>
      </c>
      <c r="I183">
        <v>5180</v>
      </c>
      <c r="J183">
        <v>3.6</v>
      </c>
      <c r="K183">
        <v>182</v>
      </c>
      <c r="L183">
        <v>177930</v>
      </c>
    </row>
    <row r="184" spans="1:12" x14ac:dyDescent="0.2">
      <c r="A184" s="1" t="s">
        <v>474</v>
      </c>
      <c r="B184" s="1" t="s">
        <v>858</v>
      </c>
      <c r="C184" s="1" t="s">
        <v>19</v>
      </c>
      <c r="D184">
        <v>50.911626273018783</v>
      </c>
      <c r="E184">
        <v>0.51940563742556112</v>
      </c>
      <c r="F184">
        <v>249999</v>
      </c>
      <c r="G184">
        <v>355000</v>
      </c>
      <c r="H184">
        <v>2207</v>
      </c>
      <c r="I184">
        <v>1307</v>
      </c>
      <c r="J184">
        <v>3.6</v>
      </c>
      <c r="K184">
        <v>183</v>
      </c>
      <c r="L184">
        <v>64113</v>
      </c>
    </row>
    <row r="185" spans="1:12" x14ac:dyDescent="0.2">
      <c r="A185" s="1" t="s">
        <v>131</v>
      </c>
      <c r="B185" s="1" t="s">
        <v>859</v>
      </c>
      <c r="C185" s="1" t="s">
        <v>23</v>
      </c>
      <c r="D185">
        <v>53.585993936310999</v>
      </c>
      <c r="E185">
        <v>-0.60708490802315962</v>
      </c>
      <c r="F185">
        <v>125000</v>
      </c>
      <c r="G185">
        <v>177500</v>
      </c>
      <c r="H185">
        <v>2447</v>
      </c>
      <c r="I185">
        <v>2303</v>
      </c>
      <c r="J185">
        <v>3.6</v>
      </c>
      <c r="K185">
        <v>184</v>
      </c>
      <c r="L185">
        <v>81796</v>
      </c>
    </row>
    <row r="186" spans="1:12" x14ac:dyDescent="0.2">
      <c r="A186" s="1" t="s">
        <v>354</v>
      </c>
      <c r="B186" s="1" t="s">
        <v>860</v>
      </c>
      <c r="C186" s="1" t="s">
        <v>15</v>
      </c>
      <c r="D186">
        <v>52.673411010563377</v>
      </c>
      <c r="E186">
        <v>1.3210686519366197</v>
      </c>
      <c r="F186">
        <v>215000</v>
      </c>
      <c r="G186">
        <v>305000</v>
      </c>
      <c r="H186">
        <v>2309</v>
      </c>
      <c r="I186">
        <v>2208</v>
      </c>
      <c r="J186">
        <v>3.6</v>
      </c>
      <c r="K186">
        <v>185</v>
      </c>
      <c r="L186">
        <v>76647</v>
      </c>
    </row>
    <row r="187" spans="1:12" x14ac:dyDescent="0.2">
      <c r="A187" s="1" t="s">
        <v>338</v>
      </c>
      <c r="B187" s="1" t="s">
        <v>861</v>
      </c>
      <c r="C187" s="1" t="s">
        <v>15</v>
      </c>
      <c r="D187">
        <v>51.665374756638712</v>
      </c>
      <c r="E187">
        <v>-0.29273022711390634</v>
      </c>
      <c r="F187">
        <v>395000</v>
      </c>
      <c r="G187">
        <v>560000</v>
      </c>
      <c r="H187">
        <v>1744</v>
      </c>
      <c r="I187">
        <v>1168</v>
      </c>
      <c r="J187">
        <v>3.6</v>
      </c>
      <c r="K187">
        <v>186</v>
      </c>
      <c r="L187">
        <v>51387</v>
      </c>
    </row>
    <row r="188" spans="1:12" x14ac:dyDescent="0.2">
      <c r="A188" s="1" t="s">
        <v>568</v>
      </c>
      <c r="B188" s="1" t="s">
        <v>862</v>
      </c>
      <c r="C188" s="1" t="s">
        <v>19</v>
      </c>
      <c r="D188">
        <v>50.820068572775099</v>
      </c>
      <c r="E188">
        <v>-0.38908284414730382</v>
      </c>
      <c r="F188">
        <v>247000</v>
      </c>
      <c r="G188">
        <v>350000</v>
      </c>
      <c r="H188">
        <v>2552</v>
      </c>
      <c r="I188">
        <v>1635</v>
      </c>
      <c r="J188">
        <v>3.5</v>
      </c>
      <c r="K188">
        <v>187</v>
      </c>
      <c r="L188">
        <v>76384</v>
      </c>
    </row>
    <row r="189" spans="1:12" x14ac:dyDescent="0.2">
      <c r="A189" s="1" t="s">
        <v>187</v>
      </c>
      <c r="B189" s="1" t="s">
        <v>863</v>
      </c>
      <c r="C189" s="1" t="s">
        <v>10</v>
      </c>
      <c r="D189">
        <v>52.512245970730319</v>
      </c>
      <c r="E189">
        <v>-1.0420573185564082</v>
      </c>
      <c r="F189">
        <v>233000</v>
      </c>
      <c r="G189">
        <v>329995</v>
      </c>
      <c r="H189">
        <v>1821</v>
      </c>
      <c r="I189">
        <v>1663</v>
      </c>
      <c r="J189">
        <v>3.5</v>
      </c>
      <c r="K189">
        <v>188</v>
      </c>
      <c r="L189">
        <v>55975</v>
      </c>
    </row>
    <row r="190" spans="1:12" x14ac:dyDescent="0.2">
      <c r="A190" s="1" t="s">
        <v>350</v>
      </c>
      <c r="B190" s="1" t="s">
        <v>864</v>
      </c>
      <c r="C190" s="1" t="s">
        <v>15</v>
      </c>
      <c r="D190">
        <v>51.781278397921</v>
      </c>
      <c r="E190">
        <v>-0.20220227962577964</v>
      </c>
      <c r="F190">
        <v>305000</v>
      </c>
      <c r="G190">
        <v>431899</v>
      </c>
      <c r="H190">
        <v>1673</v>
      </c>
      <c r="I190">
        <v>1251</v>
      </c>
      <c r="J190">
        <v>3.5</v>
      </c>
      <c r="K190">
        <v>189</v>
      </c>
      <c r="L190">
        <v>51644</v>
      </c>
    </row>
    <row r="191" spans="1:12" x14ac:dyDescent="0.2">
      <c r="A191" s="1" t="s">
        <v>446</v>
      </c>
      <c r="B191" s="1" t="s">
        <v>865</v>
      </c>
      <c r="C191" s="1" t="s">
        <v>19</v>
      </c>
      <c r="D191">
        <v>51.708466505858979</v>
      </c>
      <c r="E191">
        <v>-0.74269201585370803</v>
      </c>
      <c r="F191">
        <v>325000</v>
      </c>
      <c r="G191">
        <v>460000</v>
      </c>
      <c r="H191">
        <v>9575</v>
      </c>
      <c r="I191">
        <v>7383</v>
      </c>
      <c r="J191">
        <v>3.5</v>
      </c>
      <c r="K191">
        <v>190</v>
      </c>
      <c r="L191">
        <v>288818</v>
      </c>
    </row>
    <row r="192" spans="1:12" x14ac:dyDescent="0.2">
      <c r="A192" s="1" t="s">
        <v>556</v>
      </c>
      <c r="B192" s="1" t="s">
        <v>866</v>
      </c>
      <c r="C192" s="1" t="s">
        <v>19</v>
      </c>
      <c r="D192">
        <v>50.832963769648565</v>
      </c>
      <c r="E192">
        <v>-0.28588728051118212</v>
      </c>
      <c r="F192">
        <v>265000</v>
      </c>
      <c r="G192">
        <v>375000</v>
      </c>
      <c r="H192">
        <v>1090</v>
      </c>
      <c r="I192">
        <v>878</v>
      </c>
      <c r="J192">
        <v>3.5</v>
      </c>
      <c r="K192">
        <v>191</v>
      </c>
      <c r="L192">
        <v>36279</v>
      </c>
    </row>
    <row r="193" spans="1:12" x14ac:dyDescent="0.2">
      <c r="A193" s="1" t="s">
        <v>111</v>
      </c>
      <c r="B193" s="1" t="s">
        <v>867</v>
      </c>
      <c r="C193" s="1" t="s">
        <v>18</v>
      </c>
      <c r="D193">
        <v>53.582462788275322</v>
      </c>
      <c r="E193">
        <v>-2.8379865404344411</v>
      </c>
      <c r="F193">
        <v>169998</v>
      </c>
      <c r="G193">
        <v>240555</v>
      </c>
      <c r="H193">
        <v>1384</v>
      </c>
      <c r="I193">
        <v>1519</v>
      </c>
      <c r="J193">
        <v>3.5</v>
      </c>
      <c r="K193">
        <v>192</v>
      </c>
      <c r="L193">
        <v>49723</v>
      </c>
    </row>
    <row r="194" spans="1:12" x14ac:dyDescent="0.2">
      <c r="A194" s="1" t="s">
        <v>127</v>
      </c>
      <c r="B194" s="1" t="s">
        <v>868</v>
      </c>
      <c r="C194" s="1" t="s">
        <v>23</v>
      </c>
      <c r="D194">
        <v>53.758336541914488</v>
      </c>
      <c r="E194">
        <v>-0.34096139815957804</v>
      </c>
      <c r="F194">
        <v>100000</v>
      </c>
      <c r="G194">
        <v>141500</v>
      </c>
      <c r="H194">
        <v>3377</v>
      </c>
      <c r="I194">
        <v>2752</v>
      </c>
      <c r="J194">
        <v>3.5</v>
      </c>
      <c r="K194">
        <v>193</v>
      </c>
      <c r="L194">
        <v>118269</v>
      </c>
    </row>
    <row r="195" spans="1:12" x14ac:dyDescent="0.2">
      <c r="A195" s="1" t="s">
        <v>372</v>
      </c>
      <c r="B195" s="1" t="s">
        <v>869</v>
      </c>
      <c r="C195" s="1" t="s">
        <v>15</v>
      </c>
      <c r="D195">
        <v>52.231367876031619</v>
      </c>
      <c r="E195">
        <v>1.4757635083832856</v>
      </c>
      <c r="F195">
        <v>204950</v>
      </c>
      <c r="G195">
        <v>290000</v>
      </c>
      <c r="H195">
        <v>4660</v>
      </c>
      <c r="I195">
        <v>3652</v>
      </c>
      <c r="J195">
        <v>3.5</v>
      </c>
      <c r="K195">
        <v>194</v>
      </c>
      <c r="L195">
        <v>145243</v>
      </c>
    </row>
    <row r="196" spans="1:12" x14ac:dyDescent="0.2">
      <c r="A196" s="1" t="s">
        <v>225</v>
      </c>
      <c r="B196" s="1" t="s">
        <v>870</v>
      </c>
      <c r="C196" s="1" t="s">
        <v>22</v>
      </c>
      <c r="D196">
        <v>52.073134080217059</v>
      </c>
      <c r="E196">
        <v>-2.697014925681255</v>
      </c>
      <c r="F196">
        <v>205000</v>
      </c>
      <c r="G196">
        <v>290000</v>
      </c>
      <c r="H196">
        <v>2844</v>
      </c>
      <c r="I196">
        <v>2541</v>
      </c>
      <c r="J196">
        <v>3.5</v>
      </c>
      <c r="K196">
        <v>195</v>
      </c>
      <c r="L196">
        <v>95303</v>
      </c>
    </row>
    <row r="197" spans="1:12" x14ac:dyDescent="0.2">
      <c r="A197" s="1" t="s">
        <v>640</v>
      </c>
      <c r="B197" s="1" t="s">
        <v>871</v>
      </c>
      <c r="C197" s="1" t="s">
        <v>21</v>
      </c>
      <c r="D197">
        <v>51.797837132485157</v>
      </c>
      <c r="E197">
        <v>-4.9023182900763356</v>
      </c>
      <c r="F197">
        <v>157000</v>
      </c>
      <c r="G197">
        <v>222000</v>
      </c>
      <c r="H197">
        <v>1860</v>
      </c>
      <c r="I197">
        <v>1617</v>
      </c>
      <c r="J197">
        <v>3.5</v>
      </c>
      <c r="K197">
        <v>196</v>
      </c>
      <c r="L197">
        <v>55970</v>
      </c>
    </row>
    <row r="198" spans="1:12" x14ac:dyDescent="0.2">
      <c r="A198" s="1" t="s">
        <v>362</v>
      </c>
      <c r="B198" s="1" t="s">
        <v>872</v>
      </c>
      <c r="C198" s="1" t="s">
        <v>15</v>
      </c>
      <c r="D198">
        <v>52.632310357593404</v>
      </c>
      <c r="E198">
        <v>1.2844135633187772</v>
      </c>
      <c r="F198">
        <v>165500</v>
      </c>
      <c r="G198">
        <v>234000</v>
      </c>
      <c r="H198">
        <v>2305</v>
      </c>
      <c r="I198">
        <v>1806</v>
      </c>
      <c r="J198">
        <v>3.5</v>
      </c>
      <c r="K198">
        <v>197</v>
      </c>
      <c r="L198">
        <v>72242</v>
      </c>
    </row>
    <row r="199" spans="1:12" x14ac:dyDescent="0.2">
      <c r="A199" s="1" t="s">
        <v>484</v>
      </c>
      <c r="B199" s="1" t="s">
        <v>873</v>
      </c>
      <c r="C199" s="1" t="s">
        <v>19</v>
      </c>
      <c r="D199">
        <v>50.8535402473997</v>
      </c>
      <c r="E199">
        <v>-1.2225422109955424</v>
      </c>
      <c r="F199">
        <v>245000</v>
      </c>
      <c r="G199">
        <v>346230</v>
      </c>
      <c r="H199">
        <v>2196</v>
      </c>
      <c r="I199">
        <v>1826</v>
      </c>
      <c r="J199">
        <v>3.5</v>
      </c>
      <c r="K199">
        <v>198</v>
      </c>
      <c r="L199">
        <v>68452</v>
      </c>
    </row>
    <row r="200" spans="1:12" x14ac:dyDescent="0.2">
      <c r="A200" s="1" t="s">
        <v>586</v>
      </c>
      <c r="B200" s="1" t="s">
        <v>874</v>
      </c>
      <c r="C200" s="1" t="s">
        <v>20</v>
      </c>
      <c r="D200">
        <v>50.448030163788303</v>
      </c>
      <c r="E200">
        <v>-3.5460090315691737</v>
      </c>
      <c r="F200">
        <v>177000</v>
      </c>
      <c r="G200">
        <v>250000</v>
      </c>
      <c r="H200">
        <v>2989</v>
      </c>
      <c r="I200">
        <v>1982</v>
      </c>
      <c r="J200">
        <v>3.5</v>
      </c>
      <c r="K200">
        <v>199</v>
      </c>
      <c r="L200">
        <v>92980</v>
      </c>
    </row>
    <row r="201" spans="1:12" x14ac:dyDescent="0.2">
      <c r="A201" s="1" t="s">
        <v>173</v>
      </c>
      <c r="B201" s="1" t="s">
        <v>875</v>
      </c>
      <c r="C201" s="1" t="s">
        <v>10</v>
      </c>
      <c r="D201">
        <v>53.152856739343321</v>
      </c>
      <c r="E201">
        <v>-1.6578870769009217</v>
      </c>
      <c r="F201">
        <v>225250</v>
      </c>
      <c r="G201">
        <v>318000</v>
      </c>
      <c r="H201">
        <v>1185</v>
      </c>
      <c r="I201">
        <v>1019</v>
      </c>
      <c r="J201">
        <v>3.5</v>
      </c>
      <c r="K201">
        <v>200</v>
      </c>
      <c r="L201">
        <v>36088</v>
      </c>
    </row>
    <row r="202" spans="1:12" x14ac:dyDescent="0.2">
      <c r="A202" s="1" t="s">
        <v>133</v>
      </c>
      <c r="B202" s="1" t="s">
        <v>876</v>
      </c>
      <c r="C202" s="1" t="s">
        <v>23</v>
      </c>
      <c r="D202">
        <v>53.965483495915983</v>
      </c>
      <c r="E202">
        <v>-1.0829469691948659</v>
      </c>
      <c r="F202">
        <v>213000</v>
      </c>
      <c r="G202">
        <v>300000</v>
      </c>
      <c r="H202">
        <v>3469</v>
      </c>
      <c r="I202">
        <v>2664</v>
      </c>
      <c r="J202">
        <v>3.5</v>
      </c>
      <c r="K202">
        <v>201</v>
      </c>
      <c r="L202">
        <v>110608</v>
      </c>
    </row>
    <row r="203" spans="1:12" x14ac:dyDescent="0.2">
      <c r="A203" s="1" t="s">
        <v>482</v>
      </c>
      <c r="B203" s="1" t="s">
        <v>877</v>
      </c>
      <c r="C203" s="1" t="s">
        <v>19</v>
      </c>
      <c r="D203">
        <v>50.94901764422459</v>
      </c>
      <c r="E203">
        <v>-1.3410802532442503</v>
      </c>
      <c r="F203">
        <v>244950</v>
      </c>
      <c r="G203">
        <v>344995</v>
      </c>
      <c r="H203">
        <v>2432</v>
      </c>
      <c r="I203">
        <v>1990</v>
      </c>
      <c r="J203">
        <v>3.5</v>
      </c>
      <c r="K203">
        <v>202</v>
      </c>
      <c r="L203">
        <v>78127</v>
      </c>
    </row>
    <row r="204" spans="1:12" x14ac:dyDescent="0.2">
      <c r="A204" s="1" t="s">
        <v>502</v>
      </c>
      <c r="B204" s="1" t="s">
        <v>878</v>
      </c>
      <c r="C204" s="1" t="s">
        <v>19</v>
      </c>
      <c r="D204">
        <v>51.313281126955964</v>
      </c>
      <c r="E204">
        <v>1.0886627546378449</v>
      </c>
      <c r="F204">
        <v>245000</v>
      </c>
      <c r="G204">
        <v>345000</v>
      </c>
      <c r="H204">
        <v>2819</v>
      </c>
      <c r="I204">
        <v>2061</v>
      </c>
      <c r="J204">
        <v>3.5</v>
      </c>
      <c r="K204">
        <v>203</v>
      </c>
      <c r="L204">
        <v>82908</v>
      </c>
    </row>
    <row r="205" spans="1:12" x14ac:dyDescent="0.2">
      <c r="A205" s="1" t="s">
        <v>520</v>
      </c>
      <c r="B205" s="1" t="s">
        <v>879</v>
      </c>
      <c r="C205" s="1" t="s">
        <v>19</v>
      </c>
      <c r="D205">
        <v>51.26074105190493</v>
      </c>
      <c r="E205">
        <v>0.36248432243970641</v>
      </c>
      <c r="F205">
        <v>295000</v>
      </c>
      <c r="G205">
        <v>415000</v>
      </c>
      <c r="H205">
        <v>2410</v>
      </c>
      <c r="I205">
        <v>1937</v>
      </c>
      <c r="J205">
        <v>3.5</v>
      </c>
      <c r="K205">
        <v>204</v>
      </c>
      <c r="L205">
        <v>66489</v>
      </c>
    </row>
    <row r="206" spans="1:12" x14ac:dyDescent="0.2">
      <c r="A206" s="1" t="s">
        <v>49</v>
      </c>
      <c r="B206" s="1" t="s">
        <v>880</v>
      </c>
      <c r="C206" s="1" t="s">
        <v>17</v>
      </c>
      <c r="D206">
        <v>55.021847528158503</v>
      </c>
      <c r="E206">
        <v>-1.5066896551770932</v>
      </c>
      <c r="F206">
        <v>155000</v>
      </c>
      <c r="G206">
        <v>218000</v>
      </c>
      <c r="H206">
        <v>3468</v>
      </c>
      <c r="I206">
        <v>2948</v>
      </c>
      <c r="J206">
        <v>3.5</v>
      </c>
      <c r="K206">
        <v>205</v>
      </c>
      <c r="L206">
        <v>114301</v>
      </c>
    </row>
    <row r="207" spans="1:12" x14ac:dyDescent="0.2">
      <c r="A207" s="1" t="s">
        <v>532</v>
      </c>
      <c r="B207" s="1" t="s">
        <v>881</v>
      </c>
      <c r="C207" s="1" t="s">
        <v>19</v>
      </c>
      <c r="D207">
        <v>51.811736882438844</v>
      </c>
      <c r="E207">
        <v>-1.4915027757088961</v>
      </c>
      <c r="F207">
        <v>285000</v>
      </c>
      <c r="G207">
        <v>400000</v>
      </c>
      <c r="H207">
        <v>1860</v>
      </c>
      <c r="I207">
        <v>1616</v>
      </c>
      <c r="J207">
        <v>3.4</v>
      </c>
      <c r="K207">
        <v>206</v>
      </c>
      <c r="L207">
        <v>60639</v>
      </c>
    </row>
    <row r="208" spans="1:12" x14ac:dyDescent="0.2">
      <c r="A208" s="1" t="s">
        <v>135</v>
      </c>
      <c r="B208" s="1" t="s">
        <v>882</v>
      </c>
      <c r="C208" s="1" t="s">
        <v>23</v>
      </c>
      <c r="D208">
        <v>54.130217752438696</v>
      </c>
      <c r="E208">
        <v>-1.2984123308221027</v>
      </c>
      <c r="F208">
        <v>192500</v>
      </c>
      <c r="G208">
        <v>270000</v>
      </c>
      <c r="H208">
        <v>10959</v>
      </c>
      <c r="I208">
        <v>9500</v>
      </c>
      <c r="J208">
        <v>3.4</v>
      </c>
      <c r="K208">
        <v>207</v>
      </c>
      <c r="L208">
        <v>345267</v>
      </c>
    </row>
    <row r="209" spans="1:12" x14ac:dyDescent="0.2">
      <c r="A209" s="1" t="s">
        <v>580</v>
      </c>
      <c r="B209" s="1" t="s">
        <v>883</v>
      </c>
      <c r="C209" s="1" t="s">
        <v>20</v>
      </c>
      <c r="D209">
        <v>50.385799540469108</v>
      </c>
      <c r="E209">
        <v>-4.1228835347428694</v>
      </c>
      <c r="F209">
        <v>162000</v>
      </c>
      <c r="G209">
        <v>227000</v>
      </c>
      <c r="H209">
        <v>4370</v>
      </c>
      <c r="I209">
        <v>3636</v>
      </c>
      <c r="J209">
        <v>3.4</v>
      </c>
      <c r="K209">
        <v>208</v>
      </c>
      <c r="L209">
        <v>138594</v>
      </c>
    </row>
    <row r="210" spans="1:12" x14ac:dyDescent="0.2">
      <c r="A210" s="1" t="s">
        <v>572</v>
      </c>
      <c r="B210" s="1" t="s">
        <v>884</v>
      </c>
      <c r="C210" s="1" t="s">
        <v>20</v>
      </c>
      <c r="D210">
        <v>50.735885129111338</v>
      </c>
      <c r="E210">
        <v>-1.8853012839632277</v>
      </c>
      <c r="F210">
        <v>242000</v>
      </c>
      <c r="G210">
        <v>338850</v>
      </c>
      <c r="H210">
        <v>8322</v>
      </c>
      <c r="I210">
        <v>5470</v>
      </c>
      <c r="J210">
        <v>3.4</v>
      </c>
      <c r="K210">
        <v>209</v>
      </c>
      <c r="L210">
        <v>261719</v>
      </c>
    </row>
    <row r="211" spans="1:12" x14ac:dyDescent="0.2">
      <c r="A211" s="1" t="s">
        <v>632</v>
      </c>
      <c r="B211" s="1" t="s">
        <v>885</v>
      </c>
      <c r="C211" s="1" t="s">
        <v>21</v>
      </c>
      <c r="D211">
        <v>53.203918303882439</v>
      </c>
      <c r="E211">
        <v>-3.1107608717343975</v>
      </c>
      <c r="F211">
        <v>154995</v>
      </c>
      <c r="G211">
        <v>217000</v>
      </c>
      <c r="H211">
        <v>2361</v>
      </c>
      <c r="I211">
        <v>1983</v>
      </c>
      <c r="J211">
        <v>3.4</v>
      </c>
      <c r="K211">
        <v>210</v>
      </c>
      <c r="L211">
        <v>68830</v>
      </c>
    </row>
    <row r="212" spans="1:12" x14ac:dyDescent="0.2">
      <c r="A212" s="1" t="s">
        <v>562</v>
      </c>
      <c r="B212" s="1" t="s">
        <v>886</v>
      </c>
      <c r="C212" s="1" t="s">
        <v>19</v>
      </c>
      <c r="D212">
        <v>51.118097953945899</v>
      </c>
      <c r="E212">
        <v>-0.18375241985244803</v>
      </c>
      <c r="F212">
        <v>250000</v>
      </c>
      <c r="G212">
        <v>350000</v>
      </c>
      <c r="H212">
        <v>1680</v>
      </c>
      <c r="I212">
        <v>1146</v>
      </c>
      <c r="J212">
        <v>3.4</v>
      </c>
      <c r="K212">
        <v>211</v>
      </c>
      <c r="L212">
        <v>53258</v>
      </c>
    </row>
    <row r="213" spans="1:12" x14ac:dyDescent="0.2">
      <c r="A213" s="1" t="s">
        <v>512</v>
      </c>
      <c r="B213" s="1" t="s">
        <v>887</v>
      </c>
      <c r="C213" s="1" t="s">
        <v>19</v>
      </c>
      <c r="D213">
        <v>51.291782764544458</v>
      </c>
      <c r="E213">
        <v>0.17475656220270766</v>
      </c>
      <c r="F213">
        <v>350000</v>
      </c>
      <c r="G213">
        <v>490000</v>
      </c>
      <c r="H213">
        <v>1874</v>
      </c>
      <c r="I213">
        <v>1585</v>
      </c>
      <c r="J213">
        <v>3.4</v>
      </c>
      <c r="K213">
        <v>211</v>
      </c>
      <c r="L213">
        <v>57128</v>
      </c>
    </row>
    <row r="214" spans="1:12" x14ac:dyDescent="0.2">
      <c r="A214" s="1" t="s">
        <v>273</v>
      </c>
      <c r="B214" s="1" t="s">
        <v>888</v>
      </c>
      <c r="C214" s="1" t="s">
        <v>22</v>
      </c>
      <c r="D214">
        <v>52.355329437358279</v>
      </c>
      <c r="E214">
        <v>-2.030314095521542</v>
      </c>
      <c r="F214">
        <v>245000</v>
      </c>
      <c r="G214">
        <v>343000</v>
      </c>
      <c r="H214">
        <v>1722</v>
      </c>
      <c r="I214">
        <v>1313</v>
      </c>
      <c r="J214">
        <v>3.4</v>
      </c>
      <c r="K214">
        <v>211</v>
      </c>
      <c r="L214">
        <v>50918</v>
      </c>
    </row>
    <row r="215" spans="1:12" x14ac:dyDescent="0.2">
      <c r="A215" s="1" t="s">
        <v>412</v>
      </c>
      <c r="B215" s="1" t="s">
        <v>889</v>
      </c>
      <c r="C215" s="1" t="s">
        <v>16</v>
      </c>
      <c r="D215">
        <v>51.391753990994893</v>
      </c>
      <c r="E215">
        <v>2.6171499004242791E-2</v>
      </c>
      <c r="F215">
        <v>375000</v>
      </c>
      <c r="G215">
        <v>525000</v>
      </c>
      <c r="H215">
        <v>5963</v>
      </c>
      <c r="I215">
        <v>4169</v>
      </c>
      <c r="J215">
        <v>3.4</v>
      </c>
      <c r="K215">
        <v>211</v>
      </c>
      <c r="L215">
        <v>177148</v>
      </c>
    </row>
    <row r="216" spans="1:12" x14ac:dyDescent="0.2">
      <c r="A216" s="1" t="s">
        <v>612</v>
      </c>
      <c r="B216" s="1" t="s">
        <v>890</v>
      </c>
      <c r="C216" s="1" t="s">
        <v>20</v>
      </c>
      <c r="D216">
        <v>51.80894119079516</v>
      </c>
      <c r="E216">
        <v>-1.877455135911841</v>
      </c>
      <c r="F216">
        <v>318000</v>
      </c>
      <c r="G216">
        <v>445000</v>
      </c>
      <c r="H216">
        <v>1743</v>
      </c>
      <c r="I216">
        <v>1355</v>
      </c>
      <c r="J216">
        <v>3.4</v>
      </c>
      <c r="K216">
        <v>215</v>
      </c>
      <c r="L216">
        <v>50277</v>
      </c>
    </row>
    <row r="217" spans="1:12" x14ac:dyDescent="0.2">
      <c r="A217" s="1" t="s">
        <v>606</v>
      </c>
      <c r="B217" s="1" t="s">
        <v>891</v>
      </c>
      <c r="C217" s="1" t="s">
        <v>20</v>
      </c>
      <c r="D217">
        <v>50.938018771204348</v>
      </c>
      <c r="E217">
        <v>-4.2251641101720496</v>
      </c>
      <c r="F217">
        <v>199950</v>
      </c>
      <c r="G217">
        <v>279625</v>
      </c>
      <c r="H217">
        <v>1476</v>
      </c>
      <c r="I217">
        <v>1082</v>
      </c>
      <c r="J217">
        <v>3.4</v>
      </c>
      <c r="K217">
        <v>216</v>
      </c>
      <c r="L217">
        <v>41535</v>
      </c>
    </row>
    <row r="218" spans="1:12" x14ac:dyDescent="0.2">
      <c r="A218" s="1" t="s">
        <v>522</v>
      </c>
      <c r="B218" s="1" t="s">
        <v>892</v>
      </c>
      <c r="C218" s="1" t="s">
        <v>19</v>
      </c>
      <c r="D218">
        <v>51.130712535038732</v>
      </c>
      <c r="E218">
        <v>0.34438305476490721</v>
      </c>
      <c r="F218">
        <v>316375</v>
      </c>
      <c r="G218">
        <v>441750</v>
      </c>
      <c r="H218">
        <v>2152</v>
      </c>
      <c r="I218">
        <v>1638</v>
      </c>
      <c r="J218">
        <v>3.4</v>
      </c>
      <c r="K218">
        <v>217</v>
      </c>
      <c r="L218">
        <v>65233</v>
      </c>
    </row>
    <row r="219" spans="1:12" x14ac:dyDescent="0.2">
      <c r="A219" s="1" t="s">
        <v>281</v>
      </c>
      <c r="B219" s="1" t="s">
        <v>893</v>
      </c>
      <c r="C219" s="1" t="s">
        <v>22</v>
      </c>
      <c r="D219">
        <v>52.151642740818467</v>
      </c>
      <c r="E219">
        <v>-2.0332251121021336</v>
      </c>
      <c r="F219">
        <v>232998</v>
      </c>
      <c r="G219">
        <v>325000</v>
      </c>
      <c r="H219">
        <v>2360</v>
      </c>
      <c r="I219">
        <v>1810</v>
      </c>
      <c r="J219">
        <v>3.4</v>
      </c>
      <c r="K219">
        <v>218</v>
      </c>
      <c r="L219">
        <v>67260</v>
      </c>
    </row>
    <row r="220" spans="1:12" x14ac:dyDescent="0.2">
      <c r="A220" s="1" t="s">
        <v>105</v>
      </c>
      <c r="B220" s="1" t="s">
        <v>894</v>
      </c>
      <c r="C220" s="1" t="s">
        <v>18</v>
      </c>
      <c r="D220">
        <v>53.849257182019159</v>
      </c>
      <c r="E220">
        <v>-2.4402396477523949</v>
      </c>
      <c r="F220">
        <v>203000</v>
      </c>
      <c r="G220">
        <v>283000</v>
      </c>
      <c r="H220">
        <v>1009</v>
      </c>
      <c r="I220">
        <v>1067</v>
      </c>
      <c r="J220">
        <v>3.4</v>
      </c>
      <c r="K220">
        <v>219</v>
      </c>
      <c r="L220">
        <v>33773</v>
      </c>
    </row>
    <row r="221" spans="1:12" x14ac:dyDescent="0.2">
      <c r="A221" s="1" t="s">
        <v>608</v>
      </c>
      <c r="B221" s="1" t="s">
        <v>895</v>
      </c>
      <c r="C221" s="1" t="s">
        <v>20</v>
      </c>
      <c r="D221">
        <v>50.638432223300974</v>
      </c>
      <c r="E221">
        <v>-4.0670560165048544</v>
      </c>
      <c r="F221">
        <v>215000</v>
      </c>
      <c r="G221">
        <v>299250</v>
      </c>
      <c r="H221">
        <v>990</v>
      </c>
      <c r="I221">
        <v>872</v>
      </c>
      <c r="J221">
        <v>3.4</v>
      </c>
      <c r="K221">
        <v>220</v>
      </c>
      <c r="L221">
        <v>31519</v>
      </c>
    </row>
    <row r="222" spans="1:12" x14ac:dyDescent="0.2">
      <c r="A222" s="1" t="s">
        <v>490</v>
      </c>
      <c r="B222" s="1" t="s">
        <v>896</v>
      </c>
      <c r="C222" s="1" t="s">
        <v>19</v>
      </c>
      <c r="D222">
        <v>50.857310223922113</v>
      </c>
      <c r="E222">
        <v>-0.9971564677793231</v>
      </c>
      <c r="F222">
        <v>230000</v>
      </c>
      <c r="G222">
        <v>320000</v>
      </c>
      <c r="H222">
        <v>2276</v>
      </c>
      <c r="I222">
        <v>1621</v>
      </c>
      <c r="J222">
        <v>3.4</v>
      </c>
      <c r="K222">
        <v>221</v>
      </c>
      <c r="L222">
        <v>63693</v>
      </c>
    </row>
    <row r="223" spans="1:12" x14ac:dyDescent="0.2">
      <c r="A223" s="1" t="s">
        <v>592</v>
      </c>
      <c r="B223" s="1" t="s">
        <v>897</v>
      </c>
      <c r="C223" s="1" t="s">
        <v>20</v>
      </c>
      <c r="D223">
        <v>51.312533025428174</v>
      </c>
      <c r="E223">
        <v>-1.9915543798060118</v>
      </c>
      <c r="F223">
        <v>230000</v>
      </c>
      <c r="G223">
        <v>320000</v>
      </c>
      <c r="H223">
        <v>8917</v>
      </c>
      <c r="I223">
        <v>7217</v>
      </c>
      <c r="J223">
        <v>3.4</v>
      </c>
      <c r="K223">
        <v>221</v>
      </c>
      <c r="L223">
        <v>270540</v>
      </c>
    </row>
    <row r="224" spans="1:12" x14ac:dyDescent="0.2">
      <c r="A224" s="1" t="s">
        <v>334</v>
      </c>
      <c r="B224" s="1" t="s">
        <v>898</v>
      </c>
      <c r="C224" s="1" t="s">
        <v>15</v>
      </c>
      <c r="D224">
        <v>51.76103002211341</v>
      </c>
      <c r="E224">
        <v>-0.51169454857052599</v>
      </c>
      <c r="F224">
        <v>325000</v>
      </c>
      <c r="G224">
        <v>452000</v>
      </c>
      <c r="H224">
        <v>2833</v>
      </c>
      <c r="I224">
        <v>1963</v>
      </c>
      <c r="J224">
        <v>3.4</v>
      </c>
      <c r="K224">
        <v>223</v>
      </c>
      <c r="L224">
        <v>81654</v>
      </c>
    </row>
    <row r="225" spans="1:12" x14ac:dyDescent="0.2">
      <c r="A225" s="1" t="s">
        <v>348</v>
      </c>
      <c r="B225" s="1" t="s">
        <v>899</v>
      </c>
      <c r="C225" s="1" t="s">
        <v>15</v>
      </c>
      <c r="D225">
        <v>51.662390988870989</v>
      </c>
      <c r="E225">
        <v>-0.40506547532581638</v>
      </c>
      <c r="F225">
        <v>300000</v>
      </c>
      <c r="G225">
        <v>417150</v>
      </c>
      <c r="H225">
        <v>1580</v>
      </c>
      <c r="I225">
        <v>1011</v>
      </c>
      <c r="J225">
        <v>3.4</v>
      </c>
      <c r="K225">
        <v>224</v>
      </c>
      <c r="L225">
        <v>51922</v>
      </c>
    </row>
    <row r="226" spans="1:12" x14ac:dyDescent="0.2">
      <c r="A226" s="1" t="s">
        <v>456</v>
      </c>
      <c r="B226" s="1" t="s">
        <v>900</v>
      </c>
      <c r="C226" s="1" t="s">
        <v>19</v>
      </c>
      <c r="D226">
        <v>51.453799118419525</v>
      </c>
      <c r="E226">
        <v>-0.98358692004648463</v>
      </c>
      <c r="F226">
        <v>252000</v>
      </c>
      <c r="G226">
        <v>350000</v>
      </c>
      <c r="H226">
        <v>2911</v>
      </c>
      <c r="I226">
        <v>1923</v>
      </c>
      <c r="J226">
        <v>3.3</v>
      </c>
      <c r="K226">
        <v>225</v>
      </c>
      <c r="L226">
        <v>89304</v>
      </c>
    </row>
    <row r="227" spans="1:12" x14ac:dyDescent="0.2">
      <c r="A227" s="1" t="s">
        <v>448</v>
      </c>
      <c r="B227" s="1" t="s">
        <v>901</v>
      </c>
      <c r="C227" s="1" t="s">
        <v>19</v>
      </c>
      <c r="D227">
        <v>50.68815657000777</v>
      </c>
      <c r="E227">
        <v>-1.2571140104118104</v>
      </c>
      <c r="F227">
        <v>187500</v>
      </c>
      <c r="G227">
        <v>260000</v>
      </c>
      <c r="H227">
        <v>3078</v>
      </c>
      <c r="I227">
        <v>2085</v>
      </c>
      <c r="J227">
        <v>3.3</v>
      </c>
      <c r="K227">
        <v>226</v>
      </c>
      <c r="L227">
        <v>95384</v>
      </c>
    </row>
    <row r="228" spans="1:12" x14ac:dyDescent="0.2">
      <c r="A228" s="1" t="s">
        <v>414</v>
      </c>
      <c r="B228" s="1" t="s">
        <v>902</v>
      </c>
      <c r="C228" s="1" t="s">
        <v>16</v>
      </c>
      <c r="D228">
        <v>51.368337740017679</v>
      </c>
      <c r="E228">
        <v>-9.680784455576838E-2</v>
      </c>
      <c r="F228">
        <v>306500</v>
      </c>
      <c r="G228">
        <v>425000</v>
      </c>
      <c r="H228">
        <v>5631</v>
      </c>
      <c r="I228">
        <v>3715</v>
      </c>
      <c r="J228">
        <v>3.3</v>
      </c>
      <c r="K228">
        <v>227</v>
      </c>
      <c r="L228">
        <v>171613</v>
      </c>
    </row>
    <row r="229" spans="1:12" x14ac:dyDescent="0.2">
      <c r="A229" s="1" t="s">
        <v>634</v>
      </c>
      <c r="B229" s="1" t="s">
        <v>903</v>
      </c>
      <c r="C229" s="1" t="s">
        <v>21</v>
      </c>
      <c r="D229">
        <v>53.035713951283988</v>
      </c>
      <c r="E229">
        <v>-3.0057972998489424</v>
      </c>
      <c r="F229">
        <v>141000</v>
      </c>
      <c r="G229">
        <v>195500</v>
      </c>
      <c r="H229">
        <v>1597</v>
      </c>
      <c r="I229">
        <v>1470</v>
      </c>
      <c r="J229">
        <v>3.3</v>
      </c>
      <c r="K229">
        <v>228</v>
      </c>
      <c r="L229">
        <v>53837</v>
      </c>
    </row>
    <row r="230" spans="1:12" x14ac:dyDescent="0.2">
      <c r="A230" s="1" t="s">
        <v>444</v>
      </c>
      <c r="B230" s="1" t="s">
        <v>904</v>
      </c>
      <c r="C230" s="1" t="s">
        <v>19</v>
      </c>
      <c r="D230">
        <v>50.832187606783201</v>
      </c>
      <c r="E230">
        <v>-0.14801899800494014</v>
      </c>
      <c r="F230">
        <v>300000</v>
      </c>
      <c r="G230">
        <v>415000</v>
      </c>
      <c r="H230">
        <v>5232</v>
      </c>
      <c r="I230">
        <v>3567</v>
      </c>
      <c r="J230">
        <v>3.3</v>
      </c>
      <c r="K230">
        <v>229</v>
      </c>
      <c r="L230">
        <v>173592</v>
      </c>
    </row>
    <row r="231" spans="1:12" x14ac:dyDescent="0.2">
      <c r="A231" s="1" t="s">
        <v>69</v>
      </c>
      <c r="B231" s="1" t="s">
        <v>905</v>
      </c>
      <c r="C231" s="1" t="s">
        <v>18</v>
      </c>
      <c r="D231">
        <v>54.34956286246986</v>
      </c>
      <c r="E231">
        <v>-2.890569477437134</v>
      </c>
      <c r="F231">
        <v>170000</v>
      </c>
      <c r="G231">
        <v>235000</v>
      </c>
      <c r="H231">
        <v>4119</v>
      </c>
      <c r="I231">
        <v>3497</v>
      </c>
      <c r="J231">
        <v>3.3</v>
      </c>
      <c r="K231">
        <v>230</v>
      </c>
      <c r="L231">
        <v>132010</v>
      </c>
    </row>
    <row r="232" spans="1:12" x14ac:dyDescent="0.2">
      <c r="A232" s="1" t="s">
        <v>476</v>
      </c>
      <c r="B232" s="1" t="s">
        <v>906</v>
      </c>
      <c r="C232" s="1" t="s">
        <v>19</v>
      </c>
      <c r="D232">
        <v>50.946716328825019</v>
      </c>
      <c r="E232">
        <v>0.20754087042627703</v>
      </c>
      <c r="F232">
        <v>275000</v>
      </c>
      <c r="G232">
        <v>380000</v>
      </c>
      <c r="H232">
        <v>2914</v>
      </c>
      <c r="I232">
        <v>2466</v>
      </c>
      <c r="J232">
        <v>3.3</v>
      </c>
      <c r="K232">
        <v>231</v>
      </c>
      <c r="L232">
        <v>94121</v>
      </c>
    </row>
    <row r="233" spans="1:12" x14ac:dyDescent="0.2">
      <c r="A233" s="1" t="s">
        <v>374</v>
      </c>
      <c r="B233" s="1" t="s">
        <v>907</v>
      </c>
      <c r="C233" s="1" t="s">
        <v>15</v>
      </c>
      <c r="D233">
        <v>52.250463553631285</v>
      </c>
      <c r="E233">
        <v>0.59568229287709495</v>
      </c>
      <c r="F233">
        <v>210000</v>
      </c>
      <c r="G233">
        <v>290000</v>
      </c>
      <c r="H233">
        <v>3308</v>
      </c>
      <c r="I233">
        <v>2599</v>
      </c>
      <c r="J233">
        <v>3.3</v>
      </c>
      <c r="K233">
        <v>232</v>
      </c>
      <c r="L233">
        <v>99514</v>
      </c>
    </row>
    <row r="234" spans="1:12" x14ac:dyDescent="0.2">
      <c r="A234" s="1" t="s">
        <v>99</v>
      </c>
      <c r="B234" s="1" t="s">
        <v>908</v>
      </c>
      <c r="C234" s="1" t="s">
        <v>18</v>
      </c>
      <c r="D234">
        <v>54.065873124528977</v>
      </c>
      <c r="E234">
        <v>-2.8080352289610624</v>
      </c>
      <c r="F234">
        <v>144975</v>
      </c>
      <c r="G234">
        <v>200000</v>
      </c>
      <c r="H234">
        <v>2378</v>
      </c>
      <c r="I234">
        <v>1906</v>
      </c>
      <c r="J234">
        <v>3.3</v>
      </c>
      <c r="K234">
        <v>233</v>
      </c>
      <c r="L234">
        <v>79040</v>
      </c>
    </row>
    <row r="235" spans="1:12" x14ac:dyDescent="0.2">
      <c r="A235" s="1" t="s">
        <v>552</v>
      </c>
      <c r="B235" s="1" t="s">
        <v>909</v>
      </c>
      <c r="C235" s="1" t="s">
        <v>19</v>
      </c>
      <c r="D235">
        <v>51.169814150046314</v>
      </c>
      <c r="E235">
        <v>-0.68042474220438409</v>
      </c>
      <c r="F235">
        <v>400750</v>
      </c>
      <c r="G235">
        <v>552500</v>
      </c>
      <c r="H235">
        <v>2304</v>
      </c>
      <c r="I235">
        <v>1877</v>
      </c>
      <c r="J235">
        <v>3.3</v>
      </c>
      <c r="K235">
        <v>234</v>
      </c>
      <c r="L235">
        <v>70733</v>
      </c>
    </row>
    <row r="236" spans="1:12" x14ac:dyDescent="0.2">
      <c r="A236" s="1" t="s">
        <v>342</v>
      </c>
      <c r="B236" s="1" t="s">
        <v>910</v>
      </c>
      <c r="C236" s="1" t="s">
        <v>15</v>
      </c>
      <c r="D236">
        <v>51.765739096385545</v>
      </c>
      <c r="E236">
        <v>-0.33018252164212403</v>
      </c>
      <c r="F236">
        <v>450000</v>
      </c>
      <c r="G236">
        <v>620000</v>
      </c>
      <c r="H236">
        <v>2636</v>
      </c>
      <c r="I236">
        <v>2031</v>
      </c>
      <c r="J236">
        <v>3.3</v>
      </c>
      <c r="K236">
        <v>235</v>
      </c>
      <c r="L236">
        <v>83122</v>
      </c>
    </row>
    <row r="237" spans="1:12" x14ac:dyDescent="0.2">
      <c r="A237" s="1" t="s">
        <v>422</v>
      </c>
      <c r="B237" s="1" t="s">
        <v>911</v>
      </c>
      <c r="C237" s="1" t="s">
        <v>16</v>
      </c>
      <c r="D237">
        <v>51.591795864996598</v>
      </c>
      <c r="E237">
        <v>-0.33801045658580819</v>
      </c>
      <c r="F237">
        <v>400000</v>
      </c>
      <c r="G237">
        <v>551000</v>
      </c>
      <c r="H237">
        <v>2936</v>
      </c>
      <c r="I237">
        <v>1541</v>
      </c>
      <c r="J237">
        <v>3.3</v>
      </c>
      <c r="K237">
        <v>236</v>
      </c>
      <c r="L237">
        <v>90515</v>
      </c>
    </row>
    <row r="238" spans="1:12" x14ac:dyDescent="0.2">
      <c r="A238" s="1" t="s">
        <v>257</v>
      </c>
      <c r="B238" s="1" t="s">
        <v>912</v>
      </c>
      <c r="C238" s="1" t="s">
        <v>22</v>
      </c>
      <c r="D238">
        <v>52.297962461702475</v>
      </c>
      <c r="E238">
        <v>-1.5620595912743973</v>
      </c>
      <c r="F238">
        <v>260000</v>
      </c>
      <c r="G238">
        <v>358000</v>
      </c>
      <c r="H238">
        <v>2708</v>
      </c>
      <c r="I238">
        <v>2273</v>
      </c>
      <c r="J238">
        <v>3.3</v>
      </c>
      <c r="K238">
        <v>237</v>
      </c>
      <c r="L238">
        <v>84769</v>
      </c>
    </row>
    <row r="239" spans="1:12" x14ac:dyDescent="0.2">
      <c r="A239" s="1" t="s">
        <v>336</v>
      </c>
      <c r="B239" s="1" t="s">
        <v>913</v>
      </c>
      <c r="C239" s="1" t="s">
        <v>15</v>
      </c>
      <c r="D239">
        <v>51.840665726597756</v>
      </c>
      <c r="E239">
        <v>1.9782464696462367E-2</v>
      </c>
      <c r="F239">
        <v>326950</v>
      </c>
      <c r="G239">
        <v>450000</v>
      </c>
      <c r="H239">
        <v>2961</v>
      </c>
      <c r="I239">
        <v>2260</v>
      </c>
      <c r="J239">
        <v>3.2</v>
      </c>
      <c r="K239">
        <v>238</v>
      </c>
      <c r="L239">
        <v>89749</v>
      </c>
    </row>
    <row r="240" spans="1:12" x14ac:dyDescent="0.2">
      <c r="A240" s="1" t="s">
        <v>604</v>
      </c>
      <c r="B240" s="1" t="s">
        <v>914</v>
      </c>
      <c r="C240" s="1" t="s">
        <v>20</v>
      </c>
      <c r="D240">
        <v>50.568429189319581</v>
      </c>
      <c r="E240">
        <v>-3.5927745791049741</v>
      </c>
      <c r="F240">
        <v>218000</v>
      </c>
      <c r="G240">
        <v>300000</v>
      </c>
      <c r="H240">
        <v>2704</v>
      </c>
      <c r="I240">
        <v>1981</v>
      </c>
      <c r="J240">
        <v>3.2</v>
      </c>
      <c r="K240">
        <v>239</v>
      </c>
      <c r="L240">
        <v>80712</v>
      </c>
    </row>
    <row r="241" spans="1:12" x14ac:dyDescent="0.2">
      <c r="A241" s="1" t="s">
        <v>129</v>
      </c>
      <c r="B241" s="1" t="s">
        <v>915</v>
      </c>
      <c r="C241" s="1" t="s">
        <v>23</v>
      </c>
      <c r="D241">
        <v>53.561254429601703</v>
      </c>
      <c r="E241">
        <v>-9.7385634813964922E-2</v>
      </c>
      <c r="F241">
        <v>120000</v>
      </c>
      <c r="G241">
        <v>165000</v>
      </c>
      <c r="H241">
        <v>2220</v>
      </c>
      <c r="I241">
        <v>2167</v>
      </c>
      <c r="J241">
        <v>3.2</v>
      </c>
      <c r="K241">
        <v>240</v>
      </c>
      <c r="L241">
        <v>86232</v>
      </c>
    </row>
    <row r="242" spans="1:12" x14ac:dyDescent="0.2">
      <c r="A242" s="1" t="s">
        <v>267</v>
      </c>
      <c r="B242" s="1" t="s">
        <v>916</v>
      </c>
      <c r="C242" s="1" t="s">
        <v>22</v>
      </c>
      <c r="D242">
        <v>52.423873513374645</v>
      </c>
      <c r="E242">
        <v>-1.7711694642587275</v>
      </c>
      <c r="F242">
        <v>240000</v>
      </c>
      <c r="G242">
        <v>330000</v>
      </c>
      <c r="H242">
        <v>3461</v>
      </c>
      <c r="I242">
        <v>2708</v>
      </c>
      <c r="J242">
        <v>3.2</v>
      </c>
      <c r="K242">
        <v>240</v>
      </c>
      <c r="L242">
        <v>107045</v>
      </c>
    </row>
    <row r="243" spans="1:12" x14ac:dyDescent="0.2">
      <c r="A243" s="1" t="s">
        <v>163</v>
      </c>
      <c r="B243" s="1" t="s">
        <v>917</v>
      </c>
      <c r="C243" s="1" t="s">
        <v>10</v>
      </c>
      <c r="D243">
        <v>52.659113003692305</v>
      </c>
      <c r="E243">
        <v>-0.68005830646153842</v>
      </c>
      <c r="F243">
        <v>240000</v>
      </c>
      <c r="G243">
        <v>330000</v>
      </c>
      <c r="H243">
        <v>815</v>
      </c>
      <c r="I243">
        <v>611</v>
      </c>
      <c r="J243">
        <v>3.2</v>
      </c>
      <c r="K243">
        <v>240</v>
      </c>
      <c r="L243">
        <v>21752</v>
      </c>
    </row>
    <row r="244" spans="1:12" x14ac:dyDescent="0.2">
      <c r="A244" s="1" t="s">
        <v>594</v>
      </c>
      <c r="B244" s="1" t="s">
        <v>918</v>
      </c>
      <c r="C244" s="1" t="s">
        <v>20</v>
      </c>
      <c r="D244">
        <v>50.727689001091306</v>
      </c>
      <c r="E244">
        <v>-3.251170157754335</v>
      </c>
      <c r="F244">
        <v>240000</v>
      </c>
      <c r="G244">
        <v>330000</v>
      </c>
      <c r="H244">
        <v>3328</v>
      </c>
      <c r="I244">
        <v>2447</v>
      </c>
      <c r="J244">
        <v>3.2</v>
      </c>
      <c r="K244">
        <v>240</v>
      </c>
      <c r="L244">
        <v>94050</v>
      </c>
    </row>
    <row r="245" spans="1:12" x14ac:dyDescent="0.2">
      <c r="A245" s="1" t="s">
        <v>496</v>
      </c>
      <c r="B245" s="1" t="s">
        <v>919</v>
      </c>
      <c r="C245" s="1" t="s">
        <v>19</v>
      </c>
      <c r="D245">
        <v>51.096684823724004</v>
      </c>
      <c r="E245">
        <v>-1.489985781821046</v>
      </c>
      <c r="F245">
        <v>266000</v>
      </c>
      <c r="G245">
        <v>365000</v>
      </c>
      <c r="H245">
        <v>2435</v>
      </c>
      <c r="I245">
        <v>1816</v>
      </c>
      <c r="J245">
        <v>3.2</v>
      </c>
      <c r="K245">
        <v>244</v>
      </c>
      <c r="L245">
        <v>68583</v>
      </c>
    </row>
    <row r="246" spans="1:12" x14ac:dyDescent="0.2">
      <c r="A246" s="1" t="s">
        <v>329</v>
      </c>
      <c r="B246" s="1" t="s">
        <v>920</v>
      </c>
      <c r="C246" s="1" t="s">
        <v>15</v>
      </c>
      <c r="D246">
        <v>51.936035351757511</v>
      </c>
      <c r="E246">
        <v>0.26841444345389709</v>
      </c>
      <c r="F246">
        <v>341072</v>
      </c>
      <c r="G246">
        <v>467225</v>
      </c>
      <c r="H246">
        <v>1742</v>
      </c>
      <c r="I246">
        <v>1442</v>
      </c>
      <c r="J246">
        <v>3.2</v>
      </c>
      <c r="K246">
        <v>245</v>
      </c>
      <c r="L246">
        <v>47594</v>
      </c>
    </row>
    <row r="247" spans="1:12" x14ac:dyDescent="0.2">
      <c r="A247" s="1" t="s">
        <v>576</v>
      </c>
      <c r="B247" s="1" t="s">
        <v>921</v>
      </c>
      <c r="C247" s="1" t="s">
        <v>20</v>
      </c>
      <c r="D247">
        <v>50.781356424968031</v>
      </c>
      <c r="E247">
        <v>-2.2859931341392539</v>
      </c>
      <c r="F247">
        <v>252500</v>
      </c>
      <c r="G247">
        <v>345000</v>
      </c>
      <c r="H247">
        <v>7298</v>
      </c>
      <c r="I247">
        <v>6135</v>
      </c>
      <c r="J247">
        <v>3.2</v>
      </c>
      <c r="K247">
        <v>246</v>
      </c>
      <c r="L247">
        <v>232487</v>
      </c>
    </row>
    <row r="248" spans="1:12" x14ac:dyDescent="0.2">
      <c r="A248" s="1" t="s">
        <v>428</v>
      </c>
      <c r="B248" s="1" t="s">
        <v>922</v>
      </c>
      <c r="C248" s="1" t="s">
        <v>16</v>
      </c>
      <c r="D248">
        <v>51.471429562691128</v>
      </c>
      <c r="E248">
        <v>-0.34656591838025941</v>
      </c>
      <c r="F248">
        <v>355000</v>
      </c>
      <c r="G248">
        <v>485000</v>
      </c>
      <c r="H248">
        <v>3206</v>
      </c>
      <c r="I248">
        <v>1960</v>
      </c>
      <c r="J248">
        <v>3.2</v>
      </c>
      <c r="K248">
        <v>247</v>
      </c>
      <c r="L248">
        <v>98566</v>
      </c>
    </row>
    <row r="249" spans="1:12" x14ac:dyDescent="0.2">
      <c r="A249" s="1" t="s">
        <v>305</v>
      </c>
      <c r="B249" s="1" t="s">
        <v>923</v>
      </c>
      <c r="C249" s="1" t="s">
        <v>15</v>
      </c>
      <c r="D249">
        <v>52.194439542252645</v>
      </c>
      <c r="E249">
        <v>8.3719918357187312E-2</v>
      </c>
      <c r="F249">
        <v>320000</v>
      </c>
      <c r="G249">
        <v>437000</v>
      </c>
      <c r="H249">
        <v>2531</v>
      </c>
      <c r="I249">
        <v>2229</v>
      </c>
      <c r="J249">
        <v>3.2</v>
      </c>
      <c r="K249">
        <v>248</v>
      </c>
      <c r="L249">
        <v>81817</v>
      </c>
    </row>
    <row r="250" spans="1:12" x14ac:dyDescent="0.2">
      <c r="A250" s="1" t="s">
        <v>528</v>
      </c>
      <c r="B250" s="1" t="s">
        <v>924</v>
      </c>
      <c r="C250" s="1" t="s">
        <v>19</v>
      </c>
      <c r="D250">
        <v>51.625116298456071</v>
      </c>
      <c r="E250">
        <v>-1.0696730512051538</v>
      </c>
      <c r="F250">
        <v>330000</v>
      </c>
      <c r="G250">
        <v>450000</v>
      </c>
      <c r="H250">
        <v>2536</v>
      </c>
      <c r="I250">
        <v>2081</v>
      </c>
      <c r="J250">
        <v>3.2</v>
      </c>
      <c r="K250">
        <v>249</v>
      </c>
      <c r="L250">
        <v>80124</v>
      </c>
    </row>
    <row r="251" spans="1:12" x14ac:dyDescent="0.2">
      <c r="A251" s="1" t="s">
        <v>472</v>
      </c>
      <c r="B251" s="1" t="s">
        <v>925</v>
      </c>
      <c r="C251" s="1" t="s">
        <v>19</v>
      </c>
      <c r="D251">
        <v>50.832500983539092</v>
      </c>
      <c r="E251">
        <v>3.1121305114638446E-2</v>
      </c>
      <c r="F251">
        <v>278750</v>
      </c>
      <c r="G251">
        <v>380000</v>
      </c>
      <c r="H251">
        <v>1832</v>
      </c>
      <c r="I251">
        <v>1535</v>
      </c>
      <c r="J251">
        <v>3.1</v>
      </c>
      <c r="K251">
        <v>250</v>
      </c>
      <c r="L251">
        <v>59618</v>
      </c>
    </row>
    <row r="252" spans="1:12" x14ac:dyDescent="0.2">
      <c r="A252" s="1" t="s">
        <v>600</v>
      </c>
      <c r="B252" s="1" t="s">
        <v>926</v>
      </c>
      <c r="C252" s="1" t="s">
        <v>20</v>
      </c>
      <c r="D252">
        <v>51.092004969020024</v>
      </c>
      <c r="E252">
        <v>-4.0234636560590094</v>
      </c>
      <c r="F252">
        <v>216500</v>
      </c>
      <c r="G252">
        <v>295000</v>
      </c>
      <c r="H252">
        <v>1774</v>
      </c>
      <c r="I252">
        <v>1417</v>
      </c>
      <c r="J252">
        <v>3.1</v>
      </c>
      <c r="K252">
        <v>251</v>
      </c>
      <c r="L252">
        <v>56287</v>
      </c>
    </row>
    <row r="253" spans="1:12" x14ac:dyDescent="0.2">
      <c r="A253" s="1" t="s">
        <v>93</v>
      </c>
      <c r="B253" s="1" t="s">
        <v>927</v>
      </c>
      <c r="C253" s="1" t="s">
        <v>18</v>
      </c>
      <c r="D253">
        <v>53.65963111922612</v>
      </c>
      <c r="E253">
        <v>-2.6458528125755745</v>
      </c>
      <c r="F253">
        <v>162950</v>
      </c>
      <c r="G253">
        <v>221625</v>
      </c>
      <c r="H253">
        <v>2086</v>
      </c>
      <c r="I253">
        <v>1648</v>
      </c>
      <c r="J253">
        <v>3.1</v>
      </c>
      <c r="K253">
        <v>252</v>
      </c>
      <c r="L253">
        <v>60329</v>
      </c>
    </row>
    <row r="254" spans="1:12" x14ac:dyDescent="0.2">
      <c r="A254" s="1" t="s">
        <v>468</v>
      </c>
      <c r="B254" s="1" t="s">
        <v>928</v>
      </c>
      <c r="C254" s="1" t="s">
        <v>19</v>
      </c>
      <c r="D254">
        <v>50.779721065650357</v>
      </c>
      <c r="E254">
        <v>0.28356342709613969</v>
      </c>
      <c r="F254">
        <v>202500</v>
      </c>
      <c r="G254">
        <v>275000</v>
      </c>
      <c r="H254">
        <v>2250</v>
      </c>
      <c r="I254">
        <v>1524</v>
      </c>
      <c r="J254">
        <v>3.1</v>
      </c>
      <c r="K254">
        <v>253</v>
      </c>
      <c r="L254">
        <v>72382</v>
      </c>
    </row>
    <row r="255" spans="1:12" x14ac:dyDescent="0.2">
      <c r="A255" s="1" t="s">
        <v>548</v>
      </c>
      <c r="B255" s="1" t="s">
        <v>929</v>
      </c>
      <c r="C255" s="1" t="s">
        <v>19</v>
      </c>
      <c r="D255">
        <v>51.333315387402322</v>
      </c>
      <c r="E255">
        <v>-0.7140524792801326</v>
      </c>
      <c r="F255">
        <v>349950</v>
      </c>
      <c r="G255">
        <v>475000</v>
      </c>
      <c r="H255">
        <v>1498</v>
      </c>
      <c r="I255">
        <v>1239</v>
      </c>
      <c r="J255">
        <v>3.1</v>
      </c>
      <c r="K255">
        <v>254</v>
      </c>
      <c r="L255">
        <v>51140</v>
      </c>
    </row>
    <row r="256" spans="1:12" x14ac:dyDescent="0.2">
      <c r="A256" s="1" t="s">
        <v>319</v>
      </c>
      <c r="B256" s="1" t="s">
        <v>930</v>
      </c>
      <c r="C256" s="1" t="s">
        <v>15</v>
      </c>
      <c r="D256">
        <v>51.681777875944952</v>
      </c>
      <c r="E256">
        <v>9.8585418879627837E-2</v>
      </c>
      <c r="F256">
        <v>380000</v>
      </c>
      <c r="G256">
        <v>515000</v>
      </c>
      <c r="H256">
        <v>2335</v>
      </c>
      <c r="I256">
        <v>1775</v>
      </c>
      <c r="J256">
        <v>3.1</v>
      </c>
      <c r="K256">
        <v>255</v>
      </c>
      <c r="L256">
        <v>69755</v>
      </c>
    </row>
    <row r="257" spans="1:12" x14ac:dyDescent="0.2">
      <c r="A257" s="1" t="s">
        <v>31</v>
      </c>
      <c r="B257" s="1" t="s">
        <v>931</v>
      </c>
      <c r="C257" s="1" t="s">
        <v>17</v>
      </c>
      <c r="D257">
        <v>54.530079264598541</v>
      </c>
      <c r="E257">
        <v>-1.5504372228558394</v>
      </c>
      <c r="F257">
        <v>131000</v>
      </c>
      <c r="G257">
        <v>177500</v>
      </c>
      <c r="H257">
        <v>1689</v>
      </c>
      <c r="I257">
        <v>1603</v>
      </c>
      <c r="J257">
        <v>3.1</v>
      </c>
      <c r="K257">
        <v>256</v>
      </c>
      <c r="L257">
        <v>60990</v>
      </c>
    </row>
    <row r="258" spans="1:12" x14ac:dyDescent="0.2">
      <c r="A258" s="1" t="s">
        <v>596</v>
      </c>
      <c r="B258" s="1" t="s">
        <v>932</v>
      </c>
      <c r="C258" s="1" t="s">
        <v>20</v>
      </c>
      <c r="D258">
        <v>50.72183173148651</v>
      </c>
      <c r="E258">
        <v>-3.5150066500090529</v>
      </c>
      <c r="F258">
        <v>221500</v>
      </c>
      <c r="G258">
        <v>300000</v>
      </c>
      <c r="H258">
        <v>2393</v>
      </c>
      <c r="I258">
        <v>1615</v>
      </c>
      <c r="J258">
        <v>3.1</v>
      </c>
      <c r="K258">
        <v>257</v>
      </c>
      <c r="L258">
        <v>68144</v>
      </c>
    </row>
    <row r="259" spans="1:12" x14ac:dyDescent="0.2">
      <c r="A259" s="1" t="s">
        <v>566</v>
      </c>
      <c r="B259" s="1" t="s">
        <v>933</v>
      </c>
      <c r="C259" s="1" t="s">
        <v>19</v>
      </c>
      <c r="D259">
        <v>51.025554587369349</v>
      </c>
      <c r="E259">
        <v>-9.6921896658324749E-2</v>
      </c>
      <c r="F259">
        <v>325000</v>
      </c>
      <c r="G259">
        <v>440000</v>
      </c>
      <c r="H259">
        <v>2931</v>
      </c>
      <c r="I259">
        <v>2399</v>
      </c>
      <c r="J259">
        <v>3.1</v>
      </c>
      <c r="K259">
        <v>258</v>
      </c>
      <c r="L259">
        <v>87532</v>
      </c>
    </row>
    <row r="260" spans="1:12" x14ac:dyDescent="0.2">
      <c r="A260" s="1" t="s">
        <v>47</v>
      </c>
      <c r="B260" s="1" t="s">
        <v>934</v>
      </c>
      <c r="C260" s="1" t="s">
        <v>17</v>
      </c>
      <c r="D260">
        <v>54.987181553156937</v>
      </c>
      <c r="E260">
        <v>-1.6329694438819371</v>
      </c>
      <c r="F260">
        <v>151510</v>
      </c>
      <c r="G260">
        <v>205000</v>
      </c>
      <c r="H260">
        <v>3779</v>
      </c>
      <c r="I260">
        <v>3282</v>
      </c>
      <c r="J260">
        <v>3.1</v>
      </c>
      <c r="K260">
        <v>259</v>
      </c>
      <c r="L260">
        <v>128205</v>
      </c>
    </row>
    <row r="261" spans="1:12" x14ac:dyDescent="0.2">
      <c r="A261" s="1" t="s">
        <v>255</v>
      </c>
      <c r="B261" s="1" t="s">
        <v>935</v>
      </c>
      <c r="C261" s="1" t="s">
        <v>22</v>
      </c>
      <c r="D261">
        <v>52.199678767688859</v>
      </c>
      <c r="E261">
        <v>-1.6475818056843681</v>
      </c>
      <c r="F261">
        <v>275000</v>
      </c>
      <c r="G261">
        <v>369975</v>
      </c>
      <c r="H261">
        <v>2447</v>
      </c>
      <c r="I261">
        <v>2260</v>
      </c>
      <c r="J261">
        <v>3</v>
      </c>
      <c r="K261">
        <v>260</v>
      </c>
      <c r="L261">
        <v>75271</v>
      </c>
    </row>
    <row r="262" spans="1:12" x14ac:dyDescent="0.2">
      <c r="A262" s="1" t="s">
        <v>626</v>
      </c>
      <c r="B262" s="1" t="s">
        <v>936</v>
      </c>
      <c r="C262" s="1" t="s">
        <v>21</v>
      </c>
      <c r="D262">
        <v>52.97058499347397</v>
      </c>
      <c r="E262">
        <v>-4.1410222580057674</v>
      </c>
      <c r="F262">
        <v>145000</v>
      </c>
      <c r="G262">
        <v>195000</v>
      </c>
      <c r="H262">
        <v>1678</v>
      </c>
      <c r="I262">
        <v>1450</v>
      </c>
      <c r="J262">
        <v>3</v>
      </c>
      <c r="K262">
        <v>261</v>
      </c>
      <c r="L262">
        <v>53839</v>
      </c>
    </row>
    <row r="263" spans="1:12" x14ac:dyDescent="0.2">
      <c r="A263" s="1" t="s">
        <v>560</v>
      </c>
      <c r="B263" s="1" t="s">
        <v>937</v>
      </c>
      <c r="C263" s="1" t="s">
        <v>19</v>
      </c>
      <c r="D263">
        <v>50.873526026707822</v>
      </c>
      <c r="E263">
        <v>-0.7674708197557375</v>
      </c>
      <c r="F263">
        <v>317000</v>
      </c>
      <c r="G263">
        <v>425000</v>
      </c>
      <c r="H263">
        <v>2179</v>
      </c>
      <c r="I263">
        <v>1631</v>
      </c>
      <c r="J263">
        <v>3</v>
      </c>
      <c r="K263">
        <v>262</v>
      </c>
      <c r="L263">
        <v>67707</v>
      </c>
    </row>
    <row r="264" spans="1:12" x14ac:dyDescent="0.2">
      <c r="A264" s="1" t="s">
        <v>492</v>
      </c>
      <c r="B264" s="1" t="s">
        <v>938</v>
      </c>
      <c r="C264" s="1" t="s">
        <v>19</v>
      </c>
      <c r="D264">
        <v>50.837326543076351</v>
      </c>
      <c r="E264">
        <v>-1.5592834216121279</v>
      </c>
      <c r="F264">
        <v>285000</v>
      </c>
      <c r="G264">
        <v>382000</v>
      </c>
      <c r="H264">
        <v>3339</v>
      </c>
      <c r="I264">
        <v>2605</v>
      </c>
      <c r="J264">
        <v>3</v>
      </c>
      <c r="K264">
        <v>263</v>
      </c>
      <c r="L264">
        <v>106783</v>
      </c>
    </row>
    <row r="265" spans="1:12" x14ac:dyDescent="0.2">
      <c r="A265" s="1" t="s">
        <v>638</v>
      </c>
      <c r="B265" s="1" t="s">
        <v>939</v>
      </c>
      <c r="C265" s="1" t="s">
        <v>21</v>
      </c>
      <c r="D265">
        <v>52.238074424098919</v>
      </c>
      <c r="E265">
        <v>-4.2151724506708765</v>
      </c>
      <c r="F265">
        <v>168000</v>
      </c>
      <c r="G265">
        <v>225000</v>
      </c>
      <c r="H265">
        <v>847</v>
      </c>
      <c r="I265">
        <v>806</v>
      </c>
      <c r="J265">
        <v>3</v>
      </c>
      <c r="K265">
        <v>264</v>
      </c>
      <c r="L265">
        <v>28765</v>
      </c>
    </row>
    <row r="266" spans="1:12" x14ac:dyDescent="0.2">
      <c r="A266" s="1" t="s">
        <v>462</v>
      </c>
      <c r="B266" s="1" t="s">
        <v>940</v>
      </c>
      <c r="C266" s="1" t="s">
        <v>19</v>
      </c>
      <c r="D266">
        <v>51.427282794200984</v>
      </c>
      <c r="E266">
        <v>-1.259817023139403</v>
      </c>
      <c r="F266">
        <v>300000</v>
      </c>
      <c r="G266">
        <v>401500</v>
      </c>
      <c r="H266">
        <v>2755</v>
      </c>
      <c r="I266">
        <v>2249</v>
      </c>
      <c r="J266">
        <v>3</v>
      </c>
      <c r="K266">
        <v>265</v>
      </c>
      <c r="L266">
        <v>86557</v>
      </c>
    </row>
    <row r="267" spans="1:12" x14ac:dyDescent="0.2">
      <c r="A267" s="1" t="s">
        <v>542</v>
      </c>
      <c r="B267" s="1" t="s">
        <v>941</v>
      </c>
      <c r="C267" s="1" t="s">
        <v>19</v>
      </c>
      <c r="D267">
        <v>51.249435276551836</v>
      </c>
      <c r="E267">
        <v>-0.18870693999047466</v>
      </c>
      <c r="F267">
        <v>355000</v>
      </c>
      <c r="G267">
        <v>475000</v>
      </c>
      <c r="H267">
        <v>2834</v>
      </c>
      <c r="I267">
        <v>2067</v>
      </c>
      <c r="J267">
        <v>3</v>
      </c>
      <c r="K267">
        <v>266</v>
      </c>
      <c r="L267">
        <v>85780</v>
      </c>
    </row>
    <row r="268" spans="1:12" x14ac:dyDescent="0.2">
      <c r="A268" s="1" t="s">
        <v>550</v>
      </c>
      <c r="B268" s="1" t="s">
        <v>942</v>
      </c>
      <c r="C268" s="1" t="s">
        <v>19</v>
      </c>
      <c r="D268">
        <v>51.255958437951982</v>
      </c>
      <c r="E268">
        <v>-5.1866029794619614E-2</v>
      </c>
      <c r="F268">
        <v>381162</v>
      </c>
      <c r="G268">
        <v>509000</v>
      </c>
      <c r="H268">
        <v>1674</v>
      </c>
      <c r="I268">
        <v>1158</v>
      </c>
      <c r="J268">
        <v>2.9</v>
      </c>
      <c r="K268">
        <v>267</v>
      </c>
      <c r="L268">
        <v>47155</v>
      </c>
    </row>
    <row r="269" spans="1:12" x14ac:dyDescent="0.2">
      <c r="A269" s="1" t="s">
        <v>57</v>
      </c>
      <c r="B269" s="1" t="s">
        <v>943</v>
      </c>
      <c r="C269" s="1" t="s">
        <v>18</v>
      </c>
      <c r="D269">
        <v>53.817674966243899</v>
      </c>
      <c r="E269">
        <v>-3.0383919880975609</v>
      </c>
      <c r="F269">
        <v>103000</v>
      </c>
      <c r="G269">
        <v>137500</v>
      </c>
      <c r="H269">
        <v>1823</v>
      </c>
      <c r="I269">
        <v>1947</v>
      </c>
      <c r="J269">
        <v>2.9</v>
      </c>
      <c r="K269">
        <v>268</v>
      </c>
      <c r="L269">
        <v>83077</v>
      </c>
    </row>
    <row r="270" spans="1:12" x14ac:dyDescent="0.2">
      <c r="A270" s="1" t="s">
        <v>430</v>
      </c>
      <c r="B270" s="1" t="s">
        <v>944</v>
      </c>
      <c r="C270" s="1" t="s">
        <v>16</v>
      </c>
      <c r="D270">
        <v>51.397994379184013</v>
      </c>
      <c r="E270">
        <v>-0.28716503463780185</v>
      </c>
      <c r="F270">
        <v>412000</v>
      </c>
      <c r="G270">
        <v>550000</v>
      </c>
      <c r="H270">
        <v>2565</v>
      </c>
      <c r="I270">
        <v>1843</v>
      </c>
      <c r="J270">
        <v>2.9</v>
      </c>
      <c r="K270">
        <v>268</v>
      </c>
      <c r="L270">
        <v>88809</v>
      </c>
    </row>
    <row r="271" spans="1:12" x14ac:dyDescent="0.2">
      <c r="A271" s="1" t="s">
        <v>544</v>
      </c>
      <c r="B271" s="1" t="s">
        <v>945</v>
      </c>
      <c r="C271" s="1" t="s">
        <v>19</v>
      </c>
      <c r="D271">
        <v>51.399194662665359</v>
      </c>
      <c r="E271">
        <v>-0.52493156442920141</v>
      </c>
      <c r="F271">
        <v>350000</v>
      </c>
      <c r="G271">
        <v>465000</v>
      </c>
      <c r="H271">
        <v>1496</v>
      </c>
      <c r="I271">
        <v>1101</v>
      </c>
      <c r="J271">
        <v>2.9</v>
      </c>
      <c r="K271">
        <v>270</v>
      </c>
      <c r="L271">
        <v>46821</v>
      </c>
    </row>
    <row r="272" spans="1:12" x14ac:dyDescent="0.2">
      <c r="A272" s="1" t="s">
        <v>602</v>
      </c>
      <c r="B272" s="1" t="s">
        <v>946</v>
      </c>
      <c r="C272" s="1" t="s">
        <v>20</v>
      </c>
      <c r="D272">
        <v>50.361873074911522</v>
      </c>
      <c r="E272">
        <v>-3.8011298554856467</v>
      </c>
      <c r="F272">
        <v>275000</v>
      </c>
      <c r="G272">
        <v>365000</v>
      </c>
      <c r="H272">
        <v>1769</v>
      </c>
      <c r="I272">
        <v>1487</v>
      </c>
      <c r="J272">
        <v>2.9</v>
      </c>
      <c r="K272">
        <v>271</v>
      </c>
      <c r="L272">
        <v>57050</v>
      </c>
    </row>
    <row r="273" spans="1:12" x14ac:dyDescent="0.2">
      <c r="A273" s="1" t="s">
        <v>524</v>
      </c>
      <c r="B273" s="1" t="s">
        <v>947</v>
      </c>
      <c r="C273" s="1" t="s">
        <v>19</v>
      </c>
      <c r="D273">
        <v>51.965095495753481</v>
      </c>
      <c r="E273">
        <v>-1.2634114198606272</v>
      </c>
      <c r="F273">
        <v>270000</v>
      </c>
      <c r="G273">
        <v>358000</v>
      </c>
      <c r="H273">
        <v>2709</v>
      </c>
      <c r="I273">
        <v>2240</v>
      </c>
      <c r="J273">
        <v>2.9</v>
      </c>
      <c r="K273">
        <v>272</v>
      </c>
      <c r="L273">
        <v>89358</v>
      </c>
    </row>
    <row r="274" spans="1:12" x14ac:dyDescent="0.2">
      <c r="A274" s="1" t="s">
        <v>410</v>
      </c>
      <c r="B274" s="1" t="s">
        <v>948</v>
      </c>
      <c r="C274" s="1" t="s">
        <v>16</v>
      </c>
      <c r="D274">
        <v>51.55149009504018</v>
      </c>
      <c r="E274">
        <v>-0.25714360755518612</v>
      </c>
      <c r="F274">
        <v>415000</v>
      </c>
      <c r="G274">
        <v>550000</v>
      </c>
      <c r="H274">
        <v>2935</v>
      </c>
      <c r="I274">
        <v>1897</v>
      </c>
      <c r="J274">
        <v>2.9</v>
      </c>
      <c r="K274">
        <v>273</v>
      </c>
      <c r="L274">
        <v>93880</v>
      </c>
    </row>
    <row r="275" spans="1:12" x14ac:dyDescent="0.2">
      <c r="A275" s="1" t="s">
        <v>43</v>
      </c>
      <c r="B275" s="1" t="s">
        <v>949</v>
      </c>
      <c r="C275" s="1" t="s">
        <v>17</v>
      </c>
      <c r="D275">
        <v>55.175414902582091</v>
      </c>
      <c r="E275">
        <v>-1.7963139564007982</v>
      </c>
      <c r="F275">
        <v>155000</v>
      </c>
      <c r="G275">
        <v>204995</v>
      </c>
      <c r="H275">
        <v>4933</v>
      </c>
      <c r="I275">
        <v>4929</v>
      </c>
      <c r="J275">
        <v>2.8</v>
      </c>
      <c r="K275">
        <v>274</v>
      </c>
      <c r="L275">
        <v>166987</v>
      </c>
    </row>
    <row r="276" spans="1:12" x14ac:dyDescent="0.2">
      <c r="A276" s="1" t="s">
        <v>480</v>
      </c>
      <c r="B276" s="1" t="s">
        <v>950</v>
      </c>
      <c r="C276" s="1" t="s">
        <v>19</v>
      </c>
      <c r="D276">
        <v>51.070819066105557</v>
      </c>
      <c r="E276">
        <v>-0.92917950867964227</v>
      </c>
      <c r="F276">
        <v>318000</v>
      </c>
      <c r="G276">
        <v>420000</v>
      </c>
      <c r="H276">
        <v>2432</v>
      </c>
      <c r="I276">
        <v>1799</v>
      </c>
      <c r="J276">
        <v>2.8</v>
      </c>
      <c r="K276">
        <v>275</v>
      </c>
      <c r="L276">
        <v>67953</v>
      </c>
    </row>
    <row r="277" spans="1:12" x14ac:dyDescent="0.2">
      <c r="A277" s="1" t="s">
        <v>392</v>
      </c>
      <c r="B277" s="1" t="s">
        <v>951</v>
      </c>
      <c r="C277" s="1" t="s">
        <v>16</v>
      </c>
      <c r="D277">
        <v>51.452811196966188</v>
      </c>
      <c r="E277">
        <v>-2.4995774432607688E-2</v>
      </c>
      <c r="F277">
        <v>360000</v>
      </c>
      <c r="G277">
        <v>475000</v>
      </c>
      <c r="H277">
        <v>4493</v>
      </c>
      <c r="I277">
        <v>2931</v>
      </c>
      <c r="J277">
        <v>2.8</v>
      </c>
      <c r="K277">
        <v>276</v>
      </c>
      <c r="L277">
        <v>128789</v>
      </c>
    </row>
    <row r="278" spans="1:12" x14ac:dyDescent="0.2">
      <c r="A278" s="1" t="s">
        <v>41</v>
      </c>
      <c r="B278" s="1" t="s">
        <v>952</v>
      </c>
      <c r="C278" s="1" t="s">
        <v>17</v>
      </c>
      <c r="D278">
        <v>54.752586243152351</v>
      </c>
      <c r="E278">
        <v>-1.6266414692465152</v>
      </c>
      <c r="F278">
        <v>110000</v>
      </c>
      <c r="G278">
        <v>145000</v>
      </c>
      <c r="H278">
        <v>7246</v>
      </c>
      <c r="I278">
        <v>7279</v>
      </c>
      <c r="J278">
        <v>2.8</v>
      </c>
      <c r="K278">
        <v>277</v>
      </c>
      <c r="L278">
        <v>253771</v>
      </c>
    </row>
    <row r="279" spans="1:12" x14ac:dyDescent="0.2">
      <c r="A279" s="1" t="s">
        <v>538</v>
      </c>
      <c r="B279" s="1" t="s">
        <v>953</v>
      </c>
      <c r="C279" s="1" t="s">
        <v>19</v>
      </c>
      <c r="D279">
        <v>51.248496720810735</v>
      </c>
      <c r="E279">
        <v>-0.57662947116757068</v>
      </c>
      <c r="F279">
        <v>379475</v>
      </c>
      <c r="G279">
        <v>500000</v>
      </c>
      <c r="H279">
        <v>2272</v>
      </c>
      <c r="I279">
        <v>1910</v>
      </c>
      <c r="J279">
        <v>2.8</v>
      </c>
      <c r="K279">
        <v>278</v>
      </c>
      <c r="L279">
        <v>75069</v>
      </c>
    </row>
    <row r="280" spans="1:12" x14ac:dyDescent="0.2">
      <c r="A280" s="1" t="s">
        <v>384</v>
      </c>
      <c r="B280" s="1" t="s">
        <v>954</v>
      </c>
      <c r="C280" s="1" t="s">
        <v>16</v>
      </c>
      <c r="D280">
        <v>51.58992223096854</v>
      </c>
      <c r="E280">
        <v>-0.10560039420111042</v>
      </c>
      <c r="F280">
        <v>439000</v>
      </c>
      <c r="G280">
        <v>575000</v>
      </c>
      <c r="H280">
        <v>2701</v>
      </c>
      <c r="I280">
        <v>2239</v>
      </c>
      <c r="J280">
        <v>2.7</v>
      </c>
      <c r="K280">
        <v>279</v>
      </c>
      <c r="L280">
        <v>96332</v>
      </c>
    </row>
    <row r="281" spans="1:12" x14ac:dyDescent="0.2">
      <c r="A281" s="1" t="s">
        <v>432</v>
      </c>
      <c r="B281" s="1" t="s">
        <v>955</v>
      </c>
      <c r="C281" s="1" t="s">
        <v>16</v>
      </c>
      <c r="D281">
        <v>51.411186381399176</v>
      </c>
      <c r="E281">
        <v>-0.19645630781893003</v>
      </c>
      <c r="F281">
        <v>420000</v>
      </c>
      <c r="G281">
        <v>550000</v>
      </c>
      <c r="H281">
        <v>2918</v>
      </c>
      <c r="I281">
        <v>2165</v>
      </c>
      <c r="J281">
        <v>2.7</v>
      </c>
      <c r="K281">
        <v>280</v>
      </c>
      <c r="L281">
        <v>102393</v>
      </c>
    </row>
    <row r="282" spans="1:12" x14ac:dyDescent="0.2">
      <c r="A282" s="1" t="s">
        <v>346</v>
      </c>
      <c r="B282" s="1" t="s">
        <v>956</v>
      </c>
      <c r="C282" s="1" t="s">
        <v>15</v>
      </c>
      <c r="D282">
        <v>51.646973784939092</v>
      </c>
      <c r="E282">
        <v>-0.44583535681063124</v>
      </c>
      <c r="F282">
        <v>420000</v>
      </c>
      <c r="G282">
        <v>550000</v>
      </c>
      <c r="H282">
        <v>1502</v>
      </c>
      <c r="I282">
        <v>1090</v>
      </c>
      <c r="J282">
        <v>2.7</v>
      </c>
      <c r="K282">
        <v>280</v>
      </c>
      <c r="L282">
        <v>46706</v>
      </c>
    </row>
    <row r="283" spans="1:12" x14ac:dyDescent="0.2">
      <c r="A283" s="1" t="s">
        <v>540</v>
      </c>
      <c r="B283" s="1" t="s">
        <v>957</v>
      </c>
      <c r="C283" s="1" t="s">
        <v>19</v>
      </c>
      <c r="D283">
        <v>51.257530495890414</v>
      </c>
      <c r="E283">
        <v>-0.32842521833508959</v>
      </c>
      <c r="F283">
        <v>441000</v>
      </c>
      <c r="G283">
        <v>577500</v>
      </c>
      <c r="H283">
        <v>1480</v>
      </c>
      <c r="I283">
        <v>1118</v>
      </c>
      <c r="J283">
        <v>2.7</v>
      </c>
      <c r="K283">
        <v>282</v>
      </c>
      <c r="L283">
        <v>45618</v>
      </c>
    </row>
    <row r="284" spans="1:12" x14ac:dyDescent="0.2">
      <c r="A284" s="1" t="s">
        <v>95</v>
      </c>
      <c r="B284" s="1" t="s">
        <v>958</v>
      </c>
      <c r="C284" s="1" t="s">
        <v>18</v>
      </c>
      <c r="D284">
        <v>53.764261988393976</v>
      </c>
      <c r="E284">
        <v>-2.9623172390213299</v>
      </c>
      <c r="F284">
        <v>184950</v>
      </c>
      <c r="G284">
        <v>242000</v>
      </c>
      <c r="H284">
        <v>1518</v>
      </c>
      <c r="I284">
        <v>1355</v>
      </c>
      <c r="J284">
        <v>2.7</v>
      </c>
      <c r="K284">
        <v>283</v>
      </c>
      <c r="L284">
        <v>50445</v>
      </c>
    </row>
    <row r="285" spans="1:12" x14ac:dyDescent="0.2">
      <c r="A285" s="1" t="s">
        <v>420</v>
      </c>
      <c r="B285" s="1" t="s">
        <v>959</v>
      </c>
      <c r="C285" s="1" t="s">
        <v>16</v>
      </c>
      <c r="D285">
        <v>51.476804157836234</v>
      </c>
      <c r="E285">
        <v>5.1925388538965049E-2</v>
      </c>
      <c r="F285">
        <v>352000</v>
      </c>
      <c r="G285">
        <v>460000</v>
      </c>
      <c r="H285">
        <v>4074</v>
      </c>
      <c r="I285">
        <v>2493</v>
      </c>
      <c r="J285">
        <v>2.7</v>
      </c>
      <c r="K285">
        <v>284</v>
      </c>
      <c r="L285">
        <v>111921</v>
      </c>
    </row>
    <row r="286" spans="1:12" x14ac:dyDescent="0.2">
      <c r="A286" s="1" t="s">
        <v>554</v>
      </c>
      <c r="B286" s="1" t="s">
        <v>960</v>
      </c>
      <c r="C286" s="1" t="s">
        <v>19</v>
      </c>
      <c r="D286">
        <v>51.319037881912315</v>
      </c>
      <c r="E286">
        <v>-0.5599611158845561</v>
      </c>
      <c r="F286">
        <v>345000</v>
      </c>
      <c r="G286">
        <v>450000</v>
      </c>
      <c r="H286">
        <v>1857</v>
      </c>
      <c r="I286">
        <v>1399</v>
      </c>
      <c r="J286">
        <v>2.7</v>
      </c>
      <c r="K286">
        <v>285</v>
      </c>
      <c r="L286">
        <v>61124</v>
      </c>
    </row>
    <row r="287" spans="1:12" x14ac:dyDescent="0.2">
      <c r="A287" s="1" t="s">
        <v>498</v>
      </c>
      <c r="B287" s="1" t="s">
        <v>961</v>
      </c>
      <c r="C287" s="1" t="s">
        <v>19</v>
      </c>
      <c r="D287">
        <v>51.01643315635333</v>
      </c>
      <c r="E287">
        <v>-1.2496247786175405</v>
      </c>
      <c r="F287">
        <v>357000</v>
      </c>
      <c r="G287">
        <v>465000</v>
      </c>
      <c r="H287">
        <v>2097</v>
      </c>
      <c r="I287">
        <v>1695</v>
      </c>
      <c r="J287">
        <v>2.7</v>
      </c>
      <c r="K287">
        <v>286</v>
      </c>
      <c r="L287">
        <v>65058</v>
      </c>
    </row>
    <row r="288" spans="1:12" x14ac:dyDescent="0.2">
      <c r="A288" s="1" t="s">
        <v>51</v>
      </c>
      <c r="B288" s="1" t="s">
        <v>962</v>
      </c>
      <c r="C288" s="1" t="s">
        <v>17</v>
      </c>
      <c r="D288">
        <v>54.973867817289218</v>
      </c>
      <c r="E288">
        <v>-1.4494166627534686</v>
      </c>
      <c r="F288">
        <v>129950</v>
      </c>
      <c r="G288">
        <v>168750</v>
      </c>
      <c r="H288">
        <v>1775</v>
      </c>
      <c r="I288">
        <v>1622</v>
      </c>
      <c r="J288">
        <v>2.6</v>
      </c>
      <c r="K288">
        <v>287</v>
      </c>
      <c r="L288">
        <v>59819</v>
      </c>
    </row>
    <row r="289" spans="1:12" x14ac:dyDescent="0.2">
      <c r="A289" s="1" t="s">
        <v>464</v>
      </c>
      <c r="B289" s="1" t="s">
        <v>963</v>
      </c>
      <c r="C289" s="1" t="s">
        <v>19</v>
      </c>
      <c r="D289">
        <v>51.487244573725057</v>
      </c>
      <c r="E289">
        <v>-0.68022982150776057</v>
      </c>
      <c r="F289">
        <v>420000</v>
      </c>
      <c r="G289">
        <v>545000</v>
      </c>
      <c r="H289">
        <v>2465</v>
      </c>
      <c r="I289">
        <v>1962</v>
      </c>
      <c r="J289">
        <v>2.6</v>
      </c>
      <c r="K289">
        <v>288</v>
      </c>
      <c r="L289">
        <v>79309</v>
      </c>
    </row>
    <row r="290" spans="1:12" x14ac:dyDescent="0.2">
      <c r="A290" s="1" t="s">
        <v>67</v>
      </c>
      <c r="B290" s="1" t="s">
        <v>964</v>
      </c>
      <c r="C290" s="1" t="s">
        <v>18</v>
      </c>
      <c r="D290">
        <v>54.730377168944742</v>
      </c>
      <c r="E290">
        <v>-3.2230135570252791</v>
      </c>
      <c r="F290">
        <v>134995</v>
      </c>
      <c r="G290">
        <v>175000</v>
      </c>
      <c r="H290">
        <v>4522</v>
      </c>
      <c r="I290">
        <v>4245</v>
      </c>
      <c r="J290">
        <v>2.6</v>
      </c>
      <c r="K290">
        <v>289</v>
      </c>
      <c r="L290">
        <v>143776</v>
      </c>
    </row>
    <row r="291" spans="1:12" x14ac:dyDescent="0.2">
      <c r="A291" s="1" t="s">
        <v>39</v>
      </c>
      <c r="B291" s="1" t="s">
        <v>965</v>
      </c>
      <c r="C291" s="1" t="s">
        <v>17</v>
      </c>
      <c r="D291">
        <v>54.566811142541439</v>
      </c>
      <c r="E291">
        <v>-1.3217255819060774</v>
      </c>
      <c r="F291">
        <v>135000</v>
      </c>
      <c r="G291">
        <v>175000</v>
      </c>
      <c r="H291">
        <v>2780</v>
      </c>
      <c r="I291">
        <v>2734</v>
      </c>
      <c r="J291">
        <v>2.6</v>
      </c>
      <c r="K291">
        <v>290</v>
      </c>
      <c r="L291">
        <v>99445</v>
      </c>
    </row>
    <row r="292" spans="1:12" x14ac:dyDescent="0.2">
      <c r="A292" s="1" t="s">
        <v>536</v>
      </c>
      <c r="B292" s="1" t="s">
        <v>966</v>
      </c>
      <c r="C292" s="1" t="s">
        <v>19</v>
      </c>
      <c r="D292">
        <v>51.342997072000003</v>
      </c>
      <c r="E292">
        <v>-0.26178298782608694</v>
      </c>
      <c r="F292">
        <v>424308</v>
      </c>
      <c r="G292">
        <v>550000</v>
      </c>
      <c r="H292">
        <v>1346</v>
      </c>
      <c r="I292">
        <v>1017</v>
      </c>
      <c r="J292">
        <v>2.6</v>
      </c>
      <c r="K292">
        <v>291</v>
      </c>
      <c r="L292">
        <v>42388</v>
      </c>
    </row>
    <row r="293" spans="1:12" x14ac:dyDescent="0.2">
      <c r="A293" s="1" t="s">
        <v>466</v>
      </c>
      <c r="B293" s="1" t="s">
        <v>967</v>
      </c>
      <c r="C293" s="1" t="s">
        <v>19</v>
      </c>
      <c r="D293">
        <v>51.42218864535274</v>
      </c>
      <c r="E293">
        <v>-0.87538201444568864</v>
      </c>
      <c r="F293">
        <v>378500</v>
      </c>
      <c r="G293">
        <v>490000</v>
      </c>
      <c r="H293">
        <v>3042</v>
      </c>
      <c r="I293">
        <v>2417</v>
      </c>
      <c r="J293">
        <v>2.6</v>
      </c>
      <c r="K293">
        <v>292</v>
      </c>
      <c r="L293">
        <v>96035</v>
      </c>
    </row>
    <row r="294" spans="1:12" x14ac:dyDescent="0.2">
      <c r="A294" s="1" t="s">
        <v>37</v>
      </c>
      <c r="B294" s="1" t="s">
        <v>968</v>
      </c>
      <c r="C294" s="1" t="s">
        <v>17</v>
      </c>
      <c r="D294">
        <v>54.572687260534927</v>
      </c>
      <c r="E294">
        <v>-1.0652073057533191</v>
      </c>
      <c r="F294">
        <v>127500</v>
      </c>
      <c r="G294">
        <v>164995</v>
      </c>
      <c r="H294">
        <v>1783</v>
      </c>
      <c r="I294">
        <v>1789</v>
      </c>
      <c r="J294">
        <v>2.6</v>
      </c>
      <c r="K294">
        <v>293</v>
      </c>
      <c r="L294">
        <v>64835</v>
      </c>
    </row>
    <row r="295" spans="1:12" x14ac:dyDescent="0.2">
      <c r="A295" s="1" t="s">
        <v>53</v>
      </c>
      <c r="B295" s="1" t="s">
        <v>969</v>
      </c>
      <c r="C295" s="1" t="s">
        <v>17</v>
      </c>
      <c r="D295">
        <v>54.892460625282169</v>
      </c>
      <c r="E295">
        <v>-1.4390960584855326</v>
      </c>
      <c r="F295">
        <v>120000</v>
      </c>
      <c r="G295">
        <v>155000</v>
      </c>
      <c r="H295">
        <v>3170</v>
      </c>
      <c r="I295">
        <v>3001</v>
      </c>
      <c r="J295">
        <v>2.6</v>
      </c>
      <c r="K295">
        <v>294</v>
      </c>
      <c r="L295">
        <v>116090</v>
      </c>
    </row>
    <row r="296" spans="1:12" x14ac:dyDescent="0.2">
      <c r="A296" s="1" t="s">
        <v>530</v>
      </c>
      <c r="B296" s="1" t="s">
        <v>970</v>
      </c>
      <c r="C296" s="1" t="s">
        <v>19</v>
      </c>
      <c r="D296">
        <v>51.649356106364579</v>
      </c>
      <c r="E296">
        <v>-1.3747841598062953</v>
      </c>
      <c r="F296">
        <v>310000</v>
      </c>
      <c r="G296">
        <v>400000</v>
      </c>
      <c r="H296">
        <v>2382</v>
      </c>
      <c r="I296">
        <v>2227</v>
      </c>
      <c r="J296">
        <v>2.6</v>
      </c>
      <c r="K296">
        <v>295</v>
      </c>
      <c r="L296">
        <v>69319</v>
      </c>
    </row>
    <row r="297" spans="1:12" x14ac:dyDescent="0.2">
      <c r="A297" s="1" t="s">
        <v>406</v>
      </c>
      <c r="B297" s="1" t="s">
        <v>971</v>
      </c>
      <c r="C297" s="1" t="s">
        <v>16</v>
      </c>
      <c r="D297">
        <v>51.605254947967872</v>
      </c>
      <c r="E297">
        <v>-0.20803928174079847</v>
      </c>
      <c r="F297">
        <v>450000</v>
      </c>
      <c r="G297">
        <v>580000</v>
      </c>
      <c r="H297">
        <v>4974</v>
      </c>
      <c r="I297">
        <v>3350</v>
      </c>
      <c r="J297">
        <v>2.6</v>
      </c>
      <c r="K297">
        <v>296</v>
      </c>
      <c r="L297">
        <v>157439</v>
      </c>
    </row>
    <row r="298" spans="1:12" x14ac:dyDescent="0.2">
      <c r="A298" s="1" t="s">
        <v>534</v>
      </c>
      <c r="B298" s="1" t="s">
        <v>972</v>
      </c>
      <c r="C298" s="1" t="s">
        <v>19</v>
      </c>
      <c r="D298">
        <v>51.371432262227643</v>
      </c>
      <c r="E298">
        <v>-0.39706464360810606</v>
      </c>
      <c r="F298">
        <v>505000</v>
      </c>
      <c r="G298">
        <v>650000</v>
      </c>
      <c r="H298">
        <v>2385</v>
      </c>
      <c r="I298">
        <v>2029</v>
      </c>
      <c r="J298">
        <v>2.6</v>
      </c>
      <c r="K298">
        <v>297</v>
      </c>
      <c r="L298">
        <v>85486</v>
      </c>
    </row>
    <row r="299" spans="1:12" x14ac:dyDescent="0.2">
      <c r="A299" s="1" t="s">
        <v>526</v>
      </c>
      <c r="B299" s="1" t="s">
        <v>973</v>
      </c>
      <c r="C299" s="1" t="s">
        <v>19</v>
      </c>
      <c r="D299">
        <v>51.747093877114871</v>
      </c>
      <c r="E299">
        <v>-1.2362042821311963</v>
      </c>
      <c r="F299">
        <v>350000</v>
      </c>
      <c r="G299">
        <v>450000</v>
      </c>
      <c r="H299">
        <v>1682</v>
      </c>
      <c r="I299">
        <v>1310</v>
      </c>
      <c r="J299">
        <v>2.5</v>
      </c>
      <c r="K299">
        <v>298</v>
      </c>
      <c r="L299">
        <v>58666</v>
      </c>
    </row>
    <row r="300" spans="1:12" x14ac:dyDescent="0.2">
      <c r="A300" s="1" t="s">
        <v>45</v>
      </c>
      <c r="B300" s="1" t="s">
        <v>974</v>
      </c>
      <c r="C300" s="1" t="s">
        <v>17</v>
      </c>
      <c r="D300">
        <v>54.943805957035138</v>
      </c>
      <c r="E300">
        <v>-1.6448125376298193</v>
      </c>
      <c r="F300">
        <v>129999</v>
      </c>
      <c r="G300">
        <v>165000</v>
      </c>
      <c r="H300">
        <v>2519</v>
      </c>
      <c r="I300">
        <v>2412</v>
      </c>
      <c r="J300">
        <v>2.4</v>
      </c>
      <c r="K300">
        <v>299</v>
      </c>
      <c r="L300">
        <v>90832</v>
      </c>
    </row>
    <row r="301" spans="1:12" x14ac:dyDescent="0.2">
      <c r="A301" s="1" t="s">
        <v>564</v>
      </c>
      <c r="B301" s="1" t="s">
        <v>975</v>
      </c>
      <c r="C301" s="1" t="s">
        <v>19</v>
      </c>
      <c r="D301">
        <v>51.010100497402405</v>
      </c>
      <c r="E301">
        <v>-0.35715540878729407</v>
      </c>
      <c r="F301">
        <v>345000</v>
      </c>
      <c r="G301">
        <v>435000</v>
      </c>
      <c r="H301">
        <v>2917</v>
      </c>
      <c r="I301">
        <v>2148</v>
      </c>
      <c r="J301">
        <v>2.2999999999999998</v>
      </c>
      <c r="K301">
        <v>300</v>
      </c>
      <c r="L301">
        <v>84729</v>
      </c>
    </row>
    <row r="302" spans="1:12" x14ac:dyDescent="0.2">
      <c r="A302" s="1" t="s">
        <v>488</v>
      </c>
      <c r="B302" s="1" t="s">
        <v>976</v>
      </c>
      <c r="C302" s="1" t="s">
        <v>19</v>
      </c>
      <c r="D302">
        <v>51.287757603932583</v>
      </c>
      <c r="E302">
        <v>-0.86424397665028085</v>
      </c>
      <c r="F302">
        <v>370000</v>
      </c>
      <c r="G302">
        <v>465000</v>
      </c>
      <c r="H302">
        <v>1752</v>
      </c>
      <c r="I302">
        <v>1510</v>
      </c>
      <c r="J302">
        <v>2.2999999999999998</v>
      </c>
      <c r="K302">
        <v>301</v>
      </c>
      <c r="L302">
        <v>57145</v>
      </c>
    </row>
    <row r="303" spans="1:12" x14ac:dyDescent="0.2">
      <c r="A303" s="1" t="s">
        <v>33</v>
      </c>
      <c r="B303" s="1" t="s">
        <v>977</v>
      </c>
      <c r="C303" s="1" t="s">
        <v>17</v>
      </c>
      <c r="D303">
        <v>54.680823297204789</v>
      </c>
      <c r="E303">
        <v>-1.2258099289788933</v>
      </c>
      <c r="F303">
        <v>124000</v>
      </c>
      <c r="G303">
        <v>155000</v>
      </c>
      <c r="H303">
        <v>1226</v>
      </c>
      <c r="I303">
        <v>1270</v>
      </c>
      <c r="J303">
        <v>2.2999999999999998</v>
      </c>
      <c r="K303">
        <v>302</v>
      </c>
      <c r="L303">
        <v>46623</v>
      </c>
    </row>
    <row r="304" spans="1:12" x14ac:dyDescent="0.2">
      <c r="A304" s="1" t="s">
        <v>436</v>
      </c>
      <c r="B304" s="1" t="s">
        <v>978</v>
      </c>
      <c r="C304" s="1" t="s">
        <v>16</v>
      </c>
      <c r="D304">
        <v>51.449108298904925</v>
      </c>
      <c r="E304">
        <v>-0.31672720408163263</v>
      </c>
      <c r="F304">
        <v>577000</v>
      </c>
      <c r="G304">
        <v>720000</v>
      </c>
      <c r="H304">
        <v>3247</v>
      </c>
      <c r="I304">
        <v>2539</v>
      </c>
      <c r="J304">
        <v>2.2000000000000002</v>
      </c>
      <c r="K304">
        <v>303</v>
      </c>
      <c r="L304">
        <v>114850</v>
      </c>
    </row>
    <row r="305" spans="1:12" x14ac:dyDescent="0.2">
      <c r="A305" s="1" t="s">
        <v>416</v>
      </c>
      <c r="B305" s="1" t="s">
        <v>979</v>
      </c>
      <c r="C305" s="1" t="s">
        <v>16</v>
      </c>
      <c r="D305">
        <v>51.518025169035404</v>
      </c>
      <c r="E305">
        <v>-0.3249342839962997</v>
      </c>
      <c r="F305">
        <v>432000</v>
      </c>
      <c r="G305">
        <v>535000</v>
      </c>
      <c r="H305">
        <v>3497</v>
      </c>
      <c r="I305">
        <v>2571</v>
      </c>
      <c r="J305">
        <v>2.2000000000000002</v>
      </c>
      <c r="K305">
        <v>304</v>
      </c>
      <c r="L305">
        <v>128806</v>
      </c>
    </row>
    <row r="306" spans="1:12" x14ac:dyDescent="0.2">
      <c r="A306" s="1" t="s">
        <v>297</v>
      </c>
      <c r="B306" s="1" t="s">
        <v>980</v>
      </c>
      <c r="C306" s="1" t="s">
        <v>15</v>
      </c>
      <c r="D306">
        <v>52.202132299915611</v>
      </c>
      <c r="E306">
        <v>0.13695354666666668</v>
      </c>
      <c r="F306">
        <v>405000</v>
      </c>
      <c r="G306">
        <v>492500</v>
      </c>
      <c r="H306">
        <v>1644</v>
      </c>
      <c r="I306">
        <v>1235</v>
      </c>
      <c r="J306">
        <v>2</v>
      </c>
      <c r="K306">
        <v>305</v>
      </c>
      <c r="L306">
        <v>53041</v>
      </c>
    </row>
    <row r="307" spans="1:12" x14ac:dyDescent="0.2">
      <c r="A307" s="1" t="s">
        <v>35</v>
      </c>
      <c r="B307" s="1" t="s">
        <v>981</v>
      </c>
      <c r="C307" s="1" t="s">
        <v>17</v>
      </c>
      <c r="D307">
        <v>54.555592558902639</v>
      </c>
      <c r="E307">
        <v>-1.2277867661825355</v>
      </c>
      <c r="F307">
        <v>130000</v>
      </c>
      <c r="G307">
        <v>155000</v>
      </c>
      <c r="H307">
        <v>1797</v>
      </c>
      <c r="I307">
        <v>1647</v>
      </c>
      <c r="J307">
        <v>1.8</v>
      </c>
      <c r="K307">
        <v>306</v>
      </c>
      <c r="L307">
        <v>62645</v>
      </c>
    </row>
    <row r="308" spans="1:12" x14ac:dyDescent="0.2">
      <c r="A308" s="1" t="s">
        <v>380</v>
      </c>
      <c r="B308" s="1" t="s">
        <v>982</v>
      </c>
      <c r="C308" s="1" t="s">
        <v>16</v>
      </c>
      <c r="D308">
        <v>51.54985497796104</v>
      </c>
      <c r="E308">
        <v>-6.9657337124982233E-2</v>
      </c>
      <c r="F308">
        <v>490000</v>
      </c>
      <c r="G308">
        <v>581401</v>
      </c>
      <c r="H308">
        <v>2843</v>
      </c>
      <c r="I308">
        <v>2060</v>
      </c>
      <c r="J308">
        <v>1.7</v>
      </c>
      <c r="K308">
        <v>307</v>
      </c>
      <c r="L308">
        <v>80831</v>
      </c>
    </row>
    <row r="309" spans="1:12" x14ac:dyDescent="0.2">
      <c r="A309" s="1" t="s">
        <v>398</v>
      </c>
      <c r="B309" s="1" t="s">
        <v>983</v>
      </c>
      <c r="C309" s="1" t="s">
        <v>16</v>
      </c>
      <c r="D309">
        <v>51.51799726531749</v>
      </c>
      <c r="E309">
        <v>-4.3333810991459339E-2</v>
      </c>
      <c r="F309">
        <v>425000</v>
      </c>
      <c r="G309">
        <v>500000</v>
      </c>
      <c r="H309">
        <v>4080</v>
      </c>
      <c r="I309">
        <v>2502</v>
      </c>
      <c r="J309">
        <v>1.6</v>
      </c>
      <c r="K309">
        <v>308</v>
      </c>
      <c r="L309">
        <v>122928</v>
      </c>
    </row>
    <row r="310" spans="1:12" x14ac:dyDescent="0.2">
      <c r="A310" s="1" t="s">
        <v>390</v>
      </c>
      <c r="B310" s="1" t="s">
        <v>984</v>
      </c>
      <c r="C310" s="1" t="s">
        <v>16</v>
      </c>
      <c r="D310">
        <v>51.45756165614263</v>
      </c>
      <c r="E310">
        <v>-0.12048511393815582</v>
      </c>
      <c r="F310">
        <v>460000</v>
      </c>
      <c r="G310">
        <v>540000</v>
      </c>
      <c r="H310">
        <v>4588</v>
      </c>
      <c r="I310">
        <v>3509</v>
      </c>
      <c r="J310">
        <v>1.6</v>
      </c>
      <c r="K310">
        <v>309</v>
      </c>
      <c r="L310">
        <v>142050</v>
      </c>
    </row>
    <row r="311" spans="1:12" x14ac:dyDescent="0.2">
      <c r="A311" s="1" t="s">
        <v>400</v>
      </c>
      <c r="B311" s="1" t="s">
        <v>985</v>
      </c>
      <c r="C311" s="1" t="s">
        <v>16</v>
      </c>
      <c r="D311">
        <v>51.45598566235909</v>
      </c>
      <c r="E311">
        <v>-0.17645222133626615</v>
      </c>
      <c r="F311">
        <v>560000</v>
      </c>
      <c r="G311">
        <v>648000</v>
      </c>
      <c r="H311">
        <v>5890</v>
      </c>
      <c r="I311">
        <v>4593</v>
      </c>
      <c r="J311">
        <v>1.5</v>
      </c>
      <c r="K311">
        <v>310</v>
      </c>
      <c r="L311">
        <v>196788</v>
      </c>
    </row>
    <row r="312" spans="1:12" x14ac:dyDescent="0.2">
      <c r="A312" s="1" t="s">
        <v>396</v>
      </c>
      <c r="B312" s="1" t="s">
        <v>986</v>
      </c>
      <c r="C312" s="1" t="s">
        <v>16</v>
      </c>
      <c r="D312">
        <v>51.483580057344064</v>
      </c>
      <c r="E312">
        <v>-7.8709194938863955E-2</v>
      </c>
      <c r="F312">
        <v>475000</v>
      </c>
      <c r="G312">
        <v>535000</v>
      </c>
      <c r="H312">
        <v>4050</v>
      </c>
      <c r="I312">
        <v>2873</v>
      </c>
      <c r="J312">
        <v>1.2</v>
      </c>
      <c r="K312">
        <v>311</v>
      </c>
      <c r="L312">
        <v>119134</v>
      </c>
    </row>
    <row r="313" spans="1:12" x14ac:dyDescent="0.2">
      <c r="A313" s="1" t="s">
        <v>386</v>
      </c>
      <c r="B313" s="1" t="s">
        <v>987</v>
      </c>
      <c r="C313" s="1" t="s">
        <v>16</v>
      </c>
      <c r="D313">
        <v>51.539080907988897</v>
      </c>
      <c r="E313">
        <v>-0.10902994450124141</v>
      </c>
      <c r="F313">
        <v>580000</v>
      </c>
      <c r="G313">
        <v>640500</v>
      </c>
      <c r="H313">
        <v>2333</v>
      </c>
      <c r="I313">
        <v>1843</v>
      </c>
      <c r="J313">
        <v>1</v>
      </c>
      <c r="K313">
        <v>312</v>
      </c>
      <c r="L313">
        <v>82211</v>
      </c>
    </row>
    <row r="314" spans="1:12" x14ac:dyDescent="0.2">
      <c r="A314" s="1" t="s">
        <v>376</v>
      </c>
      <c r="B314" s="1" t="s">
        <v>988</v>
      </c>
      <c r="C314" s="1" t="s">
        <v>16</v>
      </c>
      <c r="D314">
        <v>51.534531068691962</v>
      </c>
      <c r="E314">
        <v>-0.14329835828054854</v>
      </c>
      <c r="F314">
        <v>705000</v>
      </c>
      <c r="G314">
        <v>770000</v>
      </c>
      <c r="H314">
        <v>2459</v>
      </c>
      <c r="I314">
        <v>1761</v>
      </c>
      <c r="J314">
        <v>0.9</v>
      </c>
      <c r="K314">
        <v>313</v>
      </c>
      <c r="L314">
        <v>87956</v>
      </c>
    </row>
    <row r="315" spans="1:12" x14ac:dyDescent="0.2">
      <c r="A315" s="1" t="s">
        <v>378</v>
      </c>
      <c r="B315" s="1" t="s">
        <v>989</v>
      </c>
      <c r="C315" s="1" t="s">
        <v>16</v>
      </c>
      <c r="D315">
        <v>51.514300290303652</v>
      </c>
      <c r="E315">
        <v>-9.1423391667889098E-2</v>
      </c>
      <c r="F315">
        <v>799999</v>
      </c>
      <c r="G315">
        <v>790000</v>
      </c>
      <c r="H315">
        <v>283</v>
      </c>
      <c r="I315">
        <v>142</v>
      </c>
      <c r="J315">
        <v>-0.1</v>
      </c>
      <c r="K315">
        <v>314</v>
      </c>
      <c r="L315">
        <v>8658</v>
      </c>
    </row>
    <row r="316" spans="1:12" x14ac:dyDescent="0.2">
      <c r="A316" s="1" t="s">
        <v>388</v>
      </c>
      <c r="B316" s="1" t="s">
        <v>990</v>
      </c>
      <c r="C316" s="1" t="s">
        <v>16</v>
      </c>
      <c r="D316">
        <v>51.498463185916805</v>
      </c>
      <c r="E316">
        <v>-0.1874021755751801</v>
      </c>
      <c r="F316">
        <v>1175000</v>
      </c>
      <c r="G316">
        <v>1150000</v>
      </c>
      <c r="H316">
        <v>2173</v>
      </c>
      <c r="I316">
        <v>1533</v>
      </c>
      <c r="J316">
        <v>-0.2</v>
      </c>
      <c r="K316">
        <v>315</v>
      </c>
      <c r="L316">
        <v>89353</v>
      </c>
    </row>
    <row r="317" spans="1:12" x14ac:dyDescent="0.2">
      <c r="A317" s="1" t="s">
        <v>402</v>
      </c>
      <c r="B317" s="1" t="s">
        <v>991</v>
      </c>
      <c r="C317" s="1" t="s">
        <v>16</v>
      </c>
      <c r="D317">
        <v>51.513182890998003</v>
      </c>
      <c r="E317">
        <v>-0.14864696004118139</v>
      </c>
      <c r="F317">
        <v>890000</v>
      </c>
      <c r="G317">
        <v>870000</v>
      </c>
      <c r="H317">
        <v>2883</v>
      </c>
      <c r="I317">
        <v>1924</v>
      </c>
      <c r="J317">
        <v>-0.2</v>
      </c>
      <c r="K317">
        <v>316</v>
      </c>
      <c r="L317">
        <v>123264</v>
      </c>
    </row>
    <row r="318" spans="1:12" x14ac:dyDescent="0.2">
      <c r="A318" s="1" t="s">
        <v>382</v>
      </c>
      <c r="B318" s="1" t="s">
        <v>992</v>
      </c>
      <c r="C318" s="1" t="s">
        <v>16</v>
      </c>
      <c r="D318">
        <v>51.49207721277174</v>
      </c>
      <c r="E318">
        <v>-0.21638101263586956</v>
      </c>
      <c r="F318">
        <v>730000</v>
      </c>
      <c r="G318">
        <v>700000</v>
      </c>
      <c r="H318">
        <v>2426</v>
      </c>
      <c r="I318">
        <v>2092</v>
      </c>
      <c r="J318">
        <v>-0.4</v>
      </c>
      <c r="K318">
        <v>317</v>
      </c>
      <c r="L318">
        <v>91497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686A-776B-C14A-8FDD-FC3DE048D50C}">
  <dimension ref="A1:D319"/>
  <sheetViews>
    <sheetView workbookViewId="0"/>
  </sheetViews>
  <sheetFormatPr baseColWidth="10" defaultRowHeight="16" x14ac:dyDescent="0.2"/>
  <cols>
    <col min="1" max="1" width="36.6640625" bestFit="1" customWidth="1"/>
    <col min="2" max="2" width="11" bestFit="1" customWidth="1"/>
    <col min="3" max="3" width="20" bestFit="1" customWidth="1"/>
    <col min="4" max="4" width="18.33203125" bestFit="1" customWidth="1"/>
  </cols>
  <sheetData>
    <row r="1" spans="1:4" x14ac:dyDescent="0.2">
      <c r="A1" t="s">
        <v>26</v>
      </c>
      <c r="B1" t="s">
        <v>27</v>
      </c>
      <c r="C1" t="s">
        <v>28</v>
      </c>
      <c r="D1" t="s">
        <v>29</v>
      </c>
    </row>
    <row r="2" spans="1:4" x14ac:dyDescent="0.2">
      <c r="A2" s="1" t="s">
        <v>30</v>
      </c>
      <c r="B2" s="1" t="s">
        <v>31</v>
      </c>
      <c r="C2">
        <v>30100</v>
      </c>
      <c r="D2">
        <v>35551</v>
      </c>
    </row>
    <row r="3" spans="1:4" x14ac:dyDescent="0.2">
      <c r="A3" s="1" t="s">
        <v>32</v>
      </c>
      <c r="B3" s="1" t="s">
        <v>33</v>
      </c>
      <c r="C3">
        <v>28830</v>
      </c>
      <c r="D3">
        <v>30428</v>
      </c>
    </row>
    <row r="4" spans="1:4" x14ac:dyDescent="0.2">
      <c r="A4" s="1" t="s">
        <v>34</v>
      </c>
      <c r="B4" s="1" t="s">
        <v>35</v>
      </c>
      <c r="C4">
        <v>30253</v>
      </c>
      <c r="D4">
        <v>34997</v>
      </c>
    </row>
    <row r="5" spans="1:4" x14ac:dyDescent="0.2">
      <c r="A5" s="1" t="s">
        <v>36</v>
      </c>
      <c r="B5" s="1" t="s">
        <v>37</v>
      </c>
      <c r="C5">
        <v>28630</v>
      </c>
      <c r="D5">
        <v>31794</v>
      </c>
    </row>
    <row r="6" spans="1:4" x14ac:dyDescent="0.2">
      <c r="A6" s="1" t="s">
        <v>38</v>
      </c>
      <c r="B6" s="1" t="s">
        <v>39</v>
      </c>
      <c r="C6">
        <v>29877</v>
      </c>
      <c r="D6">
        <v>34725</v>
      </c>
    </row>
    <row r="7" spans="1:4" x14ac:dyDescent="0.2">
      <c r="A7" s="1" t="s">
        <v>40</v>
      </c>
      <c r="B7" s="1" t="s">
        <v>41</v>
      </c>
      <c r="C7">
        <v>29718</v>
      </c>
      <c r="D7">
        <v>32953</v>
      </c>
    </row>
    <row r="8" spans="1:4" x14ac:dyDescent="0.2">
      <c r="A8" s="1" t="s">
        <v>42</v>
      </c>
      <c r="B8" s="1" t="s">
        <v>43</v>
      </c>
      <c r="C8">
        <v>30456</v>
      </c>
      <c r="D8">
        <v>36680</v>
      </c>
    </row>
    <row r="9" spans="1:4" x14ac:dyDescent="0.2">
      <c r="A9" s="1" t="s">
        <v>44</v>
      </c>
      <c r="B9" s="1" t="s">
        <v>45</v>
      </c>
      <c r="C9">
        <v>29494</v>
      </c>
      <c r="D9">
        <v>32445</v>
      </c>
    </row>
    <row r="10" spans="1:4" x14ac:dyDescent="0.2">
      <c r="A10" s="1" t="s">
        <v>46</v>
      </c>
      <c r="B10" s="1" t="s">
        <v>47</v>
      </c>
      <c r="C10">
        <v>30144</v>
      </c>
      <c r="D10">
        <v>35480</v>
      </c>
    </row>
    <row r="11" spans="1:4" x14ac:dyDescent="0.2">
      <c r="A11" s="1" t="s">
        <v>48</v>
      </c>
      <c r="B11" s="1" t="s">
        <v>49</v>
      </c>
      <c r="C11">
        <v>31106</v>
      </c>
      <c r="D11">
        <v>37590</v>
      </c>
    </row>
    <row r="12" spans="1:4" x14ac:dyDescent="0.2">
      <c r="A12" s="1" t="s">
        <v>50</v>
      </c>
      <c r="B12" s="1" t="s">
        <v>51</v>
      </c>
      <c r="C12">
        <v>28784</v>
      </c>
      <c r="D12">
        <v>32336</v>
      </c>
    </row>
    <row r="13" spans="1:4" x14ac:dyDescent="0.2">
      <c r="A13" s="1" t="s">
        <v>52</v>
      </c>
      <c r="B13" s="1" t="s">
        <v>53</v>
      </c>
      <c r="C13">
        <v>27989</v>
      </c>
      <c r="D13">
        <v>30972</v>
      </c>
    </row>
    <row r="14" spans="1:4" x14ac:dyDescent="0.2">
      <c r="A14" s="1" t="s">
        <v>54</v>
      </c>
      <c r="B14" s="1" t="s">
        <v>55</v>
      </c>
      <c r="C14">
        <v>27502</v>
      </c>
      <c r="D14">
        <v>31055</v>
      </c>
    </row>
    <row r="15" spans="1:4" x14ac:dyDescent="0.2">
      <c r="A15" s="1" t="s">
        <v>56</v>
      </c>
      <c r="B15" s="1" t="s">
        <v>57</v>
      </c>
      <c r="C15">
        <v>27979</v>
      </c>
      <c r="D15">
        <v>28814</v>
      </c>
    </row>
    <row r="16" spans="1:4" x14ac:dyDescent="0.2">
      <c r="A16" s="1" t="s">
        <v>58</v>
      </c>
      <c r="B16" s="1" t="s">
        <v>59</v>
      </c>
      <c r="C16">
        <v>29819</v>
      </c>
      <c r="D16">
        <v>34637</v>
      </c>
    </row>
    <row r="17" spans="1:4" x14ac:dyDescent="0.2">
      <c r="A17" s="1" t="s">
        <v>60</v>
      </c>
      <c r="B17" s="1" t="s">
        <v>61</v>
      </c>
      <c r="C17">
        <v>34144</v>
      </c>
      <c r="D17">
        <v>41073</v>
      </c>
    </row>
    <row r="18" spans="1:4" x14ac:dyDescent="0.2">
      <c r="A18" s="1" t="s">
        <v>62</v>
      </c>
      <c r="B18" s="1" t="s">
        <v>63</v>
      </c>
      <c r="C18">
        <v>33221</v>
      </c>
      <c r="D18">
        <v>44740</v>
      </c>
    </row>
    <row r="19" spans="1:4" x14ac:dyDescent="0.2">
      <c r="A19" s="1" t="s">
        <v>64</v>
      </c>
      <c r="B19" s="1" t="s">
        <v>65</v>
      </c>
      <c r="C19">
        <v>32391</v>
      </c>
      <c r="D19">
        <v>38487</v>
      </c>
    </row>
    <row r="20" spans="1:4" x14ac:dyDescent="0.2">
      <c r="A20" s="1" t="s">
        <v>66</v>
      </c>
      <c r="B20" s="1" t="s">
        <v>67</v>
      </c>
      <c r="C20">
        <v>33840</v>
      </c>
      <c r="D20">
        <v>38801</v>
      </c>
    </row>
    <row r="21" spans="1:4" x14ac:dyDescent="0.2">
      <c r="A21" s="1" t="s">
        <v>68</v>
      </c>
      <c r="B21" s="1" t="s">
        <v>69</v>
      </c>
      <c r="C21">
        <v>33988</v>
      </c>
      <c r="D21">
        <v>37928</v>
      </c>
    </row>
    <row r="22" spans="1:4" x14ac:dyDescent="0.2">
      <c r="A22" s="1" t="s">
        <v>70</v>
      </c>
      <c r="B22" s="1" t="s">
        <v>71</v>
      </c>
      <c r="C22">
        <v>29409</v>
      </c>
      <c r="D22">
        <v>34110</v>
      </c>
    </row>
    <row r="23" spans="1:4" x14ac:dyDescent="0.2">
      <c r="A23" s="1" t="s">
        <v>72</v>
      </c>
      <c r="B23" s="1" t="s">
        <v>73</v>
      </c>
      <c r="C23">
        <v>31687</v>
      </c>
      <c r="D23">
        <v>36576</v>
      </c>
    </row>
    <row r="24" spans="1:4" x14ac:dyDescent="0.2">
      <c r="A24" s="1" t="s">
        <v>74</v>
      </c>
      <c r="B24" s="1" t="s">
        <v>75</v>
      </c>
      <c r="C24">
        <v>30067</v>
      </c>
      <c r="D24">
        <v>35180</v>
      </c>
    </row>
    <row r="25" spans="1:4" x14ac:dyDescent="0.2">
      <c r="A25" s="1" t="s">
        <v>76</v>
      </c>
      <c r="B25" s="1" t="s">
        <v>77</v>
      </c>
      <c r="C25">
        <v>29124</v>
      </c>
      <c r="D25">
        <v>31608</v>
      </c>
    </row>
    <row r="26" spans="1:4" x14ac:dyDescent="0.2">
      <c r="A26" s="1" t="s">
        <v>78</v>
      </c>
      <c r="B26" s="1" t="s">
        <v>79</v>
      </c>
      <c r="C26">
        <v>29535</v>
      </c>
      <c r="D26">
        <v>36586</v>
      </c>
    </row>
    <row r="27" spans="1:4" x14ac:dyDescent="0.2">
      <c r="A27" s="1" t="s">
        <v>80</v>
      </c>
      <c r="B27" s="1" t="s">
        <v>81</v>
      </c>
      <c r="C27">
        <v>30495</v>
      </c>
      <c r="D27">
        <v>35495</v>
      </c>
    </row>
    <row r="28" spans="1:4" x14ac:dyDescent="0.2">
      <c r="A28" s="1" t="s">
        <v>82</v>
      </c>
      <c r="B28" s="1" t="s">
        <v>83</v>
      </c>
      <c r="C28">
        <v>33565</v>
      </c>
      <c r="D28">
        <v>38491</v>
      </c>
    </row>
    <row r="29" spans="1:4" x14ac:dyDescent="0.2">
      <c r="A29" s="1" t="s">
        <v>84</v>
      </c>
      <c r="B29" s="1" t="s">
        <v>85</v>
      </c>
      <c r="C29">
        <v>29877</v>
      </c>
      <c r="D29">
        <v>32748</v>
      </c>
    </row>
    <row r="30" spans="1:4" x14ac:dyDescent="0.2">
      <c r="A30" s="1" t="s">
        <v>86</v>
      </c>
      <c r="B30" s="1" t="s">
        <v>87</v>
      </c>
      <c r="C30">
        <v>35593</v>
      </c>
      <c r="D30">
        <v>42461</v>
      </c>
    </row>
    <row r="31" spans="1:4" x14ac:dyDescent="0.2">
      <c r="A31" s="1" t="s">
        <v>88</v>
      </c>
      <c r="B31" s="1" t="s">
        <v>89</v>
      </c>
      <c r="C31">
        <v>31615</v>
      </c>
      <c r="D31">
        <v>34930</v>
      </c>
    </row>
    <row r="32" spans="1:4" x14ac:dyDescent="0.2">
      <c r="A32" s="1" t="s">
        <v>90</v>
      </c>
      <c r="B32" s="1" t="s">
        <v>91</v>
      </c>
      <c r="C32">
        <v>29680</v>
      </c>
      <c r="D32">
        <v>32759</v>
      </c>
    </row>
    <row r="33" spans="1:4" x14ac:dyDescent="0.2">
      <c r="A33" s="1" t="s">
        <v>92</v>
      </c>
      <c r="B33" s="1" t="s">
        <v>93</v>
      </c>
      <c r="C33">
        <v>33337</v>
      </c>
      <c r="D33">
        <v>37899</v>
      </c>
    </row>
    <row r="34" spans="1:4" x14ac:dyDescent="0.2">
      <c r="A34" s="1" t="s">
        <v>94</v>
      </c>
      <c r="B34" s="1" t="s">
        <v>95</v>
      </c>
      <c r="C34">
        <v>36020</v>
      </c>
      <c r="D34">
        <v>43029</v>
      </c>
    </row>
    <row r="35" spans="1:4" x14ac:dyDescent="0.2">
      <c r="A35" s="1" t="s">
        <v>96</v>
      </c>
      <c r="B35" s="1" t="s">
        <v>97</v>
      </c>
      <c r="C35">
        <v>29647</v>
      </c>
      <c r="D35">
        <v>32347</v>
      </c>
    </row>
    <row r="36" spans="1:4" x14ac:dyDescent="0.2">
      <c r="A36" s="1" t="s">
        <v>98</v>
      </c>
      <c r="B36" s="1" t="s">
        <v>99</v>
      </c>
      <c r="C36">
        <v>29651</v>
      </c>
      <c r="D36">
        <v>33842</v>
      </c>
    </row>
    <row r="37" spans="1:4" x14ac:dyDescent="0.2">
      <c r="A37" s="1" t="s">
        <v>100</v>
      </c>
      <c r="B37" s="1" t="s">
        <v>101</v>
      </c>
      <c r="C37">
        <v>26742</v>
      </c>
      <c r="D37">
        <v>31997</v>
      </c>
    </row>
    <row r="38" spans="1:4" x14ac:dyDescent="0.2">
      <c r="A38" s="1" t="s">
        <v>102</v>
      </c>
      <c r="B38" s="1" t="s">
        <v>103</v>
      </c>
      <c r="C38">
        <v>30038</v>
      </c>
      <c r="D38">
        <v>34698</v>
      </c>
    </row>
    <row r="39" spans="1:4" x14ac:dyDescent="0.2">
      <c r="A39" s="1" t="s">
        <v>104</v>
      </c>
      <c r="B39" s="1" t="s">
        <v>105</v>
      </c>
      <c r="C39">
        <v>34077</v>
      </c>
      <c r="D39">
        <v>45947</v>
      </c>
    </row>
    <row r="40" spans="1:4" x14ac:dyDescent="0.2">
      <c r="A40" s="1" t="s">
        <v>106</v>
      </c>
      <c r="B40" s="1" t="s">
        <v>107</v>
      </c>
      <c r="C40">
        <v>30487</v>
      </c>
      <c r="D40">
        <v>35088</v>
      </c>
    </row>
    <row r="41" spans="1:4" x14ac:dyDescent="0.2">
      <c r="A41" s="1" t="s">
        <v>108</v>
      </c>
      <c r="B41" s="1" t="s">
        <v>109</v>
      </c>
      <c r="C41">
        <v>32740</v>
      </c>
      <c r="D41">
        <v>36183</v>
      </c>
    </row>
    <row r="42" spans="1:4" x14ac:dyDescent="0.2">
      <c r="A42" s="1" t="s">
        <v>110</v>
      </c>
      <c r="B42" s="1" t="s">
        <v>111</v>
      </c>
      <c r="C42">
        <v>31884</v>
      </c>
      <c r="D42">
        <v>38066</v>
      </c>
    </row>
    <row r="43" spans="1:4" x14ac:dyDescent="0.2">
      <c r="A43" s="1" t="s">
        <v>112</v>
      </c>
      <c r="B43" s="1" t="s">
        <v>113</v>
      </c>
      <c r="C43">
        <v>29814</v>
      </c>
      <c r="D43">
        <v>36536</v>
      </c>
    </row>
    <row r="44" spans="1:4" x14ac:dyDescent="0.2">
      <c r="A44" s="1" t="s">
        <v>114</v>
      </c>
      <c r="B44" s="1" t="s">
        <v>115</v>
      </c>
      <c r="C44">
        <v>32542</v>
      </c>
      <c r="D44">
        <v>34070</v>
      </c>
    </row>
    <row r="45" spans="1:4" x14ac:dyDescent="0.2">
      <c r="A45" s="1" t="s">
        <v>116</v>
      </c>
      <c r="B45" s="1" t="s">
        <v>117</v>
      </c>
      <c r="C45">
        <v>30947</v>
      </c>
      <c r="D45">
        <v>34678</v>
      </c>
    </row>
    <row r="46" spans="1:4" x14ac:dyDescent="0.2">
      <c r="A46" s="1" t="s">
        <v>118</v>
      </c>
      <c r="B46" s="1" t="s">
        <v>119</v>
      </c>
      <c r="C46">
        <v>31443</v>
      </c>
      <c r="D46">
        <v>36361</v>
      </c>
    </row>
    <row r="47" spans="1:4" x14ac:dyDescent="0.2">
      <c r="A47" s="1" t="s">
        <v>120</v>
      </c>
      <c r="B47" s="1" t="s">
        <v>121</v>
      </c>
      <c r="C47">
        <v>29335</v>
      </c>
      <c r="D47">
        <v>34350</v>
      </c>
    </row>
    <row r="48" spans="1:4" x14ac:dyDescent="0.2">
      <c r="A48" s="1" t="s">
        <v>122</v>
      </c>
      <c r="B48" s="1" t="s">
        <v>123</v>
      </c>
      <c r="C48">
        <v>32959</v>
      </c>
      <c r="D48">
        <v>37206</v>
      </c>
    </row>
    <row r="49" spans="1:4" x14ac:dyDescent="0.2">
      <c r="A49" s="1" t="s">
        <v>124</v>
      </c>
      <c r="B49" s="1" t="s">
        <v>125</v>
      </c>
      <c r="C49">
        <v>31881</v>
      </c>
      <c r="D49">
        <v>37220</v>
      </c>
    </row>
    <row r="50" spans="1:4" x14ac:dyDescent="0.2">
      <c r="A50" s="1" t="s">
        <v>126</v>
      </c>
      <c r="B50" s="1" t="s">
        <v>127</v>
      </c>
      <c r="C50">
        <v>27309</v>
      </c>
      <c r="D50">
        <v>29153</v>
      </c>
    </row>
    <row r="51" spans="1:4" x14ac:dyDescent="0.2">
      <c r="A51" s="1" t="s">
        <v>128</v>
      </c>
      <c r="B51" s="1" t="s">
        <v>129</v>
      </c>
      <c r="C51">
        <v>28898</v>
      </c>
      <c r="D51">
        <v>33778</v>
      </c>
    </row>
    <row r="52" spans="1:4" x14ac:dyDescent="0.2">
      <c r="A52" s="1" t="s">
        <v>130</v>
      </c>
      <c r="B52" s="1" t="s">
        <v>131</v>
      </c>
      <c r="C52">
        <v>30012</v>
      </c>
      <c r="D52">
        <v>34931</v>
      </c>
    </row>
    <row r="53" spans="1:4" x14ac:dyDescent="0.2">
      <c r="A53" s="1" t="s">
        <v>132</v>
      </c>
      <c r="B53" s="1" t="s">
        <v>133</v>
      </c>
      <c r="C53">
        <v>32961</v>
      </c>
      <c r="D53">
        <v>40376</v>
      </c>
    </row>
    <row r="54" spans="1:4" x14ac:dyDescent="0.2">
      <c r="A54" s="1" t="s">
        <v>134</v>
      </c>
      <c r="B54" s="1" t="s">
        <v>135</v>
      </c>
      <c r="C54">
        <v>30683</v>
      </c>
      <c r="D54">
        <v>37837</v>
      </c>
    </row>
    <row r="55" spans="1:4" x14ac:dyDescent="0.2">
      <c r="A55" s="1" t="s">
        <v>136</v>
      </c>
      <c r="B55" s="1" t="s">
        <v>137</v>
      </c>
      <c r="C55">
        <v>31359</v>
      </c>
      <c r="D55">
        <v>35139</v>
      </c>
    </row>
    <row r="56" spans="1:4" x14ac:dyDescent="0.2">
      <c r="A56" s="1" t="s">
        <v>138</v>
      </c>
      <c r="B56" s="1" t="s">
        <v>139</v>
      </c>
      <c r="C56">
        <v>31119</v>
      </c>
      <c r="D56">
        <v>33396</v>
      </c>
    </row>
    <row r="57" spans="1:4" x14ac:dyDescent="0.2">
      <c r="A57" s="1" t="s">
        <v>140</v>
      </c>
      <c r="B57" s="1" t="s">
        <v>141</v>
      </c>
      <c r="C57">
        <v>29664</v>
      </c>
      <c r="D57">
        <v>33799</v>
      </c>
    </row>
    <row r="58" spans="1:4" x14ac:dyDescent="0.2">
      <c r="A58" s="1" t="s">
        <v>142</v>
      </c>
      <c r="B58" s="1" t="s">
        <v>143</v>
      </c>
      <c r="C58">
        <v>31816</v>
      </c>
      <c r="D58">
        <v>36570</v>
      </c>
    </row>
    <row r="59" spans="1:4" x14ac:dyDescent="0.2">
      <c r="A59" s="1" t="s">
        <v>144</v>
      </c>
      <c r="B59" s="1" t="s">
        <v>145</v>
      </c>
      <c r="C59">
        <v>28424</v>
      </c>
      <c r="D59">
        <v>33267</v>
      </c>
    </row>
    <row r="60" spans="1:4" x14ac:dyDescent="0.2">
      <c r="A60" s="1" t="s">
        <v>146</v>
      </c>
      <c r="B60" s="1" t="s">
        <v>147</v>
      </c>
      <c r="C60">
        <v>31708</v>
      </c>
      <c r="D60">
        <v>35761</v>
      </c>
    </row>
    <row r="61" spans="1:4" x14ac:dyDescent="0.2">
      <c r="A61" s="1" t="s">
        <v>148</v>
      </c>
      <c r="B61" s="1" t="s">
        <v>149</v>
      </c>
      <c r="C61">
        <v>30238</v>
      </c>
      <c r="D61">
        <v>34811</v>
      </c>
    </row>
    <row r="62" spans="1:4" x14ac:dyDescent="0.2">
      <c r="A62" s="1" t="s">
        <v>150</v>
      </c>
      <c r="B62" s="1" t="s">
        <v>151</v>
      </c>
      <c r="C62">
        <v>31679</v>
      </c>
      <c r="D62">
        <v>36527</v>
      </c>
    </row>
    <row r="63" spans="1:4" x14ac:dyDescent="0.2">
      <c r="A63" s="1" t="s">
        <v>152</v>
      </c>
      <c r="B63" s="1" t="s">
        <v>153</v>
      </c>
      <c r="C63">
        <v>29954</v>
      </c>
      <c r="D63">
        <v>32083</v>
      </c>
    </row>
    <row r="64" spans="1:4" x14ac:dyDescent="0.2">
      <c r="A64" s="1" t="s">
        <v>154</v>
      </c>
      <c r="B64" s="1" t="s">
        <v>155</v>
      </c>
      <c r="C64">
        <v>30467</v>
      </c>
      <c r="D64">
        <v>34719</v>
      </c>
    </row>
    <row r="65" spans="1:4" x14ac:dyDescent="0.2">
      <c r="A65" s="1" t="s">
        <v>156</v>
      </c>
      <c r="B65" s="1" t="s">
        <v>157</v>
      </c>
      <c r="C65">
        <v>27858</v>
      </c>
      <c r="D65">
        <v>30887</v>
      </c>
    </row>
    <row r="66" spans="1:4" x14ac:dyDescent="0.2">
      <c r="A66" s="1" t="s">
        <v>158</v>
      </c>
      <c r="B66" s="1" t="s">
        <v>159</v>
      </c>
      <c r="C66">
        <v>32882</v>
      </c>
      <c r="D66">
        <v>38911</v>
      </c>
    </row>
    <row r="67" spans="1:4" x14ac:dyDescent="0.2">
      <c r="A67" s="1" t="s">
        <v>160</v>
      </c>
      <c r="B67" s="1" t="s">
        <v>161</v>
      </c>
      <c r="C67">
        <v>26512</v>
      </c>
      <c r="D67">
        <v>29857</v>
      </c>
    </row>
    <row r="68" spans="1:4" x14ac:dyDescent="0.2">
      <c r="A68" s="1" t="s">
        <v>162</v>
      </c>
      <c r="B68" s="1" t="s">
        <v>163</v>
      </c>
      <c r="C68">
        <v>39559</v>
      </c>
      <c r="D68">
        <v>49988</v>
      </c>
    </row>
    <row r="69" spans="1:4" x14ac:dyDescent="0.2">
      <c r="A69" s="1" t="s">
        <v>164</v>
      </c>
      <c r="B69" s="1" t="s">
        <v>165</v>
      </c>
      <c r="C69">
        <v>33059</v>
      </c>
      <c r="D69">
        <v>40558</v>
      </c>
    </row>
    <row r="70" spans="1:4" x14ac:dyDescent="0.2">
      <c r="A70" s="1" t="s">
        <v>166</v>
      </c>
      <c r="B70" s="1" t="s">
        <v>167</v>
      </c>
      <c r="C70">
        <v>30823</v>
      </c>
      <c r="D70">
        <v>35177</v>
      </c>
    </row>
    <row r="71" spans="1:4" x14ac:dyDescent="0.2">
      <c r="A71" s="1" t="s">
        <v>168</v>
      </c>
      <c r="B71" s="1" t="s">
        <v>169</v>
      </c>
      <c r="C71">
        <v>29674</v>
      </c>
      <c r="D71">
        <v>31819</v>
      </c>
    </row>
    <row r="72" spans="1:4" x14ac:dyDescent="0.2">
      <c r="A72" s="1" t="s">
        <v>170</v>
      </c>
      <c r="B72" s="1" t="s">
        <v>171</v>
      </c>
      <c r="C72">
        <v>30621</v>
      </c>
      <c r="D72">
        <v>34677</v>
      </c>
    </row>
    <row r="73" spans="1:4" x14ac:dyDescent="0.2">
      <c r="A73" s="1" t="s">
        <v>172</v>
      </c>
      <c r="B73" s="1" t="s">
        <v>173</v>
      </c>
      <c r="C73">
        <v>33700</v>
      </c>
      <c r="D73">
        <v>35488</v>
      </c>
    </row>
    <row r="74" spans="1:4" x14ac:dyDescent="0.2">
      <c r="A74" s="1" t="s">
        <v>174</v>
      </c>
      <c r="B74" s="1" t="s">
        <v>175</v>
      </c>
      <c r="C74">
        <v>31673</v>
      </c>
      <c r="D74">
        <v>33391</v>
      </c>
    </row>
    <row r="75" spans="1:4" x14ac:dyDescent="0.2">
      <c r="A75" s="1" t="s">
        <v>176</v>
      </c>
      <c r="B75" s="1" t="s">
        <v>177</v>
      </c>
      <c r="C75">
        <v>32258</v>
      </c>
      <c r="D75">
        <v>38718</v>
      </c>
    </row>
    <row r="76" spans="1:4" x14ac:dyDescent="0.2">
      <c r="A76" s="1" t="s">
        <v>178</v>
      </c>
      <c r="B76" s="1" t="s">
        <v>179</v>
      </c>
      <c r="C76">
        <v>30931</v>
      </c>
      <c r="D76">
        <v>38994</v>
      </c>
    </row>
    <row r="77" spans="1:4" x14ac:dyDescent="0.2">
      <c r="A77" s="1" t="s">
        <v>180</v>
      </c>
      <c r="B77" s="1" t="s">
        <v>181</v>
      </c>
      <c r="C77">
        <v>35452</v>
      </c>
      <c r="D77">
        <v>40580</v>
      </c>
    </row>
    <row r="78" spans="1:4" x14ac:dyDescent="0.2">
      <c r="A78" s="1" t="s">
        <v>182</v>
      </c>
      <c r="B78" s="1" t="s">
        <v>183</v>
      </c>
      <c r="C78">
        <v>31950</v>
      </c>
      <c r="D78">
        <v>35148</v>
      </c>
    </row>
    <row r="79" spans="1:4" x14ac:dyDescent="0.2">
      <c r="A79" s="1" t="s">
        <v>184</v>
      </c>
      <c r="B79" s="1" t="s">
        <v>185</v>
      </c>
      <c r="C79">
        <v>33550</v>
      </c>
      <c r="D79">
        <v>35439</v>
      </c>
    </row>
    <row r="80" spans="1:4" x14ac:dyDescent="0.2">
      <c r="A80" s="1" t="s">
        <v>186</v>
      </c>
      <c r="B80" s="1" t="s">
        <v>187</v>
      </c>
      <c r="C80">
        <v>34321</v>
      </c>
      <c r="D80">
        <v>42732</v>
      </c>
    </row>
    <row r="81" spans="1:4" x14ac:dyDescent="0.2">
      <c r="A81" s="1" t="s">
        <v>188</v>
      </c>
      <c r="B81" s="1" t="s">
        <v>189</v>
      </c>
      <c r="C81">
        <v>31591</v>
      </c>
      <c r="D81">
        <v>34419</v>
      </c>
    </row>
    <row r="82" spans="1:4" x14ac:dyDescent="0.2">
      <c r="A82" s="1" t="s">
        <v>190</v>
      </c>
      <c r="B82" s="1" t="s">
        <v>191</v>
      </c>
      <c r="C82">
        <v>26633</v>
      </c>
      <c r="D82">
        <v>32292</v>
      </c>
    </row>
    <row r="83" spans="1:4" x14ac:dyDescent="0.2">
      <c r="A83" s="1" t="s">
        <v>192</v>
      </c>
      <c r="B83" s="1" t="s">
        <v>193</v>
      </c>
      <c r="C83">
        <v>32252</v>
      </c>
      <c r="D83">
        <v>37507</v>
      </c>
    </row>
    <row r="84" spans="1:4" x14ac:dyDescent="0.2">
      <c r="A84" s="1" t="s">
        <v>194</v>
      </c>
      <c r="B84" s="1" t="s">
        <v>195</v>
      </c>
      <c r="C84">
        <v>28368</v>
      </c>
      <c r="D84">
        <v>35834</v>
      </c>
    </row>
    <row r="85" spans="1:4" x14ac:dyDescent="0.2">
      <c r="A85" s="1" t="s">
        <v>196</v>
      </c>
      <c r="B85" s="1" t="s">
        <v>197</v>
      </c>
      <c r="C85">
        <v>27729</v>
      </c>
      <c r="D85">
        <v>30171</v>
      </c>
    </row>
    <row r="86" spans="1:4" x14ac:dyDescent="0.2">
      <c r="A86" s="1" t="s">
        <v>198</v>
      </c>
      <c r="B86" s="1" t="s">
        <v>199</v>
      </c>
      <c r="C86">
        <v>26705</v>
      </c>
      <c r="D86">
        <v>29720</v>
      </c>
    </row>
    <row r="87" spans="1:4" x14ac:dyDescent="0.2">
      <c r="A87" s="1" t="s">
        <v>200</v>
      </c>
      <c r="B87" s="1" t="s">
        <v>201</v>
      </c>
      <c r="C87">
        <v>29824</v>
      </c>
      <c r="D87">
        <v>32167</v>
      </c>
    </row>
    <row r="88" spans="1:4" x14ac:dyDescent="0.2">
      <c r="A88" s="1" t="s">
        <v>202</v>
      </c>
      <c r="B88" s="1" t="s">
        <v>203</v>
      </c>
      <c r="C88">
        <v>30585</v>
      </c>
      <c r="D88">
        <v>34928</v>
      </c>
    </row>
    <row r="89" spans="1:4" x14ac:dyDescent="0.2">
      <c r="A89" s="1" t="s">
        <v>204</v>
      </c>
      <c r="B89" s="1" t="s">
        <v>205</v>
      </c>
      <c r="C89">
        <v>30196</v>
      </c>
      <c r="D89">
        <v>34626</v>
      </c>
    </row>
    <row r="90" spans="1:4" x14ac:dyDescent="0.2">
      <c r="A90" s="1" t="s">
        <v>206</v>
      </c>
      <c r="B90" s="1" t="s">
        <v>207</v>
      </c>
      <c r="C90">
        <v>29071</v>
      </c>
      <c r="D90">
        <v>37654</v>
      </c>
    </row>
    <row r="91" spans="1:4" x14ac:dyDescent="0.2">
      <c r="A91" s="1" t="s">
        <v>208</v>
      </c>
      <c r="B91" s="1" t="s">
        <v>209</v>
      </c>
      <c r="C91">
        <v>30741</v>
      </c>
      <c r="D91">
        <v>34392</v>
      </c>
    </row>
    <row r="92" spans="1:4" x14ac:dyDescent="0.2">
      <c r="A92" s="1" t="s">
        <v>210</v>
      </c>
      <c r="B92" s="1" t="s">
        <v>211</v>
      </c>
      <c r="C92">
        <v>27797</v>
      </c>
      <c r="D92">
        <v>33388</v>
      </c>
    </row>
    <row r="93" spans="1:4" x14ac:dyDescent="0.2">
      <c r="A93" s="1" t="s">
        <v>212</v>
      </c>
      <c r="B93" s="1" t="s">
        <v>213</v>
      </c>
      <c r="C93">
        <v>28314</v>
      </c>
      <c r="D93">
        <v>31599</v>
      </c>
    </row>
    <row r="94" spans="1:4" x14ac:dyDescent="0.2">
      <c r="A94" s="1" t="s">
        <v>214</v>
      </c>
      <c r="B94" s="1" t="s">
        <v>215</v>
      </c>
      <c r="C94">
        <v>30966</v>
      </c>
      <c r="D94">
        <v>35785</v>
      </c>
    </row>
    <row r="95" spans="1:4" x14ac:dyDescent="0.2">
      <c r="A95" s="1" t="s">
        <v>216</v>
      </c>
      <c r="B95" s="1" t="s">
        <v>217</v>
      </c>
      <c r="C95">
        <v>30051</v>
      </c>
      <c r="D95">
        <v>35243</v>
      </c>
    </row>
    <row r="96" spans="1:4" x14ac:dyDescent="0.2">
      <c r="A96" s="1" t="s">
        <v>218</v>
      </c>
      <c r="B96" s="1" t="s">
        <v>219</v>
      </c>
      <c r="C96">
        <v>28170</v>
      </c>
      <c r="D96">
        <v>30845</v>
      </c>
    </row>
    <row r="97" spans="1:4" x14ac:dyDescent="0.2">
      <c r="A97" s="1" t="s">
        <v>220</v>
      </c>
      <c r="B97" s="1" t="s">
        <v>221</v>
      </c>
      <c r="C97">
        <v>29806</v>
      </c>
      <c r="D97">
        <v>34695</v>
      </c>
    </row>
    <row r="98" spans="1:4" x14ac:dyDescent="0.2">
      <c r="A98" s="1" t="s">
        <v>222</v>
      </c>
      <c r="B98" s="1" t="s">
        <v>223</v>
      </c>
      <c r="C98">
        <v>36705</v>
      </c>
      <c r="D98">
        <v>44322</v>
      </c>
    </row>
    <row r="99" spans="1:4" x14ac:dyDescent="0.2">
      <c r="A99" s="1" t="s">
        <v>224</v>
      </c>
      <c r="B99" s="1" t="s">
        <v>225</v>
      </c>
      <c r="C99">
        <v>29361</v>
      </c>
      <c r="D99">
        <v>33451</v>
      </c>
    </row>
    <row r="100" spans="1:4" x14ac:dyDescent="0.2">
      <c r="A100" s="1" t="s">
        <v>226</v>
      </c>
      <c r="B100" s="1" t="s">
        <v>227</v>
      </c>
      <c r="C100">
        <v>29041</v>
      </c>
      <c r="D100">
        <v>31875</v>
      </c>
    </row>
    <row r="101" spans="1:4" x14ac:dyDescent="0.2">
      <c r="A101" s="1" t="s">
        <v>228</v>
      </c>
      <c r="B101" s="1" t="s">
        <v>229</v>
      </c>
      <c r="C101">
        <v>31459</v>
      </c>
      <c r="D101">
        <v>34296</v>
      </c>
    </row>
    <row r="102" spans="1:4" x14ac:dyDescent="0.2">
      <c r="A102" s="1" t="s">
        <v>230</v>
      </c>
      <c r="B102" s="1" t="s">
        <v>231</v>
      </c>
      <c r="C102">
        <v>29603</v>
      </c>
      <c r="D102">
        <v>34822</v>
      </c>
    </row>
    <row r="103" spans="1:4" x14ac:dyDescent="0.2">
      <c r="A103" s="1" t="s">
        <v>232</v>
      </c>
      <c r="B103" s="1" t="s">
        <v>233</v>
      </c>
      <c r="C103">
        <v>30178</v>
      </c>
      <c r="D103">
        <v>33725</v>
      </c>
    </row>
    <row r="104" spans="1:4" x14ac:dyDescent="0.2">
      <c r="A104" s="1" t="s">
        <v>234</v>
      </c>
      <c r="B104" s="1" t="s">
        <v>235</v>
      </c>
      <c r="C104">
        <v>31517</v>
      </c>
      <c r="D104">
        <v>36148</v>
      </c>
    </row>
    <row r="105" spans="1:4" x14ac:dyDescent="0.2">
      <c r="A105" s="1" t="s">
        <v>236</v>
      </c>
      <c r="B105" s="1" t="s">
        <v>237</v>
      </c>
      <c r="C105">
        <v>33763</v>
      </c>
      <c r="D105">
        <v>41455</v>
      </c>
    </row>
    <row r="106" spans="1:4" x14ac:dyDescent="0.2">
      <c r="A106" s="1" t="s">
        <v>238</v>
      </c>
      <c r="B106" s="1" t="s">
        <v>239</v>
      </c>
      <c r="C106">
        <v>31205</v>
      </c>
      <c r="D106">
        <v>34909</v>
      </c>
    </row>
    <row r="107" spans="1:4" x14ac:dyDescent="0.2">
      <c r="A107" s="1" t="s">
        <v>240</v>
      </c>
      <c r="B107" s="1" t="s">
        <v>241</v>
      </c>
      <c r="C107">
        <v>31766</v>
      </c>
      <c r="D107">
        <v>35993</v>
      </c>
    </row>
    <row r="108" spans="1:4" x14ac:dyDescent="0.2">
      <c r="A108" s="1" t="s">
        <v>242</v>
      </c>
      <c r="B108" s="1" t="s">
        <v>243</v>
      </c>
      <c r="C108">
        <v>33872</v>
      </c>
      <c r="D108">
        <v>39033</v>
      </c>
    </row>
    <row r="109" spans="1:4" x14ac:dyDescent="0.2">
      <c r="A109" s="1" t="s">
        <v>244</v>
      </c>
      <c r="B109" s="1" t="s">
        <v>245</v>
      </c>
      <c r="C109">
        <v>31065</v>
      </c>
      <c r="D109">
        <v>37398</v>
      </c>
    </row>
    <row r="110" spans="1:4" x14ac:dyDescent="0.2">
      <c r="A110" s="1" t="s">
        <v>246</v>
      </c>
      <c r="B110" s="1" t="s">
        <v>247</v>
      </c>
      <c r="C110">
        <v>33167</v>
      </c>
      <c r="D110">
        <v>35654</v>
      </c>
    </row>
    <row r="111" spans="1:4" x14ac:dyDescent="0.2">
      <c r="A111" s="1" t="s">
        <v>248</v>
      </c>
      <c r="B111" s="1" t="s">
        <v>249</v>
      </c>
      <c r="C111">
        <v>35067</v>
      </c>
      <c r="D111">
        <v>40257</v>
      </c>
    </row>
    <row r="112" spans="1:4" x14ac:dyDescent="0.2">
      <c r="A112" s="1" t="s">
        <v>250</v>
      </c>
      <c r="B112" s="1" t="s">
        <v>251</v>
      </c>
      <c r="C112">
        <v>32402</v>
      </c>
      <c r="D112">
        <v>35392</v>
      </c>
    </row>
    <row r="113" spans="1:4" x14ac:dyDescent="0.2">
      <c r="A113" s="1" t="s">
        <v>252</v>
      </c>
      <c r="B113" s="1" t="s">
        <v>253</v>
      </c>
      <c r="C113">
        <v>41814</v>
      </c>
      <c r="D113">
        <v>44543</v>
      </c>
    </row>
    <row r="114" spans="1:4" x14ac:dyDescent="0.2">
      <c r="A114" s="1" t="s">
        <v>254</v>
      </c>
      <c r="B114" s="1" t="s">
        <v>255</v>
      </c>
      <c r="C114">
        <v>34847</v>
      </c>
      <c r="D114">
        <v>50938</v>
      </c>
    </row>
    <row r="115" spans="1:4" x14ac:dyDescent="0.2">
      <c r="A115" s="1" t="s">
        <v>256</v>
      </c>
      <c r="B115" s="1" t="s">
        <v>257</v>
      </c>
      <c r="C115">
        <v>39797</v>
      </c>
      <c r="D115">
        <v>49679</v>
      </c>
    </row>
    <row r="116" spans="1:4" x14ac:dyDescent="0.2">
      <c r="A116" s="1" t="s">
        <v>258</v>
      </c>
      <c r="B116" s="1" t="s">
        <v>259</v>
      </c>
      <c r="C116">
        <v>30180</v>
      </c>
      <c r="D116">
        <v>34020</v>
      </c>
    </row>
    <row r="117" spans="1:4" x14ac:dyDescent="0.2">
      <c r="A117" s="1" t="s">
        <v>260</v>
      </c>
      <c r="B117" s="1" t="s">
        <v>261</v>
      </c>
      <c r="C117">
        <v>33063</v>
      </c>
      <c r="D117">
        <v>37224</v>
      </c>
    </row>
    <row r="118" spans="1:4" x14ac:dyDescent="0.2">
      <c r="A118" s="1" t="s">
        <v>262</v>
      </c>
      <c r="B118" s="1" t="s">
        <v>263</v>
      </c>
      <c r="C118">
        <v>30822</v>
      </c>
      <c r="D118">
        <v>34571</v>
      </c>
    </row>
    <row r="119" spans="1:4" x14ac:dyDescent="0.2">
      <c r="A119" s="1" t="s">
        <v>264</v>
      </c>
      <c r="B119" s="1" t="s">
        <v>265</v>
      </c>
      <c r="C119">
        <v>27652</v>
      </c>
      <c r="D119">
        <v>29914</v>
      </c>
    </row>
    <row r="120" spans="1:4" x14ac:dyDescent="0.2">
      <c r="A120" s="1" t="s">
        <v>266</v>
      </c>
      <c r="B120" s="1" t="s">
        <v>267</v>
      </c>
      <c r="C120">
        <v>36672</v>
      </c>
      <c r="D120">
        <v>45884</v>
      </c>
    </row>
    <row r="121" spans="1:4" x14ac:dyDescent="0.2">
      <c r="A121" s="1" t="s">
        <v>268</v>
      </c>
      <c r="B121" s="1" t="s">
        <v>269</v>
      </c>
      <c r="C121">
        <v>29112</v>
      </c>
      <c r="D121">
        <v>32610</v>
      </c>
    </row>
    <row r="122" spans="1:4" x14ac:dyDescent="0.2">
      <c r="A122" s="1" t="s">
        <v>270</v>
      </c>
      <c r="B122" s="1" t="s">
        <v>271</v>
      </c>
      <c r="C122">
        <v>31308</v>
      </c>
      <c r="D122">
        <v>36172</v>
      </c>
    </row>
    <row r="123" spans="1:4" x14ac:dyDescent="0.2">
      <c r="A123" s="1" t="s">
        <v>272</v>
      </c>
      <c r="B123" s="1" t="s">
        <v>273</v>
      </c>
      <c r="C123">
        <v>36409</v>
      </c>
      <c r="D123">
        <v>44103</v>
      </c>
    </row>
    <row r="124" spans="1:4" x14ac:dyDescent="0.2">
      <c r="A124" s="1" t="s">
        <v>274</v>
      </c>
      <c r="B124" s="1" t="s">
        <v>275</v>
      </c>
      <c r="C124">
        <v>28167</v>
      </c>
      <c r="D124">
        <v>33112</v>
      </c>
    </row>
    <row r="125" spans="1:4" x14ac:dyDescent="0.2">
      <c r="A125" s="1" t="s">
        <v>276</v>
      </c>
      <c r="B125" s="1" t="s">
        <v>277</v>
      </c>
      <c r="C125">
        <v>29113</v>
      </c>
      <c r="D125">
        <v>33951</v>
      </c>
    </row>
    <row r="126" spans="1:4" x14ac:dyDescent="0.2">
      <c r="A126" s="1" t="s">
        <v>278</v>
      </c>
      <c r="B126" s="1" t="s">
        <v>279</v>
      </c>
      <c r="C126">
        <v>32997</v>
      </c>
      <c r="D126">
        <v>38202</v>
      </c>
    </row>
    <row r="127" spans="1:4" x14ac:dyDescent="0.2">
      <c r="A127" s="1" t="s">
        <v>280</v>
      </c>
      <c r="B127" s="1" t="s">
        <v>281</v>
      </c>
      <c r="C127">
        <v>29661</v>
      </c>
      <c r="D127">
        <v>35405</v>
      </c>
    </row>
    <row r="128" spans="1:4" x14ac:dyDescent="0.2">
      <c r="A128" s="1" t="s">
        <v>282</v>
      </c>
      <c r="B128" s="1" t="s">
        <v>283</v>
      </c>
      <c r="C128">
        <v>29408</v>
      </c>
      <c r="D128">
        <v>34517</v>
      </c>
    </row>
    <row r="129" spans="1:4" x14ac:dyDescent="0.2">
      <c r="A129" s="1" t="s">
        <v>284</v>
      </c>
      <c r="B129" s="1" t="s">
        <v>285</v>
      </c>
      <c r="C129">
        <v>35987</v>
      </c>
      <c r="D129">
        <v>44065</v>
      </c>
    </row>
    <row r="130" spans="1:4" x14ac:dyDescent="0.2">
      <c r="A130" s="1" t="s">
        <v>286</v>
      </c>
      <c r="B130" s="1" t="s">
        <v>287</v>
      </c>
      <c r="C130">
        <v>36622</v>
      </c>
      <c r="D130">
        <v>42115</v>
      </c>
    </row>
    <row r="131" spans="1:4" x14ac:dyDescent="0.2">
      <c r="A131" s="1" t="s">
        <v>288</v>
      </c>
      <c r="B131" s="1" t="s">
        <v>289</v>
      </c>
      <c r="C131">
        <v>28741</v>
      </c>
      <c r="D131">
        <v>31351</v>
      </c>
    </row>
    <row r="132" spans="1:4" x14ac:dyDescent="0.2">
      <c r="A132" s="1" t="s">
        <v>290</v>
      </c>
      <c r="B132" s="1" t="s">
        <v>291</v>
      </c>
      <c r="C132">
        <v>29828</v>
      </c>
      <c r="D132">
        <v>33238</v>
      </c>
    </row>
    <row r="133" spans="1:4" x14ac:dyDescent="0.2">
      <c r="A133" s="1" t="s">
        <v>292</v>
      </c>
      <c r="B133" s="1" t="s">
        <v>293</v>
      </c>
      <c r="C133">
        <v>33594</v>
      </c>
      <c r="D133">
        <v>43321</v>
      </c>
    </row>
    <row r="134" spans="1:4" x14ac:dyDescent="0.2">
      <c r="A134" s="1" t="s">
        <v>294</v>
      </c>
      <c r="B134" s="1" t="s">
        <v>295</v>
      </c>
      <c r="C134">
        <v>36407</v>
      </c>
      <c r="D134">
        <v>42547</v>
      </c>
    </row>
    <row r="135" spans="1:4" x14ac:dyDescent="0.2">
      <c r="A135" s="1" t="s">
        <v>296</v>
      </c>
      <c r="B135" s="1" t="s">
        <v>297</v>
      </c>
      <c r="C135">
        <v>38711</v>
      </c>
      <c r="D135">
        <v>51653</v>
      </c>
    </row>
    <row r="136" spans="1:4" x14ac:dyDescent="0.2">
      <c r="A136" s="1" t="s">
        <v>298</v>
      </c>
      <c r="B136" s="1" t="s">
        <v>299</v>
      </c>
      <c r="C136">
        <v>34311</v>
      </c>
      <c r="D136">
        <v>50562</v>
      </c>
    </row>
    <row r="137" spans="1:4" x14ac:dyDescent="0.2">
      <c r="A137" s="1" t="s">
        <v>300</v>
      </c>
      <c r="B137" s="1" t="s">
        <v>301</v>
      </c>
      <c r="C137">
        <v>30125</v>
      </c>
      <c r="D137">
        <v>33476</v>
      </c>
    </row>
    <row r="138" spans="1:4" x14ac:dyDescent="0.2">
      <c r="A138" s="1" t="s">
        <v>302</v>
      </c>
      <c r="B138" s="1" t="s">
        <v>303</v>
      </c>
      <c r="C138">
        <v>33375</v>
      </c>
      <c r="D138">
        <v>39695</v>
      </c>
    </row>
    <row r="139" spans="1:4" x14ac:dyDescent="0.2">
      <c r="A139" s="1" t="s">
        <v>304</v>
      </c>
      <c r="B139" s="1" t="s">
        <v>305</v>
      </c>
      <c r="C139">
        <v>42690</v>
      </c>
      <c r="D139">
        <v>58265</v>
      </c>
    </row>
    <row r="140" spans="1:4" x14ac:dyDescent="0.2">
      <c r="A140" s="1" t="s">
        <v>306</v>
      </c>
      <c r="B140" s="1" t="s">
        <v>307</v>
      </c>
      <c r="C140">
        <v>34133</v>
      </c>
      <c r="D140">
        <v>43056</v>
      </c>
    </row>
    <row r="141" spans="1:4" x14ac:dyDescent="0.2">
      <c r="A141" s="1" t="s">
        <v>308</v>
      </c>
      <c r="B141" s="1" t="s">
        <v>309</v>
      </c>
      <c r="C141">
        <v>34546</v>
      </c>
      <c r="D141">
        <v>37489</v>
      </c>
    </row>
    <row r="142" spans="1:4" x14ac:dyDescent="0.2">
      <c r="A142" s="1" t="s">
        <v>310</v>
      </c>
      <c r="B142" s="1" t="s">
        <v>311</v>
      </c>
      <c r="C142">
        <v>39864</v>
      </c>
      <c r="D142">
        <v>57200</v>
      </c>
    </row>
    <row r="143" spans="1:4" x14ac:dyDescent="0.2">
      <c r="A143" s="1" t="s">
        <v>312</v>
      </c>
      <c r="B143" s="1" t="s">
        <v>313</v>
      </c>
      <c r="C143">
        <v>35975</v>
      </c>
      <c r="D143">
        <v>42637</v>
      </c>
    </row>
    <row r="144" spans="1:4" x14ac:dyDescent="0.2">
      <c r="A144" s="1" t="s">
        <v>314</v>
      </c>
      <c r="B144" s="1" t="s">
        <v>315</v>
      </c>
      <c r="C144">
        <v>35791</v>
      </c>
      <c r="D144">
        <v>46329</v>
      </c>
    </row>
    <row r="145" spans="1:4" x14ac:dyDescent="0.2">
      <c r="A145" s="1" t="s">
        <v>316</v>
      </c>
      <c r="B145" s="1" t="s">
        <v>317</v>
      </c>
      <c r="C145">
        <v>31589</v>
      </c>
      <c r="D145">
        <v>38945</v>
      </c>
    </row>
    <row r="146" spans="1:4" x14ac:dyDescent="0.2">
      <c r="A146" s="1" t="s">
        <v>318</v>
      </c>
      <c r="B146" s="1" t="s">
        <v>319</v>
      </c>
      <c r="C146">
        <v>38171</v>
      </c>
      <c r="D146">
        <v>51841</v>
      </c>
    </row>
    <row r="147" spans="1:4" x14ac:dyDescent="0.2">
      <c r="A147" s="1" t="s">
        <v>320</v>
      </c>
      <c r="B147" s="1" t="s">
        <v>321</v>
      </c>
      <c r="C147">
        <v>30654</v>
      </c>
      <c r="D147">
        <v>37267</v>
      </c>
    </row>
    <row r="148" spans="1:4" x14ac:dyDescent="0.2">
      <c r="A148" s="1" t="s">
        <v>322</v>
      </c>
      <c r="B148" s="1" t="s">
        <v>323</v>
      </c>
      <c r="C148">
        <v>32599</v>
      </c>
      <c r="D148">
        <v>50114</v>
      </c>
    </row>
    <row r="149" spans="1:4" x14ac:dyDescent="0.2">
      <c r="A149" s="1" t="s">
        <v>324</v>
      </c>
      <c r="B149" s="1" t="s">
        <v>325</v>
      </c>
      <c r="C149">
        <v>38107</v>
      </c>
      <c r="D149">
        <v>43996</v>
      </c>
    </row>
    <row r="150" spans="1:4" x14ac:dyDescent="0.2">
      <c r="A150" s="1" t="s">
        <v>326</v>
      </c>
      <c r="B150" s="1" t="s">
        <v>327</v>
      </c>
      <c r="C150">
        <v>29545</v>
      </c>
      <c r="D150">
        <v>36437</v>
      </c>
    </row>
    <row r="151" spans="1:4" x14ac:dyDescent="0.2">
      <c r="A151" s="1" t="s">
        <v>328</v>
      </c>
      <c r="B151" s="1" t="s">
        <v>329</v>
      </c>
      <c r="C151">
        <v>41006</v>
      </c>
      <c r="D151" t="s">
        <v>330</v>
      </c>
    </row>
    <row r="152" spans="1:4" x14ac:dyDescent="0.2">
      <c r="A152" s="1" t="s">
        <v>331</v>
      </c>
      <c r="B152" s="1" t="s">
        <v>332</v>
      </c>
      <c r="C152">
        <v>37283</v>
      </c>
      <c r="D152">
        <v>47463</v>
      </c>
    </row>
    <row r="153" spans="1:4" x14ac:dyDescent="0.2">
      <c r="A153" s="1" t="s">
        <v>333</v>
      </c>
      <c r="B153" s="1" t="s">
        <v>334</v>
      </c>
      <c r="C153">
        <v>36473</v>
      </c>
      <c r="D153">
        <v>48213</v>
      </c>
    </row>
    <row r="154" spans="1:4" x14ac:dyDescent="0.2">
      <c r="A154" s="1" t="s">
        <v>335</v>
      </c>
      <c r="B154" s="1" t="s">
        <v>336</v>
      </c>
      <c r="C154">
        <v>44154</v>
      </c>
      <c r="D154" t="s">
        <v>330</v>
      </c>
    </row>
    <row r="155" spans="1:4" x14ac:dyDescent="0.2">
      <c r="A155" s="1" t="s">
        <v>337</v>
      </c>
      <c r="B155" s="1" t="s">
        <v>338</v>
      </c>
      <c r="C155">
        <v>36159</v>
      </c>
      <c r="D155">
        <v>54508</v>
      </c>
    </row>
    <row r="156" spans="1:4" x14ac:dyDescent="0.2">
      <c r="A156" s="1" t="s">
        <v>339</v>
      </c>
      <c r="B156" s="1" t="s">
        <v>340</v>
      </c>
      <c r="C156">
        <v>42703</v>
      </c>
      <c r="D156">
        <v>51433</v>
      </c>
    </row>
    <row r="157" spans="1:4" x14ac:dyDescent="0.2">
      <c r="A157" s="1" t="s">
        <v>341</v>
      </c>
      <c r="B157" s="1" t="s">
        <v>342</v>
      </c>
      <c r="C157">
        <v>45543</v>
      </c>
      <c r="D157">
        <v>68368</v>
      </c>
    </row>
    <row r="158" spans="1:4" x14ac:dyDescent="0.2">
      <c r="A158" s="1" t="s">
        <v>343</v>
      </c>
      <c r="B158" s="1" t="s">
        <v>344</v>
      </c>
      <c r="C158">
        <v>35747</v>
      </c>
      <c r="D158">
        <v>40194</v>
      </c>
    </row>
    <row r="159" spans="1:4" x14ac:dyDescent="0.2">
      <c r="A159" s="1" t="s">
        <v>345</v>
      </c>
      <c r="B159" s="1" t="s">
        <v>346</v>
      </c>
      <c r="C159">
        <v>39615</v>
      </c>
      <c r="D159">
        <v>57263</v>
      </c>
    </row>
    <row r="160" spans="1:4" x14ac:dyDescent="0.2">
      <c r="A160" s="1" t="s">
        <v>347</v>
      </c>
      <c r="B160" s="1" t="s">
        <v>348</v>
      </c>
      <c r="C160">
        <v>37172</v>
      </c>
      <c r="D160">
        <v>50172</v>
      </c>
    </row>
    <row r="161" spans="1:4" x14ac:dyDescent="0.2">
      <c r="A161" s="1" t="s">
        <v>349</v>
      </c>
      <c r="B161" s="1" t="s">
        <v>350</v>
      </c>
      <c r="C161">
        <v>37805</v>
      </c>
      <c r="D161">
        <v>45438</v>
      </c>
    </row>
    <row r="162" spans="1:4" x14ac:dyDescent="0.2">
      <c r="A162" s="1" t="s">
        <v>351</v>
      </c>
      <c r="B162" s="1" t="s">
        <v>352</v>
      </c>
      <c r="C162">
        <v>28930</v>
      </c>
      <c r="D162">
        <v>30532</v>
      </c>
    </row>
    <row r="163" spans="1:4" x14ac:dyDescent="0.2">
      <c r="A163" s="1" t="s">
        <v>353</v>
      </c>
      <c r="B163" s="1" t="s">
        <v>354</v>
      </c>
      <c r="C163">
        <v>30920</v>
      </c>
      <c r="D163">
        <v>36368</v>
      </c>
    </row>
    <row r="164" spans="1:4" x14ac:dyDescent="0.2">
      <c r="A164" s="1" t="s">
        <v>355</v>
      </c>
      <c r="B164" s="1" t="s">
        <v>356</v>
      </c>
      <c r="C164">
        <v>28808</v>
      </c>
      <c r="D164">
        <v>31828</v>
      </c>
    </row>
    <row r="165" spans="1:4" x14ac:dyDescent="0.2">
      <c r="A165" s="1" t="s">
        <v>357</v>
      </c>
      <c r="B165" s="1" t="s">
        <v>358</v>
      </c>
      <c r="C165">
        <v>30581</v>
      </c>
      <c r="D165">
        <v>35557</v>
      </c>
    </row>
    <row r="166" spans="1:4" x14ac:dyDescent="0.2">
      <c r="A166" s="1" t="s">
        <v>359</v>
      </c>
      <c r="B166" s="1" t="s">
        <v>360</v>
      </c>
      <c r="C166">
        <v>28421</v>
      </c>
      <c r="D166">
        <v>32100</v>
      </c>
    </row>
    <row r="167" spans="1:4" x14ac:dyDescent="0.2">
      <c r="A167" s="1" t="s">
        <v>361</v>
      </c>
      <c r="B167" s="1" t="s">
        <v>362</v>
      </c>
      <c r="C167">
        <v>30421</v>
      </c>
      <c r="D167">
        <v>33723</v>
      </c>
    </row>
    <row r="168" spans="1:4" x14ac:dyDescent="0.2">
      <c r="A168" s="1" t="s">
        <v>363</v>
      </c>
      <c r="B168" s="1" t="s">
        <v>364</v>
      </c>
      <c r="C168">
        <v>32934</v>
      </c>
      <c r="D168">
        <v>35402</v>
      </c>
    </row>
    <row r="169" spans="1:4" x14ac:dyDescent="0.2">
      <c r="A169" s="1" t="s">
        <v>365</v>
      </c>
      <c r="B169" s="1" t="s">
        <v>366</v>
      </c>
      <c r="C169">
        <v>30118</v>
      </c>
      <c r="D169">
        <v>35961</v>
      </c>
    </row>
    <row r="170" spans="1:4" x14ac:dyDescent="0.2">
      <c r="A170" s="1" t="s">
        <v>367</v>
      </c>
      <c r="B170" s="1" t="s">
        <v>368</v>
      </c>
      <c r="C170">
        <v>30928</v>
      </c>
      <c r="D170">
        <v>35909</v>
      </c>
    </row>
    <row r="171" spans="1:4" x14ac:dyDescent="0.2">
      <c r="A171" s="1" t="s">
        <v>369</v>
      </c>
      <c r="B171" s="1" t="s">
        <v>370</v>
      </c>
      <c r="C171">
        <v>31507</v>
      </c>
      <c r="D171">
        <v>38259</v>
      </c>
    </row>
    <row r="172" spans="1:4" x14ac:dyDescent="0.2">
      <c r="A172" s="1" t="s">
        <v>371</v>
      </c>
      <c r="B172" s="1" t="s">
        <v>372</v>
      </c>
      <c r="C172">
        <v>30261</v>
      </c>
      <c r="D172">
        <v>34796</v>
      </c>
    </row>
    <row r="173" spans="1:4" x14ac:dyDescent="0.2">
      <c r="A173" s="1" t="s">
        <v>373</v>
      </c>
      <c r="B173" s="1" t="s">
        <v>374</v>
      </c>
      <c r="C173">
        <v>33437</v>
      </c>
      <c r="D173">
        <v>41126</v>
      </c>
    </row>
    <row r="174" spans="1:4" x14ac:dyDescent="0.2">
      <c r="A174" s="1" t="s">
        <v>375</v>
      </c>
      <c r="B174" s="1" t="s">
        <v>376</v>
      </c>
      <c r="C174">
        <v>44088</v>
      </c>
      <c r="D174">
        <v>71777</v>
      </c>
    </row>
    <row r="175" spans="1:4" x14ac:dyDescent="0.2">
      <c r="A175" s="1" t="s">
        <v>377</v>
      </c>
      <c r="B175" s="1" t="s">
        <v>378</v>
      </c>
      <c r="D175">
        <v>73082</v>
      </c>
    </row>
    <row r="176" spans="1:4" x14ac:dyDescent="0.2">
      <c r="A176" s="1" t="s">
        <v>379</v>
      </c>
      <c r="B176" s="1" t="s">
        <v>380</v>
      </c>
      <c r="C176">
        <v>40237</v>
      </c>
      <c r="D176">
        <v>51030</v>
      </c>
    </row>
    <row r="177" spans="1:4" x14ac:dyDescent="0.2">
      <c r="A177" s="1" t="s">
        <v>381</v>
      </c>
      <c r="B177" s="1" t="s">
        <v>382</v>
      </c>
      <c r="C177">
        <v>42811</v>
      </c>
      <c r="D177">
        <v>68907</v>
      </c>
    </row>
    <row r="178" spans="1:4" x14ac:dyDescent="0.2">
      <c r="A178" s="1" t="s">
        <v>383</v>
      </c>
      <c r="B178" s="1" t="s">
        <v>384</v>
      </c>
      <c r="C178">
        <v>37563</v>
      </c>
      <c r="D178">
        <v>44993</v>
      </c>
    </row>
    <row r="179" spans="1:4" x14ac:dyDescent="0.2">
      <c r="A179" s="1" t="s">
        <v>385</v>
      </c>
      <c r="B179" s="1" t="s">
        <v>386</v>
      </c>
      <c r="C179">
        <v>47411</v>
      </c>
      <c r="D179">
        <v>83641</v>
      </c>
    </row>
    <row r="180" spans="1:4" x14ac:dyDescent="0.2">
      <c r="A180" s="1" t="s">
        <v>387</v>
      </c>
      <c r="B180" s="1" t="s">
        <v>388</v>
      </c>
      <c r="C180">
        <v>46690</v>
      </c>
      <c r="D180">
        <v>114203</v>
      </c>
    </row>
    <row r="181" spans="1:4" x14ac:dyDescent="0.2">
      <c r="A181" s="1" t="s">
        <v>389</v>
      </c>
      <c r="B181" s="1" t="s">
        <v>390</v>
      </c>
      <c r="C181">
        <v>43666</v>
      </c>
      <c r="D181">
        <v>62733</v>
      </c>
    </row>
    <row r="182" spans="1:4" x14ac:dyDescent="0.2">
      <c r="A182" s="1" t="s">
        <v>391</v>
      </c>
      <c r="B182" s="1" t="s">
        <v>392</v>
      </c>
      <c r="C182">
        <v>39505</v>
      </c>
      <c r="D182">
        <v>47643</v>
      </c>
    </row>
    <row r="183" spans="1:4" x14ac:dyDescent="0.2">
      <c r="A183" s="1" t="s">
        <v>393</v>
      </c>
      <c r="B183" s="1" t="s">
        <v>394</v>
      </c>
      <c r="C183">
        <v>36080</v>
      </c>
      <c r="D183">
        <v>43724</v>
      </c>
    </row>
    <row r="184" spans="1:4" x14ac:dyDescent="0.2">
      <c r="A184" s="1" t="s">
        <v>395</v>
      </c>
      <c r="B184" s="1" t="s">
        <v>396</v>
      </c>
      <c r="C184">
        <v>43006</v>
      </c>
      <c r="D184">
        <v>56656</v>
      </c>
    </row>
    <row r="185" spans="1:4" x14ac:dyDescent="0.2">
      <c r="A185" s="1" t="s">
        <v>397</v>
      </c>
      <c r="B185" s="1" t="s">
        <v>398</v>
      </c>
      <c r="C185">
        <v>45183</v>
      </c>
      <c r="D185">
        <v>60317</v>
      </c>
    </row>
    <row r="186" spans="1:4" x14ac:dyDescent="0.2">
      <c r="A186" s="1" t="s">
        <v>399</v>
      </c>
      <c r="B186" s="1" t="s">
        <v>400</v>
      </c>
      <c r="C186">
        <v>49310</v>
      </c>
      <c r="D186">
        <v>81801</v>
      </c>
    </row>
    <row r="187" spans="1:4" x14ac:dyDescent="0.2">
      <c r="A187" s="1" t="s">
        <v>401</v>
      </c>
      <c r="B187" s="1" t="s">
        <v>402</v>
      </c>
      <c r="C187">
        <v>45172</v>
      </c>
      <c r="D187">
        <v>83196</v>
      </c>
    </row>
    <row r="188" spans="1:4" x14ac:dyDescent="0.2">
      <c r="A188" s="1" t="s">
        <v>403</v>
      </c>
      <c r="B188" s="1" t="s">
        <v>404</v>
      </c>
      <c r="C188">
        <v>32911</v>
      </c>
      <c r="D188">
        <v>35424</v>
      </c>
    </row>
    <row r="189" spans="1:4" x14ac:dyDescent="0.2">
      <c r="A189" s="1" t="s">
        <v>405</v>
      </c>
      <c r="B189" s="1" t="s">
        <v>406</v>
      </c>
      <c r="C189">
        <v>39239</v>
      </c>
      <c r="D189">
        <v>52160</v>
      </c>
    </row>
    <row r="190" spans="1:4" x14ac:dyDescent="0.2">
      <c r="A190" s="1" t="s">
        <v>407</v>
      </c>
      <c r="B190" s="1" t="s">
        <v>408</v>
      </c>
      <c r="C190">
        <v>36883</v>
      </c>
      <c r="D190">
        <v>44762</v>
      </c>
    </row>
    <row r="191" spans="1:4" x14ac:dyDescent="0.2">
      <c r="A191" s="1" t="s">
        <v>409</v>
      </c>
      <c r="B191" s="1" t="s">
        <v>410</v>
      </c>
      <c r="C191">
        <v>34871</v>
      </c>
      <c r="D191">
        <v>43550</v>
      </c>
    </row>
    <row r="192" spans="1:4" x14ac:dyDescent="0.2">
      <c r="A192" s="1" t="s">
        <v>411</v>
      </c>
      <c r="B192" s="1" t="s">
        <v>412</v>
      </c>
      <c r="C192">
        <v>43981</v>
      </c>
      <c r="D192">
        <v>58925</v>
      </c>
    </row>
    <row r="193" spans="1:4" x14ac:dyDescent="0.2">
      <c r="A193" s="1" t="s">
        <v>413</v>
      </c>
      <c r="B193" s="1" t="s">
        <v>414</v>
      </c>
      <c r="C193">
        <v>38080</v>
      </c>
      <c r="D193">
        <v>43961</v>
      </c>
    </row>
    <row r="194" spans="1:4" x14ac:dyDescent="0.2">
      <c r="A194" s="1" t="s">
        <v>415</v>
      </c>
      <c r="B194" s="1" t="s">
        <v>416</v>
      </c>
      <c r="C194">
        <v>35665</v>
      </c>
      <c r="D194">
        <v>45109</v>
      </c>
    </row>
    <row r="195" spans="1:4" x14ac:dyDescent="0.2">
      <c r="A195" s="1" t="s">
        <v>417</v>
      </c>
      <c r="B195" s="1" t="s">
        <v>418</v>
      </c>
      <c r="C195">
        <v>34962</v>
      </c>
      <c r="D195">
        <v>42206</v>
      </c>
    </row>
    <row r="196" spans="1:4" x14ac:dyDescent="0.2">
      <c r="A196" s="1" t="s">
        <v>419</v>
      </c>
      <c r="B196" s="1" t="s">
        <v>420</v>
      </c>
      <c r="C196">
        <v>39984</v>
      </c>
      <c r="D196" t="s">
        <v>330</v>
      </c>
    </row>
    <row r="197" spans="1:4" x14ac:dyDescent="0.2">
      <c r="A197" s="1" t="s">
        <v>421</v>
      </c>
      <c r="B197" s="1" t="s">
        <v>422</v>
      </c>
      <c r="C197">
        <v>36000</v>
      </c>
      <c r="D197">
        <v>51059</v>
      </c>
    </row>
    <row r="198" spans="1:4" x14ac:dyDescent="0.2">
      <c r="A198" s="1" t="s">
        <v>423</v>
      </c>
      <c r="B198" s="1" t="s">
        <v>424</v>
      </c>
      <c r="C198">
        <v>40726</v>
      </c>
      <c r="D198">
        <v>45725</v>
      </c>
    </row>
    <row r="199" spans="1:4" x14ac:dyDescent="0.2">
      <c r="A199" s="1" t="s">
        <v>425</v>
      </c>
      <c r="B199" s="1" t="s">
        <v>426</v>
      </c>
      <c r="C199">
        <v>36429</v>
      </c>
      <c r="D199">
        <v>47268</v>
      </c>
    </row>
    <row r="200" spans="1:4" x14ac:dyDescent="0.2">
      <c r="A200" s="1" t="s">
        <v>427</v>
      </c>
      <c r="B200" s="1" t="s">
        <v>428</v>
      </c>
      <c r="C200">
        <v>35301</v>
      </c>
      <c r="D200">
        <v>42735</v>
      </c>
    </row>
    <row r="201" spans="1:4" x14ac:dyDescent="0.2">
      <c r="A201" s="1" t="s">
        <v>429</v>
      </c>
      <c r="B201" s="1" t="s">
        <v>430</v>
      </c>
      <c r="C201">
        <v>41833</v>
      </c>
      <c r="D201">
        <v>53447</v>
      </c>
    </row>
    <row r="202" spans="1:4" x14ac:dyDescent="0.2">
      <c r="A202" s="1" t="s">
        <v>431</v>
      </c>
      <c r="B202" s="1" t="s">
        <v>432</v>
      </c>
      <c r="C202">
        <v>43507</v>
      </c>
      <c r="D202">
        <v>61843</v>
      </c>
    </row>
    <row r="203" spans="1:4" x14ac:dyDescent="0.2">
      <c r="A203" s="1" t="s">
        <v>433</v>
      </c>
      <c r="B203" s="1" t="s">
        <v>434</v>
      </c>
      <c r="C203">
        <v>37190</v>
      </c>
      <c r="D203">
        <v>45882</v>
      </c>
    </row>
    <row r="204" spans="1:4" x14ac:dyDescent="0.2">
      <c r="A204" s="1" t="s">
        <v>435</v>
      </c>
      <c r="B204" s="1" t="s">
        <v>436</v>
      </c>
      <c r="C204">
        <v>46594</v>
      </c>
      <c r="D204">
        <v>75590</v>
      </c>
    </row>
    <row r="205" spans="1:4" x14ac:dyDescent="0.2">
      <c r="A205" s="1" t="s">
        <v>437</v>
      </c>
      <c r="B205" s="1" t="s">
        <v>438</v>
      </c>
      <c r="C205">
        <v>38359</v>
      </c>
      <c r="D205">
        <v>46228</v>
      </c>
    </row>
    <row r="206" spans="1:4" x14ac:dyDescent="0.2">
      <c r="A206" s="1" t="s">
        <v>439</v>
      </c>
      <c r="B206" s="1" t="s">
        <v>440</v>
      </c>
      <c r="C206">
        <v>37971</v>
      </c>
      <c r="D206">
        <v>45514</v>
      </c>
    </row>
    <row r="207" spans="1:4" x14ac:dyDescent="0.2">
      <c r="A207" s="1" t="s">
        <v>441</v>
      </c>
      <c r="B207" s="1" t="s">
        <v>442</v>
      </c>
      <c r="C207">
        <v>36067</v>
      </c>
      <c r="D207">
        <v>42373</v>
      </c>
    </row>
    <row r="208" spans="1:4" x14ac:dyDescent="0.2">
      <c r="A208" s="1" t="s">
        <v>443</v>
      </c>
      <c r="B208" s="1" t="s">
        <v>444</v>
      </c>
      <c r="C208">
        <v>33506</v>
      </c>
      <c r="D208">
        <v>40737</v>
      </c>
    </row>
    <row r="209" spans="1:4" x14ac:dyDescent="0.2">
      <c r="A209" s="1" t="s">
        <v>445</v>
      </c>
      <c r="B209" s="1" t="s">
        <v>446</v>
      </c>
      <c r="C209">
        <v>35937</v>
      </c>
      <c r="D209">
        <v>47678</v>
      </c>
    </row>
    <row r="210" spans="1:4" x14ac:dyDescent="0.2">
      <c r="A210" s="1" t="s">
        <v>447</v>
      </c>
      <c r="B210" s="1" t="s">
        <v>448</v>
      </c>
      <c r="C210">
        <v>26740</v>
      </c>
      <c r="D210">
        <v>30870</v>
      </c>
    </row>
    <row r="211" spans="1:4" x14ac:dyDescent="0.2">
      <c r="A211" s="1" t="s">
        <v>449</v>
      </c>
      <c r="B211" s="1" t="s">
        <v>450</v>
      </c>
      <c r="C211">
        <v>33857</v>
      </c>
      <c r="D211">
        <v>38918</v>
      </c>
    </row>
    <row r="212" spans="1:4" x14ac:dyDescent="0.2">
      <c r="A212" s="1" t="s">
        <v>451</v>
      </c>
      <c r="B212" s="1" t="s">
        <v>452</v>
      </c>
      <c r="C212">
        <v>36061</v>
      </c>
      <c r="D212">
        <v>43295</v>
      </c>
    </row>
    <row r="213" spans="1:4" x14ac:dyDescent="0.2">
      <c r="A213" s="1" t="s">
        <v>453</v>
      </c>
      <c r="B213" s="1" t="s">
        <v>454</v>
      </c>
      <c r="C213">
        <v>30962</v>
      </c>
      <c r="D213">
        <v>38637</v>
      </c>
    </row>
    <row r="214" spans="1:4" x14ac:dyDescent="0.2">
      <c r="A214" s="1" t="s">
        <v>455</v>
      </c>
      <c r="B214" s="1" t="s">
        <v>456</v>
      </c>
      <c r="C214">
        <v>35454</v>
      </c>
      <c r="D214">
        <v>43720</v>
      </c>
    </row>
    <row r="215" spans="1:4" x14ac:dyDescent="0.2">
      <c r="A215" s="1" t="s">
        <v>457</v>
      </c>
      <c r="B215" s="1" t="s">
        <v>458</v>
      </c>
      <c r="C215">
        <v>35521</v>
      </c>
      <c r="D215">
        <v>39266</v>
      </c>
    </row>
    <row r="216" spans="1:4" x14ac:dyDescent="0.2">
      <c r="A216" s="1" t="s">
        <v>459</v>
      </c>
      <c r="B216" s="1" t="s">
        <v>460</v>
      </c>
      <c r="C216">
        <v>32907</v>
      </c>
      <c r="D216">
        <v>34762</v>
      </c>
    </row>
    <row r="217" spans="1:4" x14ac:dyDescent="0.2">
      <c r="A217" s="1" t="s">
        <v>461</v>
      </c>
      <c r="B217" s="1" t="s">
        <v>462</v>
      </c>
      <c r="C217">
        <v>38513</v>
      </c>
      <c r="D217">
        <v>46287</v>
      </c>
    </row>
    <row r="218" spans="1:4" x14ac:dyDescent="0.2">
      <c r="A218" s="1" t="s">
        <v>463</v>
      </c>
      <c r="B218" s="1" t="s">
        <v>464</v>
      </c>
      <c r="C218">
        <v>37653</v>
      </c>
      <c r="D218">
        <v>57666</v>
      </c>
    </row>
    <row r="219" spans="1:4" x14ac:dyDescent="0.2">
      <c r="A219" s="1" t="s">
        <v>465</v>
      </c>
      <c r="B219" s="1" t="s">
        <v>466</v>
      </c>
      <c r="C219">
        <v>43538</v>
      </c>
      <c r="D219">
        <v>57185</v>
      </c>
    </row>
    <row r="220" spans="1:4" x14ac:dyDescent="0.2">
      <c r="A220" s="1" t="s">
        <v>467</v>
      </c>
      <c r="B220" s="1" t="s">
        <v>468</v>
      </c>
      <c r="C220">
        <v>31199</v>
      </c>
      <c r="D220">
        <v>35208</v>
      </c>
    </row>
    <row r="221" spans="1:4" x14ac:dyDescent="0.2">
      <c r="A221" s="1" t="s">
        <v>469</v>
      </c>
      <c r="B221" s="1" t="s">
        <v>470</v>
      </c>
      <c r="C221">
        <v>29323</v>
      </c>
      <c r="D221">
        <v>30899</v>
      </c>
    </row>
    <row r="222" spans="1:4" x14ac:dyDescent="0.2">
      <c r="A222" s="1" t="s">
        <v>471</v>
      </c>
      <c r="B222" s="1" t="s">
        <v>472</v>
      </c>
      <c r="C222">
        <v>33088</v>
      </c>
      <c r="D222">
        <v>36401</v>
      </c>
    </row>
    <row r="223" spans="1:4" x14ac:dyDescent="0.2">
      <c r="A223" s="1" t="s">
        <v>473</v>
      </c>
      <c r="B223" s="1" t="s">
        <v>474</v>
      </c>
      <c r="C223">
        <v>30790</v>
      </c>
      <c r="D223">
        <v>41055</v>
      </c>
    </row>
    <row r="224" spans="1:4" x14ac:dyDescent="0.2">
      <c r="A224" s="1" t="s">
        <v>475</v>
      </c>
      <c r="B224" s="1" t="s">
        <v>476</v>
      </c>
      <c r="C224">
        <v>33376</v>
      </c>
      <c r="D224">
        <v>43375</v>
      </c>
    </row>
    <row r="225" spans="1:4" x14ac:dyDescent="0.2">
      <c r="A225" s="1" t="s">
        <v>477</v>
      </c>
      <c r="B225" s="1" t="s">
        <v>478</v>
      </c>
      <c r="C225">
        <v>39279</v>
      </c>
      <c r="D225">
        <v>49677</v>
      </c>
    </row>
    <row r="226" spans="1:4" x14ac:dyDescent="0.2">
      <c r="A226" s="1" t="s">
        <v>479</v>
      </c>
      <c r="B226" s="1" t="s">
        <v>480</v>
      </c>
      <c r="C226">
        <v>39682</v>
      </c>
      <c r="D226" t="s">
        <v>330</v>
      </c>
    </row>
    <row r="227" spans="1:4" x14ac:dyDescent="0.2">
      <c r="A227" s="1" t="s">
        <v>481</v>
      </c>
      <c r="B227" s="1" t="s">
        <v>482</v>
      </c>
      <c r="C227">
        <v>34474</v>
      </c>
      <c r="D227">
        <v>42934</v>
      </c>
    </row>
    <row r="228" spans="1:4" x14ac:dyDescent="0.2">
      <c r="A228" s="1" t="s">
        <v>483</v>
      </c>
      <c r="B228" s="1" t="s">
        <v>484</v>
      </c>
      <c r="C228">
        <v>38851</v>
      </c>
      <c r="D228">
        <v>46340</v>
      </c>
    </row>
    <row r="229" spans="1:4" x14ac:dyDescent="0.2">
      <c r="A229" s="1" t="s">
        <v>485</v>
      </c>
      <c r="B229" s="1" t="s">
        <v>486</v>
      </c>
      <c r="C229">
        <v>34256</v>
      </c>
      <c r="D229">
        <v>36257</v>
      </c>
    </row>
    <row r="230" spans="1:4" x14ac:dyDescent="0.2">
      <c r="A230" s="1" t="s">
        <v>487</v>
      </c>
      <c r="B230" s="1" t="s">
        <v>488</v>
      </c>
      <c r="C230">
        <v>39341</v>
      </c>
      <c r="D230">
        <v>49445</v>
      </c>
    </row>
    <row r="231" spans="1:4" x14ac:dyDescent="0.2">
      <c r="A231" s="1" t="s">
        <v>489</v>
      </c>
      <c r="B231" s="1" t="s">
        <v>490</v>
      </c>
      <c r="C231">
        <v>30819</v>
      </c>
      <c r="D231">
        <v>35925</v>
      </c>
    </row>
    <row r="232" spans="1:4" x14ac:dyDescent="0.2">
      <c r="A232" s="1" t="s">
        <v>491</v>
      </c>
      <c r="B232" s="1" t="s">
        <v>492</v>
      </c>
      <c r="C232">
        <v>31344</v>
      </c>
      <c r="D232">
        <v>37271</v>
      </c>
    </row>
    <row r="233" spans="1:4" x14ac:dyDescent="0.2">
      <c r="A233" s="1" t="s">
        <v>493</v>
      </c>
      <c r="B233" s="1" t="s">
        <v>494</v>
      </c>
      <c r="C233">
        <v>33734</v>
      </c>
      <c r="D233">
        <v>38122</v>
      </c>
    </row>
    <row r="234" spans="1:4" x14ac:dyDescent="0.2">
      <c r="A234" s="1" t="s">
        <v>495</v>
      </c>
      <c r="B234" s="1" t="s">
        <v>496</v>
      </c>
      <c r="C234">
        <v>35314</v>
      </c>
      <c r="D234">
        <v>41780</v>
      </c>
    </row>
    <row r="235" spans="1:4" x14ac:dyDescent="0.2">
      <c r="A235" s="1" t="s">
        <v>497</v>
      </c>
      <c r="B235" s="1" t="s">
        <v>498</v>
      </c>
      <c r="C235">
        <v>38352</v>
      </c>
      <c r="D235" t="s">
        <v>330</v>
      </c>
    </row>
    <row r="236" spans="1:4" x14ac:dyDescent="0.2">
      <c r="A236" s="1" t="s">
        <v>499</v>
      </c>
      <c r="B236" s="1" t="s">
        <v>500</v>
      </c>
      <c r="C236">
        <v>32991</v>
      </c>
      <c r="D236">
        <v>39399</v>
      </c>
    </row>
    <row r="237" spans="1:4" x14ac:dyDescent="0.2">
      <c r="A237" s="1" t="s">
        <v>501</v>
      </c>
      <c r="B237" s="1" t="s">
        <v>502</v>
      </c>
      <c r="C237">
        <v>30188</v>
      </c>
      <c r="D237">
        <v>36528</v>
      </c>
    </row>
    <row r="238" spans="1:4" x14ac:dyDescent="0.2">
      <c r="A238" s="1" t="s">
        <v>503</v>
      </c>
      <c r="B238" s="1" t="s">
        <v>504</v>
      </c>
      <c r="C238">
        <v>36210</v>
      </c>
      <c r="D238">
        <v>43786</v>
      </c>
    </row>
    <row r="239" spans="1:4" x14ac:dyDescent="0.2">
      <c r="A239" s="1" t="s">
        <v>505</v>
      </c>
      <c r="B239" s="1" t="s">
        <v>506</v>
      </c>
      <c r="C239">
        <v>33704</v>
      </c>
      <c r="D239">
        <v>37963</v>
      </c>
    </row>
    <row r="240" spans="1:4" x14ac:dyDescent="0.2">
      <c r="A240" s="1" t="s">
        <v>507</v>
      </c>
      <c r="B240" s="1" t="s">
        <v>508</v>
      </c>
      <c r="C240">
        <v>35065</v>
      </c>
      <c r="D240">
        <v>40172</v>
      </c>
    </row>
    <row r="241" spans="1:4" x14ac:dyDescent="0.2">
      <c r="A241" s="1" t="s">
        <v>509</v>
      </c>
      <c r="B241" s="1" t="s">
        <v>510</v>
      </c>
      <c r="C241">
        <v>34151</v>
      </c>
      <c r="D241">
        <v>40535</v>
      </c>
    </row>
    <row r="242" spans="1:4" x14ac:dyDescent="0.2">
      <c r="A242" s="1" t="s">
        <v>511</v>
      </c>
      <c r="B242" s="1" t="s">
        <v>512</v>
      </c>
      <c r="C242">
        <v>34969</v>
      </c>
      <c r="D242">
        <v>50441</v>
      </c>
    </row>
    <row r="243" spans="1:4" x14ac:dyDescent="0.2">
      <c r="A243" s="1" t="s">
        <v>513</v>
      </c>
      <c r="B243" s="1" t="s">
        <v>514</v>
      </c>
      <c r="C243">
        <v>33355</v>
      </c>
      <c r="D243">
        <v>36868</v>
      </c>
    </row>
    <row r="244" spans="1:4" x14ac:dyDescent="0.2">
      <c r="A244" s="1" t="s">
        <v>515</v>
      </c>
      <c r="B244" s="1" t="s">
        <v>516</v>
      </c>
      <c r="C244">
        <v>33647</v>
      </c>
      <c r="D244">
        <v>38181</v>
      </c>
    </row>
    <row r="245" spans="1:4" x14ac:dyDescent="0.2">
      <c r="A245" s="1" t="s">
        <v>517</v>
      </c>
      <c r="B245" s="1" t="s">
        <v>518</v>
      </c>
      <c r="C245">
        <v>28323</v>
      </c>
      <c r="D245">
        <v>35816</v>
      </c>
    </row>
    <row r="246" spans="1:4" x14ac:dyDescent="0.2">
      <c r="A246" s="1" t="s">
        <v>519</v>
      </c>
      <c r="B246" s="1" t="s">
        <v>520</v>
      </c>
      <c r="C246">
        <v>35106</v>
      </c>
      <c r="D246">
        <v>47335</v>
      </c>
    </row>
    <row r="247" spans="1:4" x14ac:dyDescent="0.2">
      <c r="A247" s="1" t="s">
        <v>521</v>
      </c>
      <c r="B247" s="1" t="s">
        <v>522</v>
      </c>
      <c r="C247">
        <v>35319</v>
      </c>
      <c r="D247">
        <v>55601</v>
      </c>
    </row>
    <row r="248" spans="1:4" x14ac:dyDescent="0.2">
      <c r="A248" s="1" t="s">
        <v>523</v>
      </c>
      <c r="B248" s="1" t="s">
        <v>524</v>
      </c>
      <c r="C248">
        <v>36568</v>
      </c>
      <c r="D248">
        <v>43315</v>
      </c>
    </row>
    <row r="249" spans="1:4" x14ac:dyDescent="0.2">
      <c r="A249" s="1" t="s">
        <v>525</v>
      </c>
      <c r="B249" s="1" t="s">
        <v>526</v>
      </c>
      <c r="C249">
        <v>36517</v>
      </c>
      <c r="D249">
        <v>41516</v>
      </c>
    </row>
    <row r="250" spans="1:4" x14ac:dyDescent="0.2">
      <c r="A250" s="1" t="s">
        <v>527</v>
      </c>
      <c r="B250" s="1" t="s">
        <v>528</v>
      </c>
      <c r="C250">
        <v>43026</v>
      </c>
      <c r="D250">
        <v>62328</v>
      </c>
    </row>
    <row r="251" spans="1:4" x14ac:dyDescent="0.2">
      <c r="A251" s="1" t="s">
        <v>529</v>
      </c>
      <c r="B251" s="1" t="s">
        <v>530</v>
      </c>
      <c r="C251">
        <v>38859</v>
      </c>
      <c r="D251">
        <v>46710</v>
      </c>
    </row>
    <row r="252" spans="1:4" x14ac:dyDescent="0.2">
      <c r="A252" s="1" t="s">
        <v>531</v>
      </c>
      <c r="B252" s="1" t="s">
        <v>532</v>
      </c>
      <c r="C252">
        <v>35388</v>
      </c>
      <c r="D252">
        <v>41932</v>
      </c>
    </row>
    <row r="253" spans="1:4" x14ac:dyDescent="0.2">
      <c r="A253" s="1" t="s">
        <v>533</v>
      </c>
      <c r="B253" s="1" t="s">
        <v>534</v>
      </c>
      <c r="C253">
        <v>42607</v>
      </c>
      <c r="D253">
        <v>79026</v>
      </c>
    </row>
    <row r="254" spans="1:4" x14ac:dyDescent="0.2">
      <c r="A254" s="1" t="s">
        <v>535</v>
      </c>
      <c r="B254" s="1" t="s">
        <v>536</v>
      </c>
      <c r="C254">
        <v>43006</v>
      </c>
      <c r="D254">
        <v>56209</v>
      </c>
    </row>
    <row r="255" spans="1:4" x14ac:dyDescent="0.2">
      <c r="A255" s="1" t="s">
        <v>537</v>
      </c>
      <c r="B255" s="1" t="s">
        <v>538</v>
      </c>
      <c r="C255">
        <v>39985</v>
      </c>
      <c r="D255">
        <v>54626</v>
      </c>
    </row>
    <row r="256" spans="1:4" x14ac:dyDescent="0.2">
      <c r="A256" s="1" t="s">
        <v>539</v>
      </c>
      <c r="B256" s="1" t="s">
        <v>540</v>
      </c>
      <c r="C256">
        <v>35341</v>
      </c>
      <c r="D256">
        <v>44039</v>
      </c>
    </row>
    <row r="257" spans="1:4" x14ac:dyDescent="0.2">
      <c r="A257" s="1" t="s">
        <v>541</v>
      </c>
      <c r="B257" s="1" t="s">
        <v>542</v>
      </c>
      <c r="C257">
        <v>40014</v>
      </c>
      <c r="D257">
        <v>49833</v>
      </c>
    </row>
    <row r="258" spans="1:4" x14ac:dyDescent="0.2">
      <c r="A258" s="1" t="s">
        <v>543</v>
      </c>
      <c r="B258" s="1" t="s">
        <v>544</v>
      </c>
      <c r="C258">
        <v>42203</v>
      </c>
      <c r="D258">
        <v>48025</v>
      </c>
    </row>
    <row r="259" spans="1:4" x14ac:dyDescent="0.2">
      <c r="A259" s="1" t="s">
        <v>545</v>
      </c>
      <c r="B259" s="1" t="s">
        <v>546</v>
      </c>
      <c r="C259">
        <v>37918</v>
      </c>
      <c r="D259">
        <v>45983</v>
      </c>
    </row>
    <row r="260" spans="1:4" x14ac:dyDescent="0.2">
      <c r="A260" s="1" t="s">
        <v>547</v>
      </c>
      <c r="B260" s="1" t="s">
        <v>548</v>
      </c>
      <c r="C260">
        <v>37793</v>
      </c>
      <c r="D260" t="s">
        <v>330</v>
      </c>
    </row>
    <row r="261" spans="1:4" x14ac:dyDescent="0.2">
      <c r="A261" s="1" t="s">
        <v>549</v>
      </c>
      <c r="B261" s="1" t="s">
        <v>550</v>
      </c>
      <c r="C261">
        <v>33316</v>
      </c>
      <c r="D261">
        <v>42974</v>
      </c>
    </row>
    <row r="262" spans="1:4" x14ac:dyDescent="0.2">
      <c r="A262" s="1" t="s">
        <v>551</v>
      </c>
      <c r="B262" s="1" t="s">
        <v>552</v>
      </c>
      <c r="C262">
        <v>42326</v>
      </c>
      <c r="D262">
        <v>63557</v>
      </c>
    </row>
    <row r="263" spans="1:4" x14ac:dyDescent="0.2">
      <c r="A263" s="1" t="s">
        <v>553</v>
      </c>
      <c r="B263" s="1" t="s">
        <v>554</v>
      </c>
      <c r="C263">
        <v>38172</v>
      </c>
      <c r="D263">
        <v>43753</v>
      </c>
    </row>
    <row r="264" spans="1:4" x14ac:dyDescent="0.2">
      <c r="A264" s="1" t="s">
        <v>555</v>
      </c>
      <c r="B264" s="1" t="s">
        <v>556</v>
      </c>
      <c r="C264">
        <v>30217</v>
      </c>
      <c r="D264">
        <v>37627</v>
      </c>
    </row>
    <row r="265" spans="1:4" x14ac:dyDescent="0.2">
      <c r="A265" s="1" t="s">
        <v>557</v>
      </c>
      <c r="B265" s="1" t="s">
        <v>558</v>
      </c>
      <c r="C265">
        <v>29809</v>
      </c>
      <c r="D265">
        <v>34472</v>
      </c>
    </row>
    <row r="266" spans="1:4" x14ac:dyDescent="0.2">
      <c r="A266" s="1" t="s">
        <v>559</v>
      </c>
      <c r="B266" s="1" t="s">
        <v>560</v>
      </c>
      <c r="C266">
        <v>28585</v>
      </c>
      <c r="D266">
        <v>35844</v>
      </c>
    </row>
    <row r="267" spans="1:4" x14ac:dyDescent="0.2">
      <c r="A267" s="1" t="s">
        <v>561</v>
      </c>
      <c r="B267" s="1" t="s">
        <v>562</v>
      </c>
      <c r="C267">
        <v>34225</v>
      </c>
      <c r="D267">
        <v>40739</v>
      </c>
    </row>
    <row r="268" spans="1:4" x14ac:dyDescent="0.2">
      <c r="A268" s="1" t="s">
        <v>563</v>
      </c>
      <c r="B268" s="1" t="s">
        <v>564</v>
      </c>
      <c r="C268">
        <v>36448</v>
      </c>
      <c r="D268">
        <v>43523</v>
      </c>
    </row>
    <row r="269" spans="1:4" x14ac:dyDescent="0.2">
      <c r="A269" s="1" t="s">
        <v>565</v>
      </c>
      <c r="B269" s="1" t="s">
        <v>566</v>
      </c>
      <c r="C269">
        <v>37705</v>
      </c>
      <c r="D269">
        <v>43857</v>
      </c>
    </row>
    <row r="270" spans="1:4" x14ac:dyDescent="0.2">
      <c r="A270" s="1" t="s">
        <v>567</v>
      </c>
      <c r="B270" s="1" t="s">
        <v>568</v>
      </c>
      <c r="C270">
        <v>32823</v>
      </c>
      <c r="D270">
        <v>37267</v>
      </c>
    </row>
    <row r="271" spans="1:4" x14ac:dyDescent="0.2">
      <c r="A271" s="1" t="s">
        <v>569</v>
      </c>
      <c r="B271" s="1" t="s">
        <v>570</v>
      </c>
      <c r="C271">
        <v>32481</v>
      </c>
      <c r="D271">
        <v>43277</v>
      </c>
    </row>
    <row r="272" spans="1:4" x14ac:dyDescent="0.2">
      <c r="A272" s="1" t="s">
        <v>571</v>
      </c>
      <c r="B272" s="1" t="s">
        <v>572</v>
      </c>
      <c r="C272">
        <v>31848</v>
      </c>
      <c r="D272">
        <v>36636</v>
      </c>
    </row>
    <row r="273" spans="1:4" x14ac:dyDescent="0.2">
      <c r="A273" s="1" t="s">
        <v>573</v>
      </c>
      <c r="B273" s="1" t="s">
        <v>574</v>
      </c>
      <c r="C273">
        <v>34051</v>
      </c>
      <c r="D273">
        <v>38617</v>
      </c>
    </row>
    <row r="274" spans="1:4" x14ac:dyDescent="0.2">
      <c r="A274" s="1" t="s">
        <v>575</v>
      </c>
      <c r="B274" s="1" t="s">
        <v>576</v>
      </c>
      <c r="C274">
        <v>31444</v>
      </c>
      <c r="D274">
        <v>35349</v>
      </c>
    </row>
    <row r="275" spans="1:4" x14ac:dyDescent="0.2">
      <c r="A275" s="1" t="s">
        <v>577</v>
      </c>
      <c r="B275" s="1" t="s">
        <v>578</v>
      </c>
      <c r="C275">
        <v>32996</v>
      </c>
      <c r="D275">
        <v>38742</v>
      </c>
    </row>
    <row r="276" spans="1:4" x14ac:dyDescent="0.2">
      <c r="A276" s="1" t="s">
        <v>579</v>
      </c>
      <c r="B276" s="1" t="s">
        <v>580</v>
      </c>
      <c r="C276">
        <v>28992</v>
      </c>
      <c r="D276">
        <v>32435</v>
      </c>
    </row>
    <row r="277" spans="1:4" x14ac:dyDescent="0.2">
      <c r="A277" s="1" t="s">
        <v>581</v>
      </c>
      <c r="B277" s="1" t="s">
        <v>582</v>
      </c>
      <c r="C277">
        <v>35002</v>
      </c>
      <c r="D277">
        <v>38727</v>
      </c>
    </row>
    <row r="278" spans="1:4" x14ac:dyDescent="0.2">
      <c r="A278" s="1" t="s">
        <v>583</v>
      </c>
      <c r="B278" s="1" t="s">
        <v>584</v>
      </c>
      <c r="C278">
        <v>33135</v>
      </c>
      <c r="D278">
        <v>38087</v>
      </c>
    </row>
    <row r="279" spans="1:4" x14ac:dyDescent="0.2">
      <c r="A279" s="1" t="s">
        <v>585</v>
      </c>
      <c r="B279" s="1" t="s">
        <v>586</v>
      </c>
      <c r="C279">
        <v>28963</v>
      </c>
      <c r="D279">
        <v>33069</v>
      </c>
    </row>
    <row r="280" spans="1:4" x14ac:dyDescent="0.2">
      <c r="A280" s="1" t="s">
        <v>587</v>
      </c>
      <c r="B280" s="1" t="s">
        <v>588</v>
      </c>
      <c r="C280">
        <v>28210</v>
      </c>
      <c r="D280">
        <v>31433</v>
      </c>
    </row>
    <row r="281" spans="1:4" x14ac:dyDescent="0.2">
      <c r="A281" s="1" t="s">
        <v>589</v>
      </c>
      <c r="B281" s="1" t="s">
        <v>590</v>
      </c>
      <c r="D281">
        <v>30355</v>
      </c>
    </row>
    <row r="282" spans="1:4" x14ac:dyDescent="0.2">
      <c r="A282" s="1" t="s">
        <v>591</v>
      </c>
      <c r="B282" s="1" t="s">
        <v>592</v>
      </c>
      <c r="C282">
        <v>31873</v>
      </c>
      <c r="D282">
        <v>38222</v>
      </c>
    </row>
    <row r="283" spans="1:4" x14ac:dyDescent="0.2">
      <c r="A283" s="1" t="s">
        <v>593</v>
      </c>
      <c r="B283" s="1" t="s">
        <v>594</v>
      </c>
      <c r="C283">
        <v>32154</v>
      </c>
      <c r="D283">
        <v>35950</v>
      </c>
    </row>
    <row r="284" spans="1:4" x14ac:dyDescent="0.2">
      <c r="A284" s="1" t="s">
        <v>595</v>
      </c>
      <c r="B284" s="1" t="s">
        <v>596</v>
      </c>
      <c r="C284">
        <v>29531</v>
      </c>
      <c r="D284">
        <v>32967</v>
      </c>
    </row>
    <row r="285" spans="1:4" x14ac:dyDescent="0.2">
      <c r="A285" s="1" t="s">
        <v>597</v>
      </c>
      <c r="B285" s="1" t="s">
        <v>598</v>
      </c>
      <c r="C285">
        <v>31908</v>
      </c>
      <c r="D285">
        <v>33036</v>
      </c>
    </row>
    <row r="286" spans="1:4" x14ac:dyDescent="0.2">
      <c r="A286" s="1" t="s">
        <v>599</v>
      </c>
      <c r="B286" s="1" t="s">
        <v>600</v>
      </c>
      <c r="C286">
        <v>28386</v>
      </c>
      <c r="D286">
        <v>30317</v>
      </c>
    </row>
    <row r="287" spans="1:4" x14ac:dyDescent="0.2">
      <c r="A287" s="1" t="s">
        <v>601</v>
      </c>
      <c r="B287" s="1" t="s">
        <v>602</v>
      </c>
      <c r="C287">
        <v>29721</v>
      </c>
      <c r="D287">
        <v>33638</v>
      </c>
    </row>
    <row r="288" spans="1:4" x14ac:dyDescent="0.2">
      <c r="A288" s="1" t="s">
        <v>603</v>
      </c>
      <c r="B288" s="1" t="s">
        <v>604</v>
      </c>
      <c r="C288">
        <v>28911</v>
      </c>
      <c r="D288">
        <v>33150</v>
      </c>
    </row>
    <row r="289" spans="1:4" x14ac:dyDescent="0.2">
      <c r="A289" s="1" t="s">
        <v>605</v>
      </c>
      <c r="B289" s="1" t="s">
        <v>606</v>
      </c>
      <c r="C289">
        <v>28752</v>
      </c>
      <c r="D289">
        <v>30037</v>
      </c>
    </row>
    <row r="290" spans="1:4" x14ac:dyDescent="0.2">
      <c r="A290" s="1" t="s">
        <v>607</v>
      </c>
      <c r="B290" s="1" t="s">
        <v>608</v>
      </c>
      <c r="C290">
        <v>26556</v>
      </c>
      <c r="D290">
        <v>31371</v>
      </c>
    </row>
    <row r="291" spans="1:4" x14ac:dyDescent="0.2">
      <c r="A291" s="1" t="s">
        <v>609</v>
      </c>
      <c r="B291" s="1" t="s">
        <v>610</v>
      </c>
      <c r="C291">
        <v>36014</v>
      </c>
      <c r="D291">
        <v>41041</v>
      </c>
    </row>
    <row r="292" spans="1:4" x14ac:dyDescent="0.2">
      <c r="A292" s="1" t="s">
        <v>611</v>
      </c>
      <c r="B292" s="1" t="s">
        <v>612</v>
      </c>
      <c r="C292">
        <v>32927</v>
      </c>
      <c r="D292">
        <v>39671</v>
      </c>
    </row>
    <row r="293" spans="1:4" x14ac:dyDescent="0.2">
      <c r="A293" s="1" t="s">
        <v>613</v>
      </c>
      <c r="B293" s="1" t="s">
        <v>614</v>
      </c>
      <c r="C293">
        <v>36589</v>
      </c>
      <c r="D293">
        <v>37511</v>
      </c>
    </row>
    <row r="294" spans="1:4" x14ac:dyDescent="0.2">
      <c r="A294" s="1" t="s">
        <v>615</v>
      </c>
      <c r="B294" s="1" t="s">
        <v>616</v>
      </c>
      <c r="C294">
        <v>30455</v>
      </c>
      <c r="D294">
        <v>32734</v>
      </c>
    </row>
    <row r="295" spans="1:4" x14ac:dyDescent="0.2">
      <c r="A295" s="1" t="s">
        <v>617</v>
      </c>
      <c r="B295" s="1" t="s">
        <v>618</v>
      </c>
      <c r="C295">
        <v>33495</v>
      </c>
      <c r="D295">
        <v>36741</v>
      </c>
    </row>
    <row r="296" spans="1:4" x14ac:dyDescent="0.2">
      <c r="A296" s="1" t="s">
        <v>619</v>
      </c>
      <c r="B296" s="1" t="s">
        <v>620</v>
      </c>
      <c r="C296">
        <v>31603</v>
      </c>
      <c r="D296">
        <v>36653</v>
      </c>
    </row>
    <row r="297" spans="1:4" x14ac:dyDescent="0.2">
      <c r="A297" s="1" t="s">
        <v>621</v>
      </c>
      <c r="B297" s="1" t="s">
        <v>622</v>
      </c>
      <c r="C297">
        <v>29908</v>
      </c>
      <c r="D297">
        <v>34571</v>
      </c>
    </row>
    <row r="298" spans="1:4" x14ac:dyDescent="0.2">
      <c r="A298" s="1" t="s">
        <v>623</v>
      </c>
      <c r="B298" s="1" t="s">
        <v>624</v>
      </c>
      <c r="C298">
        <v>29944</v>
      </c>
      <c r="D298">
        <v>31656</v>
      </c>
    </row>
    <row r="299" spans="1:4" x14ac:dyDescent="0.2">
      <c r="A299" s="1" t="s">
        <v>625</v>
      </c>
      <c r="B299" s="1" t="s">
        <v>626</v>
      </c>
      <c r="C299">
        <v>25179</v>
      </c>
      <c r="D299">
        <v>29318</v>
      </c>
    </row>
    <row r="300" spans="1:4" x14ac:dyDescent="0.2">
      <c r="A300" s="1" t="s">
        <v>627</v>
      </c>
      <c r="B300" s="1" t="s">
        <v>628</v>
      </c>
      <c r="C300">
        <v>28113</v>
      </c>
      <c r="D300">
        <v>33674</v>
      </c>
    </row>
    <row r="301" spans="1:4" x14ac:dyDescent="0.2">
      <c r="A301" s="1" t="s">
        <v>629</v>
      </c>
      <c r="B301" s="1" t="s">
        <v>630</v>
      </c>
      <c r="C301">
        <v>26812</v>
      </c>
      <c r="D301">
        <v>29976</v>
      </c>
    </row>
    <row r="302" spans="1:4" x14ac:dyDescent="0.2">
      <c r="A302" s="1" t="s">
        <v>631</v>
      </c>
      <c r="B302" s="1" t="s">
        <v>632</v>
      </c>
      <c r="C302">
        <v>32675</v>
      </c>
      <c r="D302">
        <v>36407</v>
      </c>
    </row>
    <row r="303" spans="1:4" x14ac:dyDescent="0.2">
      <c r="A303" s="1" t="s">
        <v>633</v>
      </c>
      <c r="B303" s="1" t="s">
        <v>634</v>
      </c>
      <c r="C303">
        <v>29752</v>
      </c>
      <c r="D303">
        <v>32355</v>
      </c>
    </row>
    <row r="304" spans="1:4" x14ac:dyDescent="0.2">
      <c r="A304" s="1" t="s">
        <v>635</v>
      </c>
      <c r="B304" s="1" t="s">
        <v>636</v>
      </c>
      <c r="C304">
        <v>30275</v>
      </c>
      <c r="D304">
        <v>32061</v>
      </c>
    </row>
    <row r="305" spans="1:4" x14ac:dyDescent="0.2">
      <c r="A305" s="1" t="s">
        <v>637</v>
      </c>
      <c r="B305" s="1" t="s">
        <v>638</v>
      </c>
      <c r="C305">
        <v>29326</v>
      </c>
      <c r="D305">
        <v>32048</v>
      </c>
    </row>
    <row r="306" spans="1:4" x14ac:dyDescent="0.2">
      <c r="A306" s="1" t="s">
        <v>639</v>
      </c>
      <c r="B306" s="1" t="s">
        <v>640</v>
      </c>
      <c r="C306">
        <v>27243</v>
      </c>
      <c r="D306">
        <v>29920</v>
      </c>
    </row>
    <row r="307" spans="1:4" x14ac:dyDescent="0.2">
      <c r="A307" s="1" t="s">
        <v>641</v>
      </c>
      <c r="B307" s="1" t="s">
        <v>642</v>
      </c>
      <c r="C307">
        <v>30774</v>
      </c>
      <c r="D307">
        <v>35003</v>
      </c>
    </row>
    <row r="308" spans="1:4" x14ac:dyDescent="0.2">
      <c r="A308" s="1" t="s">
        <v>643</v>
      </c>
      <c r="B308" s="1" t="s">
        <v>644</v>
      </c>
      <c r="C308">
        <v>32091</v>
      </c>
      <c r="D308">
        <v>35131</v>
      </c>
    </row>
    <row r="309" spans="1:4" x14ac:dyDescent="0.2">
      <c r="A309" s="1" t="s">
        <v>645</v>
      </c>
      <c r="B309" s="1" t="s">
        <v>646</v>
      </c>
      <c r="C309">
        <v>30709</v>
      </c>
      <c r="D309">
        <v>33269</v>
      </c>
    </row>
    <row r="310" spans="1:4" x14ac:dyDescent="0.2">
      <c r="A310" s="1" t="s">
        <v>647</v>
      </c>
      <c r="B310" s="1" t="s">
        <v>648</v>
      </c>
      <c r="C310">
        <v>31475</v>
      </c>
      <c r="D310">
        <v>34754</v>
      </c>
    </row>
    <row r="311" spans="1:4" x14ac:dyDescent="0.2">
      <c r="A311" s="1" t="s">
        <v>649</v>
      </c>
      <c r="B311" s="1" t="s">
        <v>650</v>
      </c>
      <c r="C311">
        <v>31410</v>
      </c>
      <c r="D311">
        <v>40189</v>
      </c>
    </row>
    <row r="312" spans="1:4" x14ac:dyDescent="0.2">
      <c r="A312" s="1" t="s">
        <v>651</v>
      </c>
      <c r="B312" s="1" t="s">
        <v>652</v>
      </c>
      <c r="C312">
        <v>32756</v>
      </c>
      <c r="D312">
        <v>36723</v>
      </c>
    </row>
    <row r="313" spans="1:4" x14ac:dyDescent="0.2">
      <c r="A313" s="1" t="s">
        <v>653</v>
      </c>
      <c r="B313" s="1" t="s">
        <v>654</v>
      </c>
      <c r="C313">
        <v>29802</v>
      </c>
      <c r="D313">
        <v>32316</v>
      </c>
    </row>
    <row r="314" spans="1:4" x14ac:dyDescent="0.2">
      <c r="A314" s="1" t="s">
        <v>655</v>
      </c>
      <c r="B314" s="1" t="s">
        <v>656</v>
      </c>
      <c r="C314">
        <v>31504</v>
      </c>
      <c r="D314">
        <v>38536</v>
      </c>
    </row>
    <row r="315" spans="1:4" x14ac:dyDescent="0.2">
      <c r="A315" s="1" t="s">
        <v>657</v>
      </c>
      <c r="B315" s="1" t="s">
        <v>658</v>
      </c>
      <c r="C315">
        <v>30854</v>
      </c>
      <c r="D315">
        <v>33725</v>
      </c>
    </row>
    <row r="316" spans="1:4" x14ac:dyDescent="0.2">
      <c r="A316" s="1" t="s">
        <v>659</v>
      </c>
      <c r="B316" s="1" t="s">
        <v>660</v>
      </c>
      <c r="C316">
        <v>30734</v>
      </c>
      <c r="D316">
        <v>31736</v>
      </c>
    </row>
    <row r="317" spans="1:4" x14ac:dyDescent="0.2">
      <c r="A317" s="1" t="s">
        <v>661</v>
      </c>
      <c r="B317" s="1" t="s">
        <v>662</v>
      </c>
      <c r="C317">
        <v>33201</v>
      </c>
      <c r="D317">
        <v>43147</v>
      </c>
    </row>
    <row r="318" spans="1:4" x14ac:dyDescent="0.2">
      <c r="A318" s="1" t="s">
        <v>663</v>
      </c>
      <c r="B318" s="1" t="s">
        <v>664</v>
      </c>
      <c r="C318">
        <v>35020</v>
      </c>
      <c r="D318">
        <v>42135</v>
      </c>
    </row>
    <row r="319" spans="1:4" x14ac:dyDescent="0.2">
      <c r="A319" s="1" t="s">
        <v>665</v>
      </c>
      <c r="B319" s="1" t="s">
        <v>666</v>
      </c>
      <c r="C319">
        <v>31495</v>
      </c>
      <c r="D319">
        <v>33189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9912-C8E7-C342-BD7A-3C9611AC5DC6}">
  <dimension ref="A1:J1706"/>
  <sheetViews>
    <sheetView workbookViewId="0"/>
  </sheetViews>
  <sheetFormatPr baseColWidth="10" defaultRowHeight="16" x14ac:dyDescent="0.2"/>
  <cols>
    <col min="1" max="1" width="7.1640625" bestFit="1" customWidth="1"/>
    <col min="2" max="2" width="22.33203125" bestFit="1" customWidth="1"/>
    <col min="3" max="3" width="14.83203125" bestFit="1" customWidth="1"/>
    <col min="4" max="4" width="17.1640625" bestFit="1" customWidth="1"/>
    <col min="5" max="5" width="15.5" bestFit="1" customWidth="1"/>
    <col min="6" max="6" width="18.83203125" bestFit="1" customWidth="1"/>
    <col min="7" max="7" width="22.5" bestFit="1" customWidth="1"/>
    <col min="8" max="8" width="21" bestFit="1" customWidth="1"/>
    <col min="9" max="9" width="19" bestFit="1" customWidth="1"/>
    <col min="10" max="10" width="12.33203125" bestFit="1" customWidth="1"/>
  </cols>
  <sheetData>
    <row r="1" spans="1:10" x14ac:dyDescent="0.2">
      <c r="A1" t="s">
        <v>0</v>
      </c>
      <c r="B1" t="s">
        <v>1</v>
      </c>
      <c r="C1" t="s">
        <v>2</v>
      </c>
      <c r="D1" t="s">
        <v>3</v>
      </c>
      <c r="E1" t="s">
        <v>4</v>
      </c>
      <c r="F1" t="s">
        <v>5</v>
      </c>
      <c r="G1" t="s">
        <v>6</v>
      </c>
      <c r="H1" t="s">
        <v>7</v>
      </c>
      <c r="I1" t="s">
        <v>8</v>
      </c>
      <c r="J1" t="s">
        <v>9</v>
      </c>
    </row>
    <row r="2" spans="1:10" x14ac:dyDescent="0.2">
      <c r="A2">
        <v>1995</v>
      </c>
      <c r="B2" s="1" t="s">
        <v>10</v>
      </c>
      <c r="C2" s="1" t="s">
        <v>11</v>
      </c>
      <c r="D2">
        <v>0</v>
      </c>
      <c r="E2">
        <v>0</v>
      </c>
      <c r="F2">
        <v>22405</v>
      </c>
      <c r="G2">
        <v>70000</v>
      </c>
      <c r="H2">
        <v>79970</v>
      </c>
      <c r="I2">
        <v>145045</v>
      </c>
      <c r="J2">
        <v>66.599999999999994</v>
      </c>
    </row>
    <row r="3" spans="1:10" x14ac:dyDescent="0.2">
      <c r="A3">
        <v>1995</v>
      </c>
      <c r="B3" s="1" t="s">
        <v>10</v>
      </c>
      <c r="C3" s="1" t="s">
        <v>12</v>
      </c>
      <c r="D3">
        <v>0</v>
      </c>
      <c r="E3">
        <v>0</v>
      </c>
      <c r="F3">
        <v>1868</v>
      </c>
      <c r="G3">
        <v>31000</v>
      </c>
      <c r="H3">
        <v>34210</v>
      </c>
      <c r="I3">
        <v>64234</v>
      </c>
      <c r="J3">
        <v>66.599999999999994</v>
      </c>
    </row>
    <row r="4" spans="1:10" x14ac:dyDescent="0.2">
      <c r="A4">
        <v>1995</v>
      </c>
      <c r="B4" s="1" t="s">
        <v>10</v>
      </c>
      <c r="C4" s="1" t="s">
        <v>13</v>
      </c>
      <c r="D4">
        <v>0</v>
      </c>
      <c r="E4">
        <v>0</v>
      </c>
      <c r="F4">
        <v>23629</v>
      </c>
      <c r="G4">
        <v>43000</v>
      </c>
      <c r="H4">
        <v>45198</v>
      </c>
      <c r="I4">
        <v>89099</v>
      </c>
      <c r="J4">
        <v>66.599999999999994</v>
      </c>
    </row>
    <row r="5" spans="1:10" x14ac:dyDescent="0.2">
      <c r="A5">
        <v>1995</v>
      </c>
      <c r="B5" s="1" t="s">
        <v>10</v>
      </c>
      <c r="C5" s="1" t="s">
        <v>14</v>
      </c>
      <c r="D5">
        <v>0</v>
      </c>
      <c r="E5">
        <v>0</v>
      </c>
      <c r="F5">
        <v>16523</v>
      </c>
      <c r="G5">
        <v>33500</v>
      </c>
      <c r="H5">
        <v>35171</v>
      </c>
      <c r="I5">
        <v>69414</v>
      </c>
      <c r="J5">
        <v>66.599999999999994</v>
      </c>
    </row>
    <row r="6" spans="1:10" x14ac:dyDescent="0.2">
      <c r="A6">
        <v>1995</v>
      </c>
      <c r="B6" s="1" t="s">
        <v>15</v>
      </c>
      <c r="C6" s="1" t="s">
        <v>11</v>
      </c>
      <c r="D6">
        <v>0</v>
      </c>
      <c r="E6">
        <v>0</v>
      </c>
      <c r="F6">
        <v>28225</v>
      </c>
      <c r="G6">
        <v>87000</v>
      </c>
      <c r="H6">
        <v>103977</v>
      </c>
      <c r="I6">
        <v>180270</v>
      </c>
      <c r="J6">
        <v>66.599999999999994</v>
      </c>
    </row>
    <row r="7" spans="1:10" x14ac:dyDescent="0.2">
      <c r="A7">
        <v>1995</v>
      </c>
      <c r="B7" s="1" t="s">
        <v>15</v>
      </c>
      <c r="C7" s="1" t="s">
        <v>12</v>
      </c>
      <c r="D7">
        <v>0</v>
      </c>
      <c r="E7">
        <v>0</v>
      </c>
      <c r="F7">
        <v>11309</v>
      </c>
      <c r="G7">
        <v>39000</v>
      </c>
      <c r="H7">
        <v>42422</v>
      </c>
      <c r="I7">
        <v>80811</v>
      </c>
      <c r="J7">
        <v>66.599999999999994</v>
      </c>
    </row>
    <row r="8" spans="1:10" x14ac:dyDescent="0.2">
      <c r="A8">
        <v>1995</v>
      </c>
      <c r="B8" s="1" t="s">
        <v>15</v>
      </c>
      <c r="C8" s="1" t="s">
        <v>13</v>
      </c>
      <c r="D8">
        <v>0</v>
      </c>
      <c r="E8">
        <v>0</v>
      </c>
      <c r="F8">
        <v>27529</v>
      </c>
      <c r="G8">
        <v>56000</v>
      </c>
      <c r="H8">
        <v>61907</v>
      </c>
      <c r="I8">
        <v>116036</v>
      </c>
      <c r="J8">
        <v>66.599999999999994</v>
      </c>
    </row>
    <row r="9" spans="1:10" x14ac:dyDescent="0.2">
      <c r="A9">
        <v>1995</v>
      </c>
      <c r="B9" s="1" t="s">
        <v>15</v>
      </c>
      <c r="C9" s="1" t="s">
        <v>14</v>
      </c>
      <c r="D9">
        <v>0</v>
      </c>
      <c r="E9">
        <v>0</v>
      </c>
      <c r="F9">
        <v>25873</v>
      </c>
      <c r="G9">
        <v>47400</v>
      </c>
      <c r="H9">
        <v>51490</v>
      </c>
      <c r="I9">
        <v>98216</v>
      </c>
      <c r="J9">
        <v>66.599999999999994</v>
      </c>
    </row>
    <row r="10" spans="1:10" x14ac:dyDescent="0.2">
      <c r="A10">
        <v>1995</v>
      </c>
      <c r="B10" s="1" t="s">
        <v>16</v>
      </c>
      <c r="C10" s="1" t="s">
        <v>11</v>
      </c>
      <c r="D10">
        <v>0</v>
      </c>
      <c r="E10">
        <v>0</v>
      </c>
      <c r="F10">
        <v>5574</v>
      </c>
      <c r="G10">
        <v>156000</v>
      </c>
      <c r="H10">
        <v>202794</v>
      </c>
      <c r="I10">
        <v>323243</v>
      </c>
      <c r="J10">
        <v>66.599999999999994</v>
      </c>
    </row>
    <row r="11" spans="1:10" x14ac:dyDescent="0.2">
      <c r="A11">
        <v>1995</v>
      </c>
      <c r="B11" s="1" t="s">
        <v>16</v>
      </c>
      <c r="C11" s="1" t="s">
        <v>12</v>
      </c>
      <c r="D11">
        <v>0</v>
      </c>
      <c r="E11">
        <v>0</v>
      </c>
      <c r="F11">
        <v>46418</v>
      </c>
      <c r="G11">
        <v>59995</v>
      </c>
      <c r="H11">
        <v>80203</v>
      </c>
      <c r="I11">
        <v>124314</v>
      </c>
      <c r="J11">
        <v>66.599999999999994</v>
      </c>
    </row>
    <row r="12" spans="1:10" x14ac:dyDescent="0.2">
      <c r="A12">
        <v>1995</v>
      </c>
      <c r="B12" s="1" t="s">
        <v>16</v>
      </c>
      <c r="C12" s="1" t="s">
        <v>13</v>
      </c>
      <c r="D12">
        <v>0</v>
      </c>
      <c r="E12">
        <v>0</v>
      </c>
      <c r="F12">
        <v>20163</v>
      </c>
      <c r="G12">
        <v>88000</v>
      </c>
      <c r="H12">
        <v>108906</v>
      </c>
      <c r="I12">
        <v>182342</v>
      </c>
      <c r="J12">
        <v>66.599999999999994</v>
      </c>
    </row>
    <row r="13" spans="1:10" x14ac:dyDescent="0.2">
      <c r="A13">
        <v>1995</v>
      </c>
      <c r="B13" s="1" t="s">
        <v>16</v>
      </c>
      <c r="C13" s="1" t="s">
        <v>14</v>
      </c>
      <c r="D13">
        <v>0</v>
      </c>
      <c r="E13">
        <v>0</v>
      </c>
      <c r="F13">
        <v>36194</v>
      </c>
      <c r="G13">
        <v>72000</v>
      </c>
      <c r="H13">
        <v>98820</v>
      </c>
      <c r="I13">
        <v>149189</v>
      </c>
      <c r="J13">
        <v>66.599999999999994</v>
      </c>
    </row>
    <row r="14" spans="1:10" x14ac:dyDescent="0.2">
      <c r="A14">
        <v>1995</v>
      </c>
      <c r="B14" s="1" t="s">
        <v>17</v>
      </c>
      <c r="C14" s="1" t="s">
        <v>11</v>
      </c>
      <c r="D14">
        <v>0</v>
      </c>
      <c r="E14">
        <v>0</v>
      </c>
      <c r="F14">
        <v>5958</v>
      </c>
      <c r="G14">
        <v>76950</v>
      </c>
      <c r="H14">
        <v>86518</v>
      </c>
      <c r="I14">
        <v>159446</v>
      </c>
      <c r="J14">
        <v>66.599999999999994</v>
      </c>
    </row>
    <row r="15" spans="1:10" x14ac:dyDescent="0.2">
      <c r="A15">
        <v>1995</v>
      </c>
      <c r="B15" s="1" t="s">
        <v>17</v>
      </c>
      <c r="C15" s="1" t="s">
        <v>12</v>
      </c>
      <c r="D15">
        <v>0</v>
      </c>
      <c r="E15">
        <v>0</v>
      </c>
      <c r="F15">
        <v>3385</v>
      </c>
      <c r="G15">
        <v>30000</v>
      </c>
      <c r="H15">
        <v>33754</v>
      </c>
      <c r="I15">
        <v>62162</v>
      </c>
      <c r="J15">
        <v>66.599999999999994</v>
      </c>
    </row>
    <row r="16" spans="1:10" x14ac:dyDescent="0.2">
      <c r="A16">
        <v>1995</v>
      </c>
      <c r="B16" s="1" t="s">
        <v>17</v>
      </c>
      <c r="C16" s="1" t="s">
        <v>13</v>
      </c>
      <c r="D16">
        <v>0</v>
      </c>
      <c r="E16">
        <v>0</v>
      </c>
      <c r="F16">
        <v>10998</v>
      </c>
      <c r="G16">
        <v>47000</v>
      </c>
      <c r="H16">
        <v>48689</v>
      </c>
      <c r="I16">
        <v>97387</v>
      </c>
      <c r="J16">
        <v>66.599999999999994</v>
      </c>
    </row>
    <row r="17" spans="1:10" x14ac:dyDescent="0.2">
      <c r="A17">
        <v>1995</v>
      </c>
      <c r="B17" s="1" t="s">
        <v>17</v>
      </c>
      <c r="C17" s="1" t="s">
        <v>14</v>
      </c>
      <c r="D17">
        <v>0</v>
      </c>
      <c r="E17">
        <v>0</v>
      </c>
      <c r="F17">
        <v>12123</v>
      </c>
      <c r="G17">
        <v>33000</v>
      </c>
      <c r="H17">
        <v>36358</v>
      </c>
      <c r="I17">
        <v>68378</v>
      </c>
      <c r="J17">
        <v>66.599999999999994</v>
      </c>
    </row>
    <row r="18" spans="1:10" x14ac:dyDescent="0.2">
      <c r="A18">
        <v>1995</v>
      </c>
      <c r="B18" s="1" t="s">
        <v>18</v>
      </c>
      <c r="C18" s="1" t="s">
        <v>11</v>
      </c>
      <c r="D18">
        <v>0</v>
      </c>
      <c r="E18">
        <v>0</v>
      </c>
      <c r="F18">
        <v>18461</v>
      </c>
      <c r="G18">
        <v>82500</v>
      </c>
      <c r="H18">
        <v>94431</v>
      </c>
      <c r="I18">
        <v>170946</v>
      </c>
      <c r="J18">
        <v>66.599999999999994</v>
      </c>
    </row>
    <row r="19" spans="1:10" x14ac:dyDescent="0.2">
      <c r="A19">
        <v>1995</v>
      </c>
      <c r="B19" s="1" t="s">
        <v>18</v>
      </c>
      <c r="C19" s="1" t="s">
        <v>12</v>
      </c>
      <c r="D19">
        <v>0</v>
      </c>
      <c r="E19">
        <v>0</v>
      </c>
      <c r="F19">
        <v>5359</v>
      </c>
      <c r="G19">
        <v>38950</v>
      </c>
      <c r="H19">
        <v>43567</v>
      </c>
      <c r="I19">
        <v>80707</v>
      </c>
      <c r="J19">
        <v>66.599999999999994</v>
      </c>
    </row>
    <row r="20" spans="1:10" x14ac:dyDescent="0.2">
      <c r="A20">
        <v>1995</v>
      </c>
      <c r="B20" s="1" t="s">
        <v>18</v>
      </c>
      <c r="C20" s="1" t="s">
        <v>13</v>
      </c>
      <c r="D20">
        <v>0</v>
      </c>
      <c r="E20">
        <v>0</v>
      </c>
      <c r="F20">
        <v>34463</v>
      </c>
      <c r="G20">
        <v>49000</v>
      </c>
      <c r="H20">
        <v>51488</v>
      </c>
      <c r="I20">
        <v>101532</v>
      </c>
      <c r="J20">
        <v>66.599999999999994</v>
      </c>
    </row>
    <row r="21" spans="1:10" x14ac:dyDescent="0.2">
      <c r="A21">
        <v>1995</v>
      </c>
      <c r="B21" s="1" t="s">
        <v>18</v>
      </c>
      <c r="C21" s="1" t="s">
        <v>14</v>
      </c>
      <c r="D21">
        <v>0</v>
      </c>
      <c r="E21">
        <v>0</v>
      </c>
      <c r="F21">
        <v>34977</v>
      </c>
      <c r="G21">
        <v>32950</v>
      </c>
      <c r="H21">
        <v>34494</v>
      </c>
      <c r="I21">
        <v>68275</v>
      </c>
      <c r="J21">
        <v>66.599999999999994</v>
      </c>
    </row>
    <row r="22" spans="1:10" x14ac:dyDescent="0.2">
      <c r="A22">
        <v>1995</v>
      </c>
      <c r="B22" s="1" t="s">
        <v>19</v>
      </c>
      <c r="C22" s="1" t="s">
        <v>11</v>
      </c>
      <c r="D22">
        <v>0</v>
      </c>
      <c r="E22">
        <v>0</v>
      </c>
      <c r="F22">
        <v>41115</v>
      </c>
      <c r="G22">
        <v>115000</v>
      </c>
      <c r="H22">
        <v>134667</v>
      </c>
      <c r="I22">
        <v>238288</v>
      </c>
      <c r="J22">
        <v>66.599999999999994</v>
      </c>
    </row>
    <row r="23" spans="1:10" x14ac:dyDescent="0.2">
      <c r="A23">
        <v>1995</v>
      </c>
      <c r="B23" s="1" t="s">
        <v>19</v>
      </c>
      <c r="C23" s="1" t="s">
        <v>12</v>
      </c>
      <c r="D23">
        <v>0</v>
      </c>
      <c r="E23">
        <v>0</v>
      </c>
      <c r="F23">
        <v>22563</v>
      </c>
      <c r="G23">
        <v>43000</v>
      </c>
      <c r="H23">
        <v>47671</v>
      </c>
      <c r="I23">
        <v>89099</v>
      </c>
      <c r="J23">
        <v>66.599999999999994</v>
      </c>
    </row>
    <row r="24" spans="1:10" x14ac:dyDescent="0.2">
      <c r="A24">
        <v>1995</v>
      </c>
      <c r="B24" s="1" t="s">
        <v>19</v>
      </c>
      <c r="C24" s="1" t="s">
        <v>13</v>
      </c>
      <c r="D24">
        <v>0</v>
      </c>
      <c r="E24">
        <v>0</v>
      </c>
      <c r="F24">
        <v>40576</v>
      </c>
      <c r="G24">
        <v>66950</v>
      </c>
      <c r="H24">
        <v>72182</v>
      </c>
      <c r="I24">
        <v>138725</v>
      </c>
      <c r="J24">
        <v>66.599999999999994</v>
      </c>
    </row>
    <row r="25" spans="1:10" x14ac:dyDescent="0.2">
      <c r="A25">
        <v>1995</v>
      </c>
      <c r="B25" s="1" t="s">
        <v>19</v>
      </c>
      <c r="C25" s="1" t="s">
        <v>14</v>
      </c>
      <c r="D25">
        <v>0</v>
      </c>
      <c r="E25">
        <v>0</v>
      </c>
      <c r="F25">
        <v>38071</v>
      </c>
      <c r="G25">
        <v>54000</v>
      </c>
      <c r="H25">
        <v>57774</v>
      </c>
      <c r="I25">
        <v>111892</v>
      </c>
      <c r="J25">
        <v>66.599999999999994</v>
      </c>
    </row>
    <row r="26" spans="1:10" x14ac:dyDescent="0.2">
      <c r="A26">
        <v>1995</v>
      </c>
      <c r="B26" s="1" t="s">
        <v>20</v>
      </c>
      <c r="C26" s="1" t="s">
        <v>11</v>
      </c>
      <c r="D26">
        <v>0</v>
      </c>
      <c r="E26">
        <v>0</v>
      </c>
      <c r="F26">
        <v>26014</v>
      </c>
      <c r="G26">
        <v>84995</v>
      </c>
      <c r="H26">
        <v>97245</v>
      </c>
      <c r="I26">
        <v>176116</v>
      </c>
      <c r="J26">
        <v>66.599999999999994</v>
      </c>
    </row>
    <row r="27" spans="1:10" x14ac:dyDescent="0.2">
      <c r="A27">
        <v>1995</v>
      </c>
      <c r="B27" s="1" t="s">
        <v>20</v>
      </c>
      <c r="C27" s="1" t="s">
        <v>12</v>
      </c>
      <c r="D27">
        <v>0</v>
      </c>
      <c r="E27">
        <v>0</v>
      </c>
      <c r="F27">
        <v>9891</v>
      </c>
      <c r="G27">
        <v>38999</v>
      </c>
      <c r="H27">
        <v>46407</v>
      </c>
      <c r="I27">
        <v>80809</v>
      </c>
      <c r="J27">
        <v>66.599999999999994</v>
      </c>
    </row>
    <row r="28" spans="1:10" x14ac:dyDescent="0.2">
      <c r="A28">
        <v>1995</v>
      </c>
      <c r="B28" s="1" t="s">
        <v>20</v>
      </c>
      <c r="C28" s="1" t="s">
        <v>13</v>
      </c>
      <c r="D28">
        <v>0</v>
      </c>
      <c r="E28">
        <v>0</v>
      </c>
      <c r="F28">
        <v>21872</v>
      </c>
      <c r="G28">
        <v>54500</v>
      </c>
      <c r="H28">
        <v>58138</v>
      </c>
      <c r="I28">
        <v>112928</v>
      </c>
      <c r="J28">
        <v>66.599999999999994</v>
      </c>
    </row>
    <row r="29" spans="1:10" x14ac:dyDescent="0.2">
      <c r="A29">
        <v>1995</v>
      </c>
      <c r="B29" s="1" t="s">
        <v>20</v>
      </c>
      <c r="C29" s="1" t="s">
        <v>14</v>
      </c>
      <c r="D29">
        <v>0</v>
      </c>
      <c r="E29">
        <v>0</v>
      </c>
      <c r="F29">
        <v>25284</v>
      </c>
      <c r="G29">
        <v>45000</v>
      </c>
      <c r="H29">
        <v>48288</v>
      </c>
      <c r="I29">
        <v>93243</v>
      </c>
      <c r="J29">
        <v>66.599999999999994</v>
      </c>
    </row>
    <row r="30" spans="1:10" x14ac:dyDescent="0.2">
      <c r="A30">
        <v>1995</v>
      </c>
      <c r="B30" s="1" t="s">
        <v>21</v>
      </c>
      <c r="C30" s="1" t="s">
        <v>11</v>
      </c>
      <c r="D30">
        <v>0</v>
      </c>
      <c r="E30">
        <v>0</v>
      </c>
      <c r="F30">
        <v>9253</v>
      </c>
      <c r="G30">
        <v>69000</v>
      </c>
      <c r="H30">
        <v>75057</v>
      </c>
      <c r="I30">
        <v>142973</v>
      </c>
      <c r="J30">
        <v>66.599999999999994</v>
      </c>
    </row>
    <row r="31" spans="1:10" x14ac:dyDescent="0.2">
      <c r="A31">
        <v>1995</v>
      </c>
      <c r="B31" s="1" t="s">
        <v>21</v>
      </c>
      <c r="C31" s="1" t="s">
        <v>12</v>
      </c>
      <c r="D31">
        <v>0</v>
      </c>
      <c r="E31">
        <v>0</v>
      </c>
      <c r="F31">
        <v>1427</v>
      </c>
      <c r="G31">
        <v>36500</v>
      </c>
      <c r="H31">
        <v>39993</v>
      </c>
      <c r="I31">
        <v>75631</v>
      </c>
      <c r="J31">
        <v>66.599999999999994</v>
      </c>
    </row>
    <row r="32" spans="1:10" x14ac:dyDescent="0.2">
      <c r="A32">
        <v>1995</v>
      </c>
      <c r="B32" s="1" t="s">
        <v>21</v>
      </c>
      <c r="C32" s="1" t="s">
        <v>13</v>
      </c>
      <c r="D32">
        <v>0</v>
      </c>
      <c r="E32">
        <v>0</v>
      </c>
      <c r="F32">
        <v>10934</v>
      </c>
      <c r="G32">
        <v>45000</v>
      </c>
      <c r="H32">
        <v>47409</v>
      </c>
      <c r="I32">
        <v>93243</v>
      </c>
      <c r="J32">
        <v>66.599999999999994</v>
      </c>
    </row>
    <row r="33" spans="1:10" x14ac:dyDescent="0.2">
      <c r="A33">
        <v>1995</v>
      </c>
      <c r="B33" s="1" t="s">
        <v>21</v>
      </c>
      <c r="C33" s="1" t="s">
        <v>14</v>
      </c>
      <c r="D33">
        <v>0</v>
      </c>
      <c r="E33">
        <v>0</v>
      </c>
      <c r="F33">
        <v>11891</v>
      </c>
      <c r="G33">
        <v>35000</v>
      </c>
      <c r="H33">
        <v>36336</v>
      </c>
      <c r="I33">
        <v>72523</v>
      </c>
      <c r="J33">
        <v>66.599999999999994</v>
      </c>
    </row>
    <row r="34" spans="1:10" x14ac:dyDescent="0.2">
      <c r="A34">
        <v>1995</v>
      </c>
      <c r="B34" s="1" t="s">
        <v>22</v>
      </c>
      <c r="C34" s="1" t="s">
        <v>11</v>
      </c>
      <c r="D34">
        <v>0</v>
      </c>
      <c r="E34">
        <v>0</v>
      </c>
      <c r="F34">
        <v>18679</v>
      </c>
      <c r="G34">
        <v>84500</v>
      </c>
      <c r="H34">
        <v>96947</v>
      </c>
      <c r="I34">
        <v>175090</v>
      </c>
      <c r="J34">
        <v>66.599999999999994</v>
      </c>
    </row>
    <row r="35" spans="1:10" x14ac:dyDescent="0.2">
      <c r="A35">
        <v>1995</v>
      </c>
      <c r="B35" s="1" t="s">
        <v>22</v>
      </c>
      <c r="C35" s="1" t="s">
        <v>12</v>
      </c>
      <c r="D35">
        <v>0</v>
      </c>
      <c r="E35">
        <v>0</v>
      </c>
      <c r="F35">
        <v>4894</v>
      </c>
      <c r="G35">
        <v>36972</v>
      </c>
      <c r="H35">
        <v>39763</v>
      </c>
      <c r="I35">
        <v>76610</v>
      </c>
      <c r="J35">
        <v>66.599999999999994</v>
      </c>
    </row>
    <row r="36" spans="1:10" x14ac:dyDescent="0.2">
      <c r="A36">
        <v>1995</v>
      </c>
      <c r="B36" s="1" t="s">
        <v>22</v>
      </c>
      <c r="C36" s="1" t="s">
        <v>13</v>
      </c>
      <c r="D36">
        <v>0</v>
      </c>
      <c r="E36">
        <v>0</v>
      </c>
      <c r="F36">
        <v>26428</v>
      </c>
      <c r="G36">
        <v>49000</v>
      </c>
      <c r="H36">
        <v>51563</v>
      </c>
      <c r="I36">
        <v>101532</v>
      </c>
      <c r="J36">
        <v>66.599999999999994</v>
      </c>
    </row>
    <row r="37" spans="1:10" x14ac:dyDescent="0.2">
      <c r="A37">
        <v>1995</v>
      </c>
      <c r="B37" s="1" t="s">
        <v>22</v>
      </c>
      <c r="C37" s="1" t="s">
        <v>14</v>
      </c>
      <c r="D37">
        <v>0</v>
      </c>
      <c r="E37">
        <v>0</v>
      </c>
      <c r="F37">
        <v>21473</v>
      </c>
      <c r="G37">
        <v>38950</v>
      </c>
      <c r="H37">
        <v>40653</v>
      </c>
      <c r="I37">
        <v>80707</v>
      </c>
      <c r="J37">
        <v>66.599999999999994</v>
      </c>
    </row>
    <row r="38" spans="1:10" x14ac:dyDescent="0.2">
      <c r="A38">
        <v>1995</v>
      </c>
      <c r="B38" s="1" t="s">
        <v>23</v>
      </c>
      <c r="C38" s="1" t="s">
        <v>11</v>
      </c>
      <c r="D38">
        <v>0</v>
      </c>
      <c r="E38">
        <v>0</v>
      </c>
      <c r="F38">
        <v>16085</v>
      </c>
      <c r="G38">
        <v>78500</v>
      </c>
      <c r="H38">
        <v>87941</v>
      </c>
      <c r="I38">
        <v>162658</v>
      </c>
      <c r="J38">
        <v>66.599999999999994</v>
      </c>
    </row>
    <row r="39" spans="1:10" x14ac:dyDescent="0.2">
      <c r="A39">
        <v>1995</v>
      </c>
      <c r="B39" s="1" t="s">
        <v>23</v>
      </c>
      <c r="C39" s="1" t="s">
        <v>12</v>
      </c>
      <c r="D39">
        <v>0</v>
      </c>
      <c r="E39">
        <v>0</v>
      </c>
      <c r="F39">
        <v>3066</v>
      </c>
      <c r="G39">
        <v>38500</v>
      </c>
      <c r="H39">
        <v>42570</v>
      </c>
      <c r="I39">
        <v>79775</v>
      </c>
      <c r="J39">
        <v>66.599999999999994</v>
      </c>
    </row>
    <row r="40" spans="1:10" x14ac:dyDescent="0.2">
      <c r="A40">
        <v>1995</v>
      </c>
      <c r="B40" s="1" t="s">
        <v>23</v>
      </c>
      <c r="C40" s="1" t="s">
        <v>13</v>
      </c>
      <c r="D40">
        <v>0</v>
      </c>
      <c r="E40">
        <v>0</v>
      </c>
      <c r="F40">
        <v>25620</v>
      </c>
      <c r="G40">
        <v>47950</v>
      </c>
      <c r="H40">
        <v>49708</v>
      </c>
      <c r="I40">
        <v>99356</v>
      </c>
      <c r="J40">
        <v>66.599999999999994</v>
      </c>
    </row>
    <row r="41" spans="1:10" x14ac:dyDescent="0.2">
      <c r="A41">
        <v>1995</v>
      </c>
      <c r="B41" s="1" t="s">
        <v>23</v>
      </c>
      <c r="C41" s="1" t="s">
        <v>14</v>
      </c>
      <c r="D41">
        <v>0</v>
      </c>
      <c r="E41">
        <v>0</v>
      </c>
      <c r="F41">
        <v>26189</v>
      </c>
      <c r="G41">
        <v>34500</v>
      </c>
      <c r="H41">
        <v>36622</v>
      </c>
      <c r="I41">
        <v>71486</v>
      </c>
      <c r="J41">
        <v>66.599999999999994</v>
      </c>
    </row>
    <row r="42" spans="1:10" x14ac:dyDescent="0.2">
      <c r="A42">
        <v>1995</v>
      </c>
      <c r="B42" s="1" t="s">
        <v>10</v>
      </c>
      <c r="C42" s="1" t="s">
        <v>24</v>
      </c>
      <c r="D42">
        <v>0</v>
      </c>
      <c r="E42">
        <v>1</v>
      </c>
      <c r="F42">
        <v>64425</v>
      </c>
      <c r="G42">
        <v>46000</v>
      </c>
      <c r="H42">
        <v>54400</v>
      </c>
      <c r="I42">
        <v>95315</v>
      </c>
      <c r="J42">
        <v>66.599999999999994</v>
      </c>
    </row>
    <row r="43" spans="1:10" x14ac:dyDescent="0.2">
      <c r="A43">
        <v>1995</v>
      </c>
      <c r="B43" s="1" t="s">
        <v>15</v>
      </c>
      <c r="C43" s="1" t="s">
        <v>24</v>
      </c>
      <c r="D43">
        <v>0</v>
      </c>
      <c r="E43">
        <v>1</v>
      </c>
      <c r="F43">
        <v>92936</v>
      </c>
      <c r="G43">
        <v>57500</v>
      </c>
      <c r="H43">
        <v>69413</v>
      </c>
      <c r="I43">
        <v>119144</v>
      </c>
      <c r="J43">
        <v>66.599999999999994</v>
      </c>
    </row>
    <row r="44" spans="1:10" x14ac:dyDescent="0.2">
      <c r="A44">
        <v>1995</v>
      </c>
      <c r="B44" s="1" t="s">
        <v>16</v>
      </c>
      <c r="C44" s="1" t="s">
        <v>24</v>
      </c>
      <c r="D44">
        <v>0</v>
      </c>
      <c r="E44">
        <v>1</v>
      </c>
      <c r="F44">
        <v>108349</v>
      </c>
      <c r="G44">
        <v>73000</v>
      </c>
      <c r="H44">
        <v>98070</v>
      </c>
      <c r="I44">
        <v>151261</v>
      </c>
      <c r="J44">
        <v>66.599999999999994</v>
      </c>
    </row>
    <row r="45" spans="1:10" x14ac:dyDescent="0.2">
      <c r="A45">
        <v>1995</v>
      </c>
      <c r="B45" s="1" t="s">
        <v>17</v>
      </c>
      <c r="C45" s="1" t="s">
        <v>24</v>
      </c>
      <c r="D45">
        <v>0</v>
      </c>
      <c r="E45">
        <v>1</v>
      </c>
      <c r="F45">
        <v>32464</v>
      </c>
      <c r="G45">
        <v>42950</v>
      </c>
      <c r="H45">
        <v>49469</v>
      </c>
      <c r="I45">
        <v>88995</v>
      </c>
      <c r="J45">
        <v>66.599999999999994</v>
      </c>
    </row>
    <row r="46" spans="1:10" x14ac:dyDescent="0.2">
      <c r="A46">
        <v>1995</v>
      </c>
      <c r="B46" s="1" t="s">
        <v>18</v>
      </c>
      <c r="C46" s="1" t="s">
        <v>24</v>
      </c>
      <c r="D46">
        <v>0</v>
      </c>
      <c r="E46">
        <v>1</v>
      </c>
      <c r="F46">
        <v>93260</v>
      </c>
      <c r="G46">
        <v>45200</v>
      </c>
      <c r="H46">
        <v>53160</v>
      </c>
      <c r="I46">
        <v>93658</v>
      </c>
      <c r="J46">
        <v>66.599999999999994</v>
      </c>
    </row>
    <row r="47" spans="1:10" x14ac:dyDescent="0.2">
      <c r="A47">
        <v>1995</v>
      </c>
      <c r="B47" s="1" t="s">
        <v>19</v>
      </c>
      <c r="C47" s="1" t="s">
        <v>24</v>
      </c>
      <c r="D47">
        <v>0</v>
      </c>
      <c r="E47">
        <v>1</v>
      </c>
      <c r="F47">
        <v>142325</v>
      </c>
      <c r="G47">
        <v>65000</v>
      </c>
      <c r="H47">
        <v>82493</v>
      </c>
      <c r="I47">
        <v>134685</v>
      </c>
      <c r="J47">
        <v>66.599999999999994</v>
      </c>
    </row>
    <row r="48" spans="1:10" x14ac:dyDescent="0.2">
      <c r="A48">
        <v>1995</v>
      </c>
      <c r="B48" s="1" t="s">
        <v>20</v>
      </c>
      <c r="C48" s="1" t="s">
        <v>24</v>
      </c>
      <c r="D48">
        <v>0</v>
      </c>
      <c r="E48">
        <v>1</v>
      </c>
      <c r="F48">
        <v>83061</v>
      </c>
      <c r="G48">
        <v>55000</v>
      </c>
      <c r="H48">
        <v>65991</v>
      </c>
      <c r="I48">
        <v>113964</v>
      </c>
      <c r="J48">
        <v>66.599999999999994</v>
      </c>
    </row>
    <row r="49" spans="1:10" x14ac:dyDescent="0.2">
      <c r="A49">
        <v>1995</v>
      </c>
      <c r="B49" s="1" t="s">
        <v>21</v>
      </c>
      <c r="C49" s="1" t="s">
        <v>24</v>
      </c>
      <c r="D49">
        <v>0</v>
      </c>
      <c r="E49">
        <v>1</v>
      </c>
      <c r="F49">
        <v>33505</v>
      </c>
      <c r="G49">
        <v>44500</v>
      </c>
      <c r="H49">
        <v>50799</v>
      </c>
      <c r="I49">
        <v>92207</v>
      </c>
      <c r="J49">
        <v>66.599999999999994</v>
      </c>
    </row>
    <row r="50" spans="1:10" x14ac:dyDescent="0.2">
      <c r="A50">
        <v>1995</v>
      </c>
      <c r="B50" s="1" t="s">
        <v>22</v>
      </c>
      <c r="C50" s="1" t="s">
        <v>24</v>
      </c>
      <c r="D50">
        <v>0</v>
      </c>
      <c r="E50">
        <v>1</v>
      </c>
      <c r="F50">
        <v>71474</v>
      </c>
      <c r="G50">
        <v>49500</v>
      </c>
      <c r="H50">
        <v>59338</v>
      </c>
      <c r="I50">
        <v>102568</v>
      </c>
      <c r="J50">
        <v>66.599999999999994</v>
      </c>
    </row>
    <row r="51" spans="1:10" x14ac:dyDescent="0.2">
      <c r="A51">
        <v>1995</v>
      </c>
      <c r="B51" s="1" t="s">
        <v>23</v>
      </c>
      <c r="C51" s="1" t="s">
        <v>24</v>
      </c>
      <c r="D51">
        <v>0</v>
      </c>
      <c r="E51">
        <v>1</v>
      </c>
      <c r="F51">
        <v>70960</v>
      </c>
      <c r="G51">
        <v>45600</v>
      </c>
      <c r="H51">
        <v>53236</v>
      </c>
      <c r="I51">
        <v>94486</v>
      </c>
      <c r="J51">
        <v>66.599999999999994</v>
      </c>
    </row>
    <row r="52" spans="1:10" x14ac:dyDescent="0.2">
      <c r="A52">
        <v>1995</v>
      </c>
      <c r="B52" s="1" t="s">
        <v>25</v>
      </c>
      <c r="C52" s="1" t="s">
        <v>11</v>
      </c>
      <c r="D52">
        <v>1</v>
      </c>
      <c r="E52">
        <v>0</v>
      </c>
      <c r="F52">
        <v>191959</v>
      </c>
      <c r="G52">
        <v>86500</v>
      </c>
      <c r="H52">
        <v>104837</v>
      </c>
      <c r="I52">
        <v>179234</v>
      </c>
      <c r="J52">
        <v>66.599999999999994</v>
      </c>
    </row>
    <row r="53" spans="1:10" x14ac:dyDescent="0.2">
      <c r="A53">
        <v>1995</v>
      </c>
      <c r="B53" s="1" t="s">
        <v>25</v>
      </c>
      <c r="C53" s="1" t="s">
        <v>12</v>
      </c>
      <c r="D53">
        <v>1</v>
      </c>
      <c r="E53">
        <v>0</v>
      </c>
      <c r="F53">
        <v>110346</v>
      </c>
      <c r="G53">
        <v>46000</v>
      </c>
      <c r="H53">
        <v>59307</v>
      </c>
      <c r="I53">
        <v>95315</v>
      </c>
      <c r="J53">
        <v>66.599999999999994</v>
      </c>
    </row>
    <row r="54" spans="1:10" x14ac:dyDescent="0.2">
      <c r="A54">
        <v>1995</v>
      </c>
      <c r="B54" s="1" t="s">
        <v>25</v>
      </c>
      <c r="C54" s="1" t="s">
        <v>13</v>
      </c>
      <c r="D54">
        <v>1</v>
      </c>
      <c r="E54">
        <v>0</v>
      </c>
      <c r="F54">
        <v>242284</v>
      </c>
      <c r="G54">
        <v>53000</v>
      </c>
      <c r="H54">
        <v>60419</v>
      </c>
      <c r="I54">
        <v>109820</v>
      </c>
      <c r="J54">
        <v>66.599999999999994</v>
      </c>
    </row>
    <row r="55" spans="1:10" x14ac:dyDescent="0.2">
      <c r="A55">
        <v>1995</v>
      </c>
      <c r="B55" s="1" t="s">
        <v>25</v>
      </c>
      <c r="C55" s="1" t="s">
        <v>14</v>
      </c>
      <c r="D55">
        <v>1</v>
      </c>
      <c r="E55">
        <v>0</v>
      </c>
      <c r="F55">
        <v>248697</v>
      </c>
      <c r="G55">
        <v>43000</v>
      </c>
      <c r="H55">
        <v>51576</v>
      </c>
      <c r="I55">
        <v>89099</v>
      </c>
      <c r="J55">
        <v>66.599999999999994</v>
      </c>
    </row>
    <row r="56" spans="1:10" x14ac:dyDescent="0.2">
      <c r="A56">
        <v>1995</v>
      </c>
      <c r="B56" s="1" t="s">
        <v>25</v>
      </c>
      <c r="C56" s="1" t="s">
        <v>24</v>
      </c>
      <c r="D56">
        <v>1</v>
      </c>
      <c r="E56">
        <v>1</v>
      </c>
      <c r="F56">
        <v>793286</v>
      </c>
      <c r="G56">
        <v>55000</v>
      </c>
      <c r="H56">
        <v>68240</v>
      </c>
      <c r="I56">
        <v>113964</v>
      </c>
      <c r="J56">
        <v>66.599999999999994</v>
      </c>
    </row>
    <row r="57" spans="1:10" x14ac:dyDescent="0.2">
      <c r="A57">
        <v>1996</v>
      </c>
      <c r="B57" s="1" t="s">
        <v>10</v>
      </c>
      <c r="C57" s="1" t="s">
        <v>11</v>
      </c>
      <c r="D57">
        <v>0</v>
      </c>
      <c r="E57">
        <v>0</v>
      </c>
      <c r="F57">
        <v>28315</v>
      </c>
      <c r="G57">
        <v>72500</v>
      </c>
      <c r="H57">
        <v>82240</v>
      </c>
      <c r="I57">
        <v>146058</v>
      </c>
      <c r="J57">
        <v>68.5</v>
      </c>
    </row>
    <row r="58" spans="1:10" x14ac:dyDescent="0.2">
      <c r="A58">
        <v>1996</v>
      </c>
      <c r="B58" s="1" t="s">
        <v>10</v>
      </c>
      <c r="C58" s="1" t="s">
        <v>12</v>
      </c>
      <c r="D58">
        <v>0</v>
      </c>
      <c r="E58">
        <v>0</v>
      </c>
      <c r="F58">
        <v>2128</v>
      </c>
      <c r="G58">
        <v>31500</v>
      </c>
      <c r="H58">
        <v>35368</v>
      </c>
      <c r="I58">
        <v>63460</v>
      </c>
      <c r="J58">
        <v>68.5</v>
      </c>
    </row>
    <row r="59" spans="1:10" x14ac:dyDescent="0.2">
      <c r="A59">
        <v>1996</v>
      </c>
      <c r="B59" s="1" t="s">
        <v>10</v>
      </c>
      <c r="C59" s="1" t="s">
        <v>13</v>
      </c>
      <c r="D59">
        <v>0</v>
      </c>
      <c r="E59">
        <v>0</v>
      </c>
      <c r="F59">
        <v>27200</v>
      </c>
      <c r="G59">
        <v>43950</v>
      </c>
      <c r="H59">
        <v>45759</v>
      </c>
      <c r="I59">
        <v>88542</v>
      </c>
      <c r="J59">
        <v>68.5</v>
      </c>
    </row>
    <row r="60" spans="1:10" x14ac:dyDescent="0.2">
      <c r="A60">
        <v>1996</v>
      </c>
      <c r="B60" s="1" t="s">
        <v>10</v>
      </c>
      <c r="C60" s="1" t="s">
        <v>14</v>
      </c>
      <c r="D60">
        <v>0</v>
      </c>
      <c r="E60">
        <v>0</v>
      </c>
      <c r="F60">
        <v>18893</v>
      </c>
      <c r="G60">
        <v>33750</v>
      </c>
      <c r="H60">
        <v>35545</v>
      </c>
      <c r="I60">
        <v>67993</v>
      </c>
      <c r="J60">
        <v>68.5</v>
      </c>
    </row>
    <row r="61" spans="1:10" x14ac:dyDescent="0.2">
      <c r="A61">
        <v>1996</v>
      </c>
      <c r="B61" s="1" t="s">
        <v>15</v>
      </c>
      <c r="C61" s="1" t="s">
        <v>11</v>
      </c>
      <c r="D61">
        <v>0</v>
      </c>
      <c r="E61">
        <v>0</v>
      </c>
      <c r="F61">
        <v>36005</v>
      </c>
      <c r="G61">
        <v>89000</v>
      </c>
      <c r="H61">
        <v>106715</v>
      </c>
      <c r="I61">
        <v>179299</v>
      </c>
      <c r="J61">
        <v>68.5</v>
      </c>
    </row>
    <row r="62" spans="1:10" x14ac:dyDescent="0.2">
      <c r="A62">
        <v>1996</v>
      </c>
      <c r="B62" s="1" t="s">
        <v>15</v>
      </c>
      <c r="C62" s="1" t="s">
        <v>12</v>
      </c>
      <c r="D62">
        <v>0</v>
      </c>
      <c r="E62">
        <v>0</v>
      </c>
      <c r="F62">
        <v>13169</v>
      </c>
      <c r="G62">
        <v>38000</v>
      </c>
      <c r="H62">
        <v>42360</v>
      </c>
      <c r="I62">
        <v>76555</v>
      </c>
      <c r="J62">
        <v>68.5</v>
      </c>
    </row>
    <row r="63" spans="1:10" x14ac:dyDescent="0.2">
      <c r="A63">
        <v>1996</v>
      </c>
      <c r="B63" s="1" t="s">
        <v>15</v>
      </c>
      <c r="C63" s="1" t="s">
        <v>13</v>
      </c>
      <c r="D63">
        <v>0</v>
      </c>
      <c r="E63">
        <v>0</v>
      </c>
      <c r="F63">
        <v>32912</v>
      </c>
      <c r="G63">
        <v>57000</v>
      </c>
      <c r="H63">
        <v>63613</v>
      </c>
      <c r="I63">
        <v>114832</v>
      </c>
      <c r="J63">
        <v>68.5</v>
      </c>
    </row>
    <row r="64" spans="1:10" x14ac:dyDescent="0.2">
      <c r="A64">
        <v>1996</v>
      </c>
      <c r="B64" s="1" t="s">
        <v>15</v>
      </c>
      <c r="C64" s="1" t="s">
        <v>14</v>
      </c>
      <c r="D64">
        <v>0</v>
      </c>
      <c r="E64">
        <v>0</v>
      </c>
      <c r="F64">
        <v>32431</v>
      </c>
      <c r="G64">
        <v>48000</v>
      </c>
      <c r="H64">
        <v>52595</v>
      </c>
      <c r="I64">
        <v>96701</v>
      </c>
      <c r="J64">
        <v>68.5</v>
      </c>
    </row>
    <row r="65" spans="1:10" x14ac:dyDescent="0.2">
      <c r="A65">
        <v>1996</v>
      </c>
      <c r="B65" s="1" t="s">
        <v>16</v>
      </c>
      <c r="C65" s="1" t="s">
        <v>11</v>
      </c>
      <c r="D65">
        <v>0</v>
      </c>
      <c r="E65">
        <v>0</v>
      </c>
      <c r="F65">
        <v>7376</v>
      </c>
      <c r="G65">
        <v>165000</v>
      </c>
      <c r="H65">
        <v>217827</v>
      </c>
      <c r="I65">
        <v>332409</v>
      </c>
      <c r="J65">
        <v>68.5</v>
      </c>
    </row>
    <row r="66" spans="1:10" x14ac:dyDescent="0.2">
      <c r="A66">
        <v>1996</v>
      </c>
      <c r="B66" s="1" t="s">
        <v>16</v>
      </c>
      <c r="C66" s="1" t="s">
        <v>12</v>
      </c>
      <c r="D66">
        <v>0</v>
      </c>
      <c r="E66">
        <v>0</v>
      </c>
      <c r="F66">
        <v>57841</v>
      </c>
      <c r="G66">
        <v>64500</v>
      </c>
      <c r="H66">
        <v>88802</v>
      </c>
      <c r="I66">
        <v>129942</v>
      </c>
      <c r="J66">
        <v>68.5</v>
      </c>
    </row>
    <row r="67" spans="1:10" x14ac:dyDescent="0.2">
      <c r="A67">
        <v>1996</v>
      </c>
      <c r="B67" s="1" t="s">
        <v>16</v>
      </c>
      <c r="C67" s="1" t="s">
        <v>13</v>
      </c>
      <c r="D67">
        <v>0</v>
      </c>
      <c r="E67">
        <v>0</v>
      </c>
      <c r="F67">
        <v>25013</v>
      </c>
      <c r="G67">
        <v>92000</v>
      </c>
      <c r="H67">
        <v>113836</v>
      </c>
      <c r="I67">
        <v>185343</v>
      </c>
      <c r="J67">
        <v>68.5</v>
      </c>
    </row>
    <row r="68" spans="1:10" x14ac:dyDescent="0.2">
      <c r="A68">
        <v>1996</v>
      </c>
      <c r="B68" s="1" t="s">
        <v>16</v>
      </c>
      <c r="C68" s="1" t="s">
        <v>14</v>
      </c>
      <c r="D68">
        <v>0</v>
      </c>
      <c r="E68">
        <v>0</v>
      </c>
      <c r="F68">
        <v>44733</v>
      </c>
      <c r="G68">
        <v>75000</v>
      </c>
      <c r="H68">
        <v>104592</v>
      </c>
      <c r="I68">
        <v>151095</v>
      </c>
      <c r="J68">
        <v>68.5</v>
      </c>
    </row>
    <row r="69" spans="1:10" x14ac:dyDescent="0.2">
      <c r="A69">
        <v>1996</v>
      </c>
      <c r="B69" s="1" t="s">
        <v>17</v>
      </c>
      <c r="C69" s="1" t="s">
        <v>11</v>
      </c>
      <c r="D69">
        <v>0</v>
      </c>
      <c r="E69">
        <v>0</v>
      </c>
      <c r="F69">
        <v>7439</v>
      </c>
      <c r="G69">
        <v>78500</v>
      </c>
      <c r="H69">
        <v>87999</v>
      </c>
      <c r="I69">
        <v>158146</v>
      </c>
      <c r="J69">
        <v>68.5</v>
      </c>
    </row>
    <row r="70" spans="1:10" x14ac:dyDescent="0.2">
      <c r="A70">
        <v>1996</v>
      </c>
      <c r="B70" s="1" t="s">
        <v>17</v>
      </c>
      <c r="C70" s="1" t="s">
        <v>12</v>
      </c>
      <c r="D70">
        <v>0</v>
      </c>
      <c r="E70">
        <v>0</v>
      </c>
      <c r="F70">
        <v>3738</v>
      </c>
      <c r="G70">
        <v>31000</v>
      </c>
      <c r="H70">
        <v>35372</v>
      </c>
      <c r="I70">
        <v>62453</v>
      </c>
      <c r="J70">
        <v>68.5</v>
      </c>
    </row>
    <row r="71" spans="1:10" x14ac:dyDescent="0.2">
      <c r="A71">
        <v>1996</v>
      </c>
      <c r="B71" s="1" t="s">
        <v>17</v>
      </c>
      <c r="C71" s="1" t="s">
        <v>13</v>
      </c>
      <c r="D71">
        <v>0</v>
      </c>
      <c r="E71">
        <v>0</v>
      </c>
      <c r="F71">
        <v>12967</v>
      </c>
      <c r="G71">
        <v>48000</v>
      </c>
      <c r="H71">
        <v>49602</v>
      </c>
      <c r="I71">
        <v>96701</v>
      </c>
      <c r="J71">
        <v>68.5</v>
      </c>
    </row>
    <row r="72" spans="1:10" x14ac:dyDescent="0.2">
      <c r="A72">
        <v>1996</v>
      </c>
      <c r="B72" s="1" t="s">
        <v>17</v>
      </c>
      <c r="C72" s="1" t="s">
        <v>14</v>
      </c>
      <c r="D72">
        <v>0</v>
      </c>
      <c r="E72">
        <v>0</v>
      </c>
      <c r="F72">
        <v>13302</v>
      </c>
      <c r="G72">
        <v>33000</v>
      </c>
      <c r="H72">
        <v>37365</v>
      </c>
      <c r="I72">
        <v>66482</v>
      </c>
      <c r="J72">
        <v>68.5</v>
      </c>
    </row>
    <row r="73" spans="1:10" x14ac:dyDescent="0.2">
      <c r="A73">
        <v>1996</v>
      </c>
      <c r="B73" s="1" t="s">
        <v>18</v>
      </c>
      <c r="C73" s="1" t="s">
        <v>11</v>
      </c>
      <c r="D73">
        <v>0</v>
      </c>
      <c r="E73">
        <v>0</v>
      </c>
      <c r="F73">
        <v>21915</v>
      </c>
      <c r="G73">
        <v>84500</v>
      </c>
      <c r="H73">
        <v>97170</v>
      </c>
      <c r="I73">
        <v>170234</v>
      </c>
      <c r="J73">
        <v>68.5</v>
      </c>
    </row>
    <row r="74" spans="1:10" x14ac:dyDescent="0.2">
      <c r="A74">
        <v>1996</v>
      </c>
      <c r="B74" s="1" t="s">
        <v>18</v>
      </c>
      <c r="C74" s="1" t="s">
        <v>12</v>
      </c>
      <c r="D74">
        <v>0</v>
      </c>
      <c r="E74">
        <v>0</v>
      </c>
      <c r="F74">
        <v>6372</v>
      </c>
      <c r="G74">
        <v>39500</v>
      </c>
      <c r="H74">
        <v>45958</v>
      </c>
      <c r="I74">
        <v>79577</v>
      </c>
      <c r="J74">
        <v>68.5</v>
      </c>
    </row>
    <row r="75" spans="1:10" x14ac:dyDescent="0.2">
      <c r="A75">
        <v>1996</v>
      </c>
      <c r="B75" s="1" t="s">
        <v>18</v>
      </c>
      <c r="C75" s="1" t="s">
        <v>13</v>
      </c>
      <c r="D75">
        <v>0</v>
      </c>
      <c r="E75">
        <v>0</v>
      </c>
      <c r="F75">
        <v>40228</v>
      </c>
      <c r="G75">
        <v>49950</v>
      </c>
      <c r="H75">
        <v>52346</v>
      </c>
      <c r="I75">
        <v>100629</v>
      </c>
      <c r="J75">
        <v>68.5</v>
      </c>
    </row>
    <row r="76" spans="1:10" x14ac:dyDescent="0.2">
      <c r="A76">
        <v>1996</v>
      </c>
      <c r="B76" s="1" t="s">
        <v>18</v>
      </c>
      <c r="C76" s="1" t="s">
        <v>14</v>
      </c>
      <c r="D76">
        <v>0</v>
      </c>
      <c r="E76">
        <v>0</v>
      </c>
      <c r="F76">
        <v>37873</v>
      </c>
      <c r="G76">
        <v>32995</v>
      </c>
      <c r="H76">
        <v>34865</v>
      </c>
      <c r="I76">
        <v>66472</v>
      </c>
      <c r="J76">
        <v>68.5</v>
      </c>
    </row>
    <row r="77" spans="1:10" x14ac:dyDescent="0.2">
      <c r="A77">
        <v>1996</v>
      </c>
      <c r="B77" s="1" t="s">
        <v>19</v>
      </c>
      <c r="C77" s="1" t="s">
        <v>11</v>
      </c>
      <c r="D77">
        <v>0</v>
      </c>
      <c r="E77">
        <v>0</v>
      </c>
      <c r="F77">
        <v>53293</v>
      </c>
      <c r="G77">
        <v>118700</v>
      </c>
      <c r="H77">
        <v>139706</v>
      </c>
      <c r="I77">
        <v>239133</v>
      </c>
      <c r="J77">
        <v>68.5</v>
      </c>
    </row>
    <row r="78" spans="1:10" x14ac:dyDescent="0.2">
      <c r="A78">
        <v>1996</v>
      </c>
      <c r="B78" s="1" t="s">
        <v>19</v>
      </c>
      <c r="C78" s="1" t="s">
        <v>12</v>
      </c>
      <c r="D78">
        <v>0</v>
      </c>
      <c r="E78">
        <v>0</v>
      </c>
      <c r="F78">
        <v>26847</v>
      </c>
      <c r="G78">
        <v>43500</v>
      </c>
      <c r="H78">
        <v>48840</v>
      </c>
      <c r="I78">
        <v>87635</v>
      </c>
      <c r="J78">
        <v>68.5</v>
      </c>
    </row>
    <row r="79" spans="1:10" x14ac:dyDescent="0.2">
      <c r="A79">
        <v>1996</v>
      </c>
      <c r="B79" s="1" t="s">
        <v>19</v>
      </c>
      <c r="C79" s="1" t="s">
        <v>13</v>
      </c>
      <c r="D79">
        <v>0</v>
      </c>
      <c r="E79">
        <v>0</v>
      </c>
      <c r="F79">
        <v>49631</v>
      </c>
      <c r="G79">
        <v>69000</v>
      </c>
      <c r="H79">
        <v>74709</v>
      </c>
      <c r="I79">
        <v>139007</v>
      </c>
      <c r="J79">
        <v>68.5</v>
      </c>
    </row>
    <row r="80" spans="1:10" x14ac:dyDescent="0.2">
      <c r="A80">
        <v>1996</v>
      </c>
      <c r="B80" s="1" t="s">
        <v>19</v>
      </c>
      <c r="C80" s="1" t="s">
        <v>14</v>
      </c>
      <c r="D80">
        <v>0</v>
      </c>
      <c r="E80">
        <v>0</v>
      </c>
      <c r="F80">
        <v>47595</v>
      </c>
      <c r="G80">
        <v>55500</v>
      </c>
      <c r="H80">
        <v>59909</v>
      </c>
      <c r="I80">
        <v>111810</v>
      </c>
      <c r="J80">
        <v>68.5</v>
      </c>
    </row>
    <row r="81" spans="1:10" x14ac:dyDescent="0.2">
      <c r="A81">
        <v>1996</v>
      </c>
      <c r="B81" s="1" t="s">
        <v>20</v>
      </c>
      <c r="C81" s="1" t="s">
        <v>11</v>
      </c>
      <c r="D81">
        <v>0</v>
      </c>
      <c r="E81">
        <v>0</v>
      </c>
      <c r="F81">
        <v>35330</v>
      </c>
      <c r="G81">
        <v>87000</v>
      </c>
      <c r="H81">
        <v>99941</v>
      </c>
      <c r="I81">
        <v>175270</v>
      </c>
      <c r="J81">
        <v>68.5</v>
      </c>
    </row>
    <row r="82" spans="1:10" x14ac:dyDescent="0.2">
      <c r="A82">
        <v>1996</v>
      </c>
      <c r="B82" s="1" t="s">
        <v>20</v>
      </c>
      <c r="C82" s="1" t="s">
        <v>12</v>
      </c>
      <c r="D82">
        <v>0</v>
      </c>
      <c r="E82">
        <v>0</v>
      </c>
      <c r="F82">
        <v>12231</v>
      </c>
      <c r="G82">
        <v>40000</v>
      </c>
      <c r="H82">
        <v>48059</v>
      </c>
      <c r="I82">
        <v>80584</v>
      </c>
      <c r="J82">
        <v>68.5</v>
      </c>
    </row>
    <row r="83" spans="1:10" x14ac:dyDescent="0.2">
      <c r="A83">
        <v>1996</v>
      </c>
      <c r="B83" s="1" t="s">
        <v>20</v>
      </c>
      <c r="C83" s="1" t="s">
        <v>13</v>
      </c>
      <c r="D83">
        <v>0</v>
      </c>
      <c r="E83">
        <v>0</v>
      </c>
      <c r="F83">
        <v>27048</v>
      </c>
      <c r="G83">
        <v>55500</v>
      </c>
      <c r="H83">
        <v>59672</v>
      </c>
      <c r="I83">
        <v>111810</v>
      </c>
      <c r="J83">
        <v>68.5</v>
      </c>
    </row>
    <row r="84" spans="1:10" x14ac:dyDescent="0.2">
      <c r="A84">
        <v>1996</v>
      </c>
      <c r="B84" s="1" t="s">
        <v>20</v>
      </c>
      <c r="C84" s="1" t="s">
        <v>14</v>
      </c>
      <c r="D84">
        <v>0</v>
      </c>
      <c r="E84">
        <v>0</v>
      </c>
      <c r="F84">
        <v>32141</v>
      </c>
      <c r="G84">
        <v>45000</v>
      </c>
      <c r="H84">
        <v>48970</v>
      </c>
      <c r="I84">
        <v>90657</v>
      </c>
      <c r="J84">
        <v>68.5</v>
      </c>
    </row>
    <row r="85" spans="1:10" x14ac:dyDescent="0.2">
      <c r="A85">
        <v>1996</v>
      </c>
      <c r="B85" s="1" t="s">
        <v>21</v>
      </c>
      <c r="C85" s="1" t="s">
        <v>11</v>
      </c>
      <c r="D85">
        <v>0</v>
      </c>
      <c r="E85">
        <v>0</v>
      </c>
      <c r="F85">
        <v>11990</v>
      </c>
      <c r="G85">
        <v>70500</v>
      </c>
      <c r="H85">
        <v>76813</v>
      </c>
      <c r="I85">
        <v>142029</v>
      </c>
      <c r="J85">
        <v>68.5</v>
      </c>
    </row>
    <row r="86" spans="1:10" x14ac:dyDescent="0.2">
      <c r="A86">
        <v>1996</v>
      </c>
      <c r="B86" s="1" t="s">
        <v>21</v>
      </c>
      <c r="C86" s="1" t="s">
        <v>12</v>
      </c>
      <c r="D86">
        <v>0</v>
      </c>
      <c r="E86">
        <v>0</v>
      </c>
      <c r="F86">
        <v>1603</v>
      </c>
      <c r="G86">
        <v>38950</v>
      </c>
      <c r="H86">
        <v>41272</v>
      </c>
      <c r="I86">
        <v>78469</v>
      </c>
      <c r="J86">
        <v>68.5</v>
      </c>
    </row>
    <row r="87" spans="1:10" x14ac:dyDescent="0.2">
      <c r="A87">
        <v>1996</v>
      </c>
      <c r="B87" s="1" t="s">
        <v>21</v>
      </c>
      <c r="C87" s="1" t="s">
        <v>13</v>
      </c>
      <c r="D87">
        <v>0</v>
      </c>
      <c r="E87">
        <v>0</v>
      </c>
      <c r="F87">
        <v>13332</v>
      </c>
      <c r="G87">
        <v>45500</v>
      </c>
      <c r="H87">
        <v>47582</v>
      </c>
      <c r="I87">
        <v>91664</v>
      </c>
      <c r="J87">
        <v>68.5</v>
      </c>
    </row>
    <row r="88" spans="1:10" x14ac:dyDescent="0.2">
      <c r="A88">
        <v>1996</v>
      </c>
      <c r="B88" s="1" t="s">
        <v>21</v>
      </c>
      <c r="C88" s="1" t="s">
        <v>14</v>
      </c>
      <c r="D88">
        <v>0</v>
      </c>
      <c r="E88">
        <v>0</v>
      </c>
      <c r="F88">
        <v>14117</v>
      </c>
      <c r="G88">
        <v>35950</v>
      </c>
      <c r="H88">
        <v>37221</v>
      </c>
      <c r="I88">
        <v>72425</v>
      </c>
      <c r="J88">
        <v>68.5</v>
      </c>
    </row>
    <row r="89" spans="1:10" x14ac:dyDescent="0.2">
      <c r="A89">
        <v>1996</v>
      </c>
      <c r="B89" s="1" t="s">
        <v>22</v>
      </c>
      <c r="C89" s="1" t="s">
        <v>11</v>
      </c>
      <c r="D89">
        <v>0</v>
      </c>
      <c r="E89">
        <v>0</v>
      </c>
      <c r="F89">
        <v>23513</v>
      </c>
      <c r="G89">
        <v>86000</v>
      </c>
      <c r="H89">
        <v>98457</v>
      </c>
      <c r="I89">
        <v>173255</v>
      </c>
      <c r="J89">
        <v>68.5</v>
      </c>
    </row>
    <row r="90" spans="1:10" x14ac:dyDescent="0.2">
      <c r="A90">
        <v>1996</v>
      </c>
      <c r="B90" s="1" t="s">
        <v>22</v>
      </c>
      <c r="C90" s="1" t="s">
        <v>12</v>
      </c>
      <c r="D90">
        <v>0</v>
      </c>
      <c r="E90">
        <v>0</v>
      </c>
      <c r="F90">
        <v>5681</v>
      </c>
      <c r="G90">
        <v>37000</v>
      </c>
      <c r="H90">
        <v>41283</v>
      </c>
      <c r="I90">
        <v>74540</v>
      </c>
      <c r="J90">
        <v>68.5</v>
      </c>
    </row>
    <row r="91" spans="1:10" x14ac:dyDescent="0.2">
      <c r="A91">
        <v>1996</v>
      </c>
      <c r="B91" s="1" t="s">
        <v>22</v>
      </c>
      <c r="C91" s="1" t="s">
        <v>13</v>
      </c>
      <c r="D91">
        <v>0</v>
      </c>
      <c r="E91">
        <v>0</v>
      </c>
      <c r="F91">
        <v>31098</v>
      </c>
      <c r="G91">
        <v>50000</v>
      </c>
      <c r="H91">
        <v>52937</v>
      </c>
      <c r="I91">
        <v>100730</v>
      </c>
      <c r="J91">
        <v>68.5</v>
      </c>
    </row>
    <row r="92" spans="1:10" x14ac:dyDescent="0.2">
      <c r="A92">
        <v>1996</v>
      </c>
      <c r="B92" s="1" t="s">
        <v>22</v>
      </c>
      <c r="C92" s="1" t="s">
        <v>14</v>
      </c>
      <c r="D92">
        <v>0</v>
      </c>
      <c r="E92">
        <v>0</v>
      </c>
      <c r="F92">
        <v>24523</v>
      </c>
      <c r="G92">
        <v>39000</v>
      </c>
      <c r="H92">
        <v>41198</v>
      </c>
      <c r="I92">
        <v>78569</v>
      </c>
      <c r="J92">
        <v>68.5</v>
      </c>
    </row>
    <row r="93" spans="1:10" x14ac:dyDescent="0.2">
      <c r="A93">
        <v>1996</v>
      </c>
      <c r="B93" s="1" t="s">
        <v>23</v>
      </c>
      <c r="C93" s="1" t="s">
        <v>11</v>
      </c>
      <c r="D93">
        <v>0</v>
      </c>
      <c r="E93">
        <v>0</v>
      </c>
      <c r="F93">
        <v>19260</v>
      </c>
      <c r="G93">
        <v>80000</v>
      </c>
      <c r="H93">
        <v>90867</v>
      </c>
      <c r="I93">
        <v>161168</v>
      </c>
      <c r="J93">
        <v>68.5</v>
      </c>
    </row>
    <row r="94" spans="1:10" x14ac:dyDescent="0.2">
      <c r="A94">
        <v>1996</v>
      </c>
      <c r="B94" s="1" t="s">
        <v>23</v>
      </c>
      <c r="C94" s="1" t="s">
        <v>12</v>
      </c>
      <c r="D94">
        <v>0</v>
      </c>
      <c r="E94">
        <v>0</v>
      </c>
      <c r="F94">
        <v>3425</v>
      </c>
      <c r="G94">
        <v>39000</v>
      </c>
      <c r="H94">
        <v>43653</v>
      </c>
      <c r="I94">
        <v>78569</v>
      </c>
      <c r="J94">
        <v>68.5</v>
      </c>
    </row>
    <row r="95" spans="1:10" x14ac:dyDescent="0.2">
      <c r="A95">
        <v>1996</v>
      </c>
      <c r="B95" s="1" t="s">
        <v>23</v>
      </c>
      <c r="C95" s="1" t="s">
        <v>13</v>
      </c>
      <c r="D95">
        <v>0</v>
      </c>
      <c r="E95">
        <v>0</v>
      </c>
      <c r="F95">
        <v>29488</v>
      </c>
      <c r="G95">
        <v>48000</v>
      </c>
      <c r="H95">
        <v>50221</v>
      </c>
      <c r="I95">
        <v>96701</v>
      </c>
      <c r="J95">
        <v>68.5</v>
      </c>
    </row>
    <row r="96" spans="1:10" x14ac:dyDescent="0.2">
      <c r="A96">
        <v>1996</v>
      </c>
      <c r="B96" s="1" t="s">
        <v>23</v>
      </c>
      <c r="C96" s="1" t="s">
        <v>14</v>
      </c>
      <c r="D96">
        <v>0</v>
      </c>
      <c r="E96">
        <v>0</v>
      </c>
      <c r="F96">
        <v>28241</v>
      </c>
      <c r="G96">
        <v>34500</v>
      </c>
      <c r="H96">
        <v>36822</v>
      </c>
      <c r="I96">
        <v>69504</v>
      </c>
      <c r="J96">
        <v>68.5</v>
      </c>
    </row>
    <row r="97" spans="1:10" x14ac:dyDescent="0.2">
      <c r="A97">
        <v>1996</v>
      </c>
      <c r="B97" s="1" t="s">
        <v>10</v>
      </c>
      <c r="C97" s="1" t="s">
        <v>24</v>
      </c>
      <c r="D97">
        <v>0</v>
      </c>
      <c r="E97">
        <v>1</v>
      </c>
      <c r="F97">
        <v>76536</v>
      </c>
      <c r="G97">
        <v>47500</v>
      </c>
      <c r="H97">
        <v>56445</v>
      </c>
      <c r="I97">
        <v>95693</v>
      </c>
      <c r="J97">
        <v>68.5</v>
      </c>
    </row>
    <row r="98" spans="1:10" x14ac:dyDescent="0.2">
      <c r="A98">
        <v>1996</v>
      </c>
      <c r="B98" s="1" t="s">
        <v>15</v>
      </c>
      <c r="C98" s="1" t="s">
        <v>24</v>
      </c>
      <c r="D98">
        <v>0</v>
      </c>
      <c r="E98">
        <v>1</v>
      </c>
      <c r="F98">
        <v>114517</v>
      </c>
      <c r="G98">
        <v>58995</v>
      </c>
      <c r="H98">
        <v>71600</v>
      </c>
      <c r="I98">
        <v>118851</v>
      </c>
      <c r="J98">
        <v>68.5</v>
      </c>
    </row>
    <row r="99" spans="1:10" x14ac:dyDescent="0.2">
      <c r="A99">
        <v>1996</v>
      </c>
      <c r="B99" s="1" t="s">
        <v>16</v>
      </c>
      <c r="C99" s="1" t="s">
        <v>24</v>
      </c>
      <c r="D99">
        <v>0</v>
      </c>
      <c r="E99">
        <v>1</v>
      </c>
      <c r="F99">
        <v>134963</v>
      </c>
      <c r="G99">
        <v>77000</v>
      </c>
      <c r="H99">
        <v>105727</v>
      </c>
      <c r="I99">
        <v>155124</v>
      </c>
      <c r="J99">
        <v>68.5</v>
      </c>
    </row>
    <row r="100" spans="1:10" x14ac:dyDescent="0.2">
      <c r="A100">
        <v>1996</v>
      </c>
      <c r="B100" s="1" t="s">
        <v>17</v>
      </c>
      <c r="C100" s="1" t="s">
        <v>24</v>
      </c>
      <c r="D100">
        <v>0</v>
      </c>
      <c r="E100">
        <v>1</v>
      </c>
      <c r="F100">
        <v>37446</v>
      </c>
      <c r="G100">
        <v>45000</v>
      </c>
      <c r="H100">
        <v>51463</v>
      </c>
      <c r="I100">
        <v>90657</v>
      </c>
      <c r="J100">
        <v>68.5</v>
      </c>
    </row>
    <row r="101" spans="1:10" x14ac:dyDescent="0.2">
      <c r="A101">
        <v>1996</v>
      </c>
      <c r="B101" s="1" t="s">
        <v>18</v>
      </c>
      <c r="C101" s="1" t="s">
        <v>24</v>
      </c>
      <c r="D101">
        <v>0</v>
      </c>
      <c r="E101">
        <v>1</v>
      </c>
      <c r="F101">
        <v>106388</v>
      </c>
      <c r="G101">
        <v>46950</v>
      </c>
      <c r="H101">
        <v>54974</v>
      </c>
      <c r="I101">
        <v>94585</v>
      </c>
      <c r="J101">
        <v>68.5</v>
      </c>
    </row>
    <row r="102" spans="1:10" x14ac:dyDescent="0.2">
      <c r="A102">
        <v>1996</v>
      </c>
      <c r="B102" s="1" t="s">
        <v>19</v>
      </c>
      <c r="C102" s="1" t="s">
        <v>24</v>
      </c>
      <c r="D102">
        <v>0</v>
      </c>
      <c r="E102">
        <v>1</v>
      </c>
      <c r="F102">
        <v>177366</v>
      </c>
      <c r="G102">
        <v>68500</v>
      </c>
      <c r="H102">
        <v>86351</v>
      </c>
      <c r="I102">
        <v>138000</v>
      </c>
      <c r="J102">
        <v>68.5</v>
      </c>
    </row>
    <row r="103" spans="1:10" x14ac:dyDescent="0.2">
      <c r="A103">
        <v>1996</v>
      </c>
      <c r="B103" s="1" t="s">
        <v>20</v>
      </c>
      <c r="C103" s="1" t="s">
        <v>24</v>
      </c>
      <c r="D103">
        <v>0</v>
      </c>
      <c r="E103">
        <v>1</v>
      </c>
      <c r="F103">
        <v>106750</v>
      </c>
      <c r="G103">
        <v>57500</v>
      </c>
      <c r="H103">
        <v>68447</v>
      </c>
      <c r="I103">
        <v>115839</v>
      </c>
      <c r="J103">
        <v>68.5</v>
      </c>
    </row>
    <row r="104" spans="1:10" x14ac:dyDescent="0.2">
      <c r="A104">
        <v>1996</v>
      </c>
      <c r="B104" s="1" t="s">
        <v>21</v>
      </c>
      <c r="C104" s="1" t="s">
        <v>24</v>
      </c>
      <c r="D104">
        <v>0</v>
      </c>
      <c r="E104">
        <v>1</v>
      </c>
      <c r="F104">
        <v>41042</v>
      </c>
      <c r="G104">
        <v>45500</v>
      </c>
      <c r="H104">
        <v>52312</v>
      </c>
      <c r="I104">
        <v>91664</v>
      </c>
      <c r="J104">
        <v>68.5</v>
      </c>
    </row>
    <row r="105" spans="1:10" x14ac:dyDescent="0.2">
      <c r="A105">
        <v>1996</v>
      </c>
      <c r="B105" s="1" t="s">
        <v>22</v>
      </c>
      <c r="C105" s="1" t="s">
        <v>24</v>
      </c>
      <c r="D105">
        <v>0</v>
      </c>
      <c r="E105">
        <v>1</v>
      </c>
      <c r="F105">
        <v>84815</v>
      </c>
      <c r="G105">
        <v>51000</v>
      </c>
      <c r="H105">
        <v>61382</v>
      </c>
      <c r="I105">
        <v>102745</v>
      </c>
      <c r="J105">
        <v>68.5</v>
      </c>
    </row>
    <row r="106" spans="1:10" x14ac:dyDescent="0.2">
      <c r="A106">
        <v>1996</v>
      </c>
      <c r="B106" s="1" t="s">
        <v>23</v>
      </c>
      <c r="C106" s="1" t="s">
        <v>24</v>
      </c>
      <c r="D106">
        <v>0</v>
      </c>
      <c r="E106">
        <v>1</v>
      </c>
      <c r="F106">
        <v>80414</v>
      </c>
      <c r="G106">
        <v>47000</v>
      </c>
      <c r="H106">
        <v>54971</v>
      </c>
      <c r="I106">
        <v>94686</v>
      </c>
      <c r="J106">
        <v>68.5</v>
      </c>
    </row>
    <row r="107" spans="1:10" x14ac:dyDescent="0.2">
      <c r="A107">
        <v>1996</v>
      </c>
      <c r="B107" s="1" t="s">
        <v>25</v>
      </c>
      <c r="C107" s="1" t="s">
        <v>11</v>
      </c>
      <c r="D107">
        <v>1</v>
      </c>
      <c r="E107">
        <v>0</v>
      </c>
      <c r="F107">
        <v>244629</v>
      </c>
      <c r="G107">
        <v>89500</v>
      </c>
      <c r="H107">
        <v>108515</v>
      </c>
      <c r="I107">
        <v>180307</v>
      </c>
      <c r="J107">
        <v>68.5</v>
      </c>
    </row>
    <row r="108" spans="1:10" x14ac:dyDescent="0.2">
      <c r="A108">
        <v>1996</v>
      </c>
      <c r="B108" s="1" t="s">
        <v>25</v>
      </c>
      <c r="C108" s="1" t="s">
        <v>12</v>
      </c>
      <c r="D108">
        <v>1</v>
      </c>
      <c r="E108">
        <v>0</v>
      </c>
      <c r="F108">
        <v>133233</v>
      </c>
      <c r="G108">
        <v>48000</v>
      </c>
      <c r="H108">
        <v>64263</v>
      </c>
      <c r="I108">
        <v>96701</v>
      </c>
      <c r="J108">
        <v>68.5</v>
      </c>
    </row>
    <row r="109" spans="1:10" x14ac:dyDescent="0.2">
      <c r="A109">
        <v>1996</v>
      </c>
      <c r="B109" s="1" t="s">
        <v>25</v>
      </c>
      <c r="C109" s="1" t="s">
        <v>13</v>
      </c>
      <c r="D109">
        <v>1</v>
      </c>
      <c r="E109">
        <v>0</v>
      </c>
      <c r="F109">
        <v>289016</v>
      </c>
      <c r="G109">
        <v>54500</v>
      </c>
      <c r="H109">
        <v>62391</v>
      </c>
      <c r="I109">
        <v>109796</v>
      </c>
      <c r="J109">
        <v>68.5</v>
      </c>
    </row>
    <row r="110" spans="1:10" x14ac:dyDescent="0.2">
      <c r="A110">
        <v>1996</v>
      </c>
      <c r="B110" s="1" t="s">
        <v>25</v>
      </c>
      <c r="C110" s="1" t="s">
        <v>14</v>
      </c>
      <c r="D110">
        <v>1</v>
      </c>
      <c r="E110">
        <v>0</v>
      </c>
      <c r="F110">
        <v>293945</v>
      </c>
      <c r="G110">
        <v>44500</v>
      </c>
      <c r="H110">
        <v>54024</v>
      </c>
      <c r="I110">
        <v>89650</v>
      </c>
      <c r="J110">
        <v>68.5</v>
      </c>
    </row>
    <row r="111" spans="1:10" x14ac:dyDescent="0.2">
      <c r="A111">
        <v>1996</v>
      </c>
      <c r="B111" s="1" t="s">
        <v>25</v>
      </c>
      <c r="C111" s="1" t="s">
        <v>24</v>
      </c>
      <c r="D111">
        <v>1</v>
      </c>
      <c r="E111">
        <v>1</v>
      </c>
      <c r="F111">
        <v>960823</v>
      </c>
      <c r="G111">
        <v>57000</v>
      </c>
      <c r="H111">
        <v>71834</v>
      </c>
      <c r="I111">
        <v>114832</v>
      </c>
      <c r="J111">
        <v>68.5</v>
      </c>
    </row>
    <row r="112" spans="1:10" x14ac:dyDescent="0.2">
      <c r="A112">
        <v>1997</v>
      </c>
      <c r="B112" s="1" t="s">
        <v>10</v>
      </c>
      <c r="C112" s="1" t="s">
        <v>11</v>
      </c>
      <c r="D112">
        <v>0</v>
      </c>
      <c r="E112">
        <v>0</v>
      </c>
      <c r="F112">
        <v>32519</v>
      </c>
      <c r="G112">
        <v>77000</v>
      </c>
      <c r="H112">
        <v>87418</v>
      </c>
      <c r="I112">
        <v>151800</v>
      </c>
      <c r="J112">
        <v>70</v>
      </c>
    </row>
    <row r="113" spans="1:10" x14ac:dyDescent="0.2">
      <c r="A113">
        <v>1997</v>
      </c>
      <c r="B113" s="1" t="s">
        <v>10</v>
      </c>
      <c r="C113" s="1" t="s">
        <v>12</v>
      </c>
      <c r="D113">
        <v>0</v>
      </c>
      <c r="E113">
        <v>0</v>
      </c>
      <c r="F113">
        <v>2523</v>
      </c>
      <c r="G113">
        <v>33500</v>
      </c>
      <c r="H113">
        <v>38851</v>
      </c>
      <c r="I113">
        <v>66043</v>
      </c>
      <c r="J113">
        <v>70</v>
      </c>
    </row>
    <row r="114" spans="1:10" x14ac:dyDescent="0.2">
      <c r="A114">
        <v>1997</v>
      </c>
      <c r="B114" s="1" t="s">
        <v>10</v>
      </c>
      <c r="C114" s="1" t="s">
        <v>13</v>
      </c>
      <c r="D114">
        <v>0</v>
      </c>
      <c r="E114">
        <v>0</v>
      </c>
      <c r="F114">
        <v>29869</v>
      </c>
      <c r="G114">
        <v>46000</v>
      </c>
      <c r="H114">
        <v>48500</v>
      </c>
      <c r="I114">
        <v>90686</v>
      </c>
      <c r="J114">
        <v>70</v>
      </c>
    </row>
    <row r="115" spans="1:10" x14ac:dyDescent="0.2">
      <c r="A115">
        <v>1997</v>
      </c>
      <c r="B115" s="1" t="s">
        <v>10</v>
      </c>
      <c r="C115" s="1" t="s">
        <v>14</v>
      </c>
      <c r="D115">
        <v>0</v>
      </c>
      <c r="E115">
        <v>0</v>
      </c>
      <c r="F115">
        <v>21344</v>
      </c>
      <c r="G115">
        <v>35500</v>
      </c>
      <c r="H115">
        <v>38168</v>
      </c>
      <c r="I115">
        <v>69986</v>
      </c>
      <c r="J115">
        <v>70</v>
      </c>
    </row>
    <row r="116" spans="1:10" x14ac:dyDescent="0.2">
      <c r="A116">
        <v>1997</v>
      </c>
      <c r="B116" s="1" t="s">
        <v>15</v>
      </c>
      <c r="C116" s="1" t="s">
        <v>11</v>
      </c>
      <c r="D116">
        <v>0</v>
      </c>
      <c r="E116">
        <v>0</v>
      </c>
      <c r="F116">
        <v>40778</v>
      </c>
      <c r="G116">
        <v>97000</v>
      </c>
      <c r="H116">
        <v>117223</v>
      </c>
      <c r="I116">
        <v>191229</v>
      </c>
      <c r="J116">
        <v>70</v>
      </c>
    </row>
    <row r="117" spans="1:10" x14ac:dyDescent="0.2">
      <c r="A117">
        <v>1997</v>
      </c>
      <c r="B117" s="1" t="s">
        <v>15</v>
      </c>
      <c r="C117" s="1" t="s">
        <v>12</v>
      </c>
      <c r="D117">
        <v>0</v>
      </c>
      <c r="E117">
        <v>0</v>
      </c>
      <c r="F117">
        <v>16054</v>
      </c>
      <c r="G117">
        <v>42000</v>
      </c>
      <c r="H117">
        <v>47540</v>
      </c>
      <c r="I117">
        <v>82800</v>
      </c>
      <c r="J117">
        <v>70</v>
      </c>
    </row>
    <row r="118" spans="1:10" x14ac:dyDescent="0.2">
      <c r="A118">
        <v>1997</v>
      </c>
      <c r="B118" s="1" t="s">
        <v>15</v>
      </c>
      <c r="C118" s="1" t="s">
        <v>13</v>
      </c>
      <c r="D118">
        <v>0</v>
      </c>
      <c r="E118">
        <v>0</v>
      </c>
      <c r="F118">
        <v>36712</v>
      </c>
      <c r="G118">
        <v>61500</v>
      </c>
      <c r="H118">
        <v>69631</v>
      </c>
      <c r="I118">
        <v>121243</v>
      </c>
      <c r="J118">
        <v>70</v>
      </c>
    </row>
    <row r="119" spans="1:10" x14ac:dyDescent="0.2">
      <c r="A119">
        <v>1997</v>
      </c>
      <c r="B119" s="1" t="s">
        <v>15</v>
      </c>
      <c r="C119" s="1" t="s">
        <v>14</v>
      </c>
      <c r="D119">
        <v>0</v>
      </c>
      <c r="E119">
        <v>0</v>
      </c>
      <c r="F119">
        <v>37561</v>
      </c>
      <c r="G119">
        <v>52000</v>
      </c>
      <c r="H119">
        <v>58151</v>
      </c>
      <c r="I119">
        <v>102514</v>
      </c>
      <c r="J119">
        <v>70</v>
      </c>
    </row>
    <row r="120" spans="1:10" x14ac:dyDescent="0.2">
      <c r="A120">
        <v>1997</v>
      </c>
      <c r="B120" s="1" t="s">
        <v>16</v>
      </c>
      <c r="C120" s="1" t="s">
        <v>11</v>
      </c>
      <c r="D120">
        <v>0</v>
      </c>
      <c r="E120">
        <v>0</v>
      </c>
      <c r="F120">
        <v>7639</v>
      </c>
      <c r="G120">
        <v>187500</v>
      </c>
      <c r="H120">
        <v>247569</v>
      </c>
      <c r="I120">
        <v>369643</v>
      </c>
      <c r="J120">
        <v>70</v>
      </c>
    </row>
    <row r="121" spans="1:10" x14ac:dyDescent="0.2">
      <c r="A121">
        <v>1997</v>
      </c>
      <c r="B121" s="1" t="s">
        <v>16</v>
      </c>
      <c r="C121" s="1" t="s">
        <v>12</v>
      </c>
      <c r="D121">
        <v>0</v>
      </c>
      <c r="E121">
        <v>0</v>
      </c>
      <c r="F121">
        <v>74245</v>
      </c>
      <c r="G121">
        <v>72000</v>
      </c>
      <c r="H121">
        <v>101347</v>
      </c>
      <c r="I121">
        <v>141943</v>
      </c>
      <c r="J121">
        <v>70</v>
      </c>
    </row>
    <row r="122" spans="1:10" x14ac:dyDescent="0.2">
      <c r="A122">
        <v>1997</v>
      </c>
      <c r="B122" s="1" t="s">
        <v>16</v>
      </c>
      <c r="C122" s="1" t="s">
        <v>13</v>
      </c>
      <c r="D122">
        <v>0</v>
      </c>
      <c r="E122">
        <v>0</v>
      </c>
      <c r="F122">
        <v>26320</v>
      </c>
      <c r="G122">
        <v>106000</v>
      </c>
      <c r="H122">
        <v>133220</v>
      </c>
      <c r="I122">
        <v>208971</v>
      </c>
      <c r="J122">
        <v>70</v>
      </c>
    </row>
    <row r="123" spans="1:10" x14ac:dyDescent="0.2">
      <c r="A123">
        <v>1997</v>
      </c>
      <c r="B123" s="1" t="s">
        <v>16</v>
      </c>
      <c r="C123" s="1" t="s">
        <v>14</v>
      </c>
      <c r="D123">
        <v>0</v>
      </c>
      <c r="E123">
        <v>0</v>
      </c>
      <c r="F123">
        <v>49144</v>
      </c>
      <c r="G123">
        <v>85000</v>
      </c>
      <c r="H123">
        <v>121408</v>
      </c>
      <c r="I123">
        <v>167571</v>
      </c>
      <c r="J123">
        <v>70</v>
      </c>
    </row>
    <row r="124" spans="1:10" x14ac:dyDescent="0.2">
      <c r="A124">
        <v>1997</v>
      </c>
      <c r="B124" s="1" t="s">
        <v>17</v>
      </c>
      <c r="C124" s="1" t="s">
        <v>11</v>
      </c>
      <c r="D124">
        <v>0</v>
      </c>
      <c r="E124">
        <v>0</v>
      </c>
      <c r="F124">
        <v>8171</v>
      </c>
      <c r="G124">
        <v>82000</v>
      </c>
      <c r="H124">
        <v>92433</v>
      </c>
      <c r="I124">
        <v>161657</v>
      </c>
      <c r="J124">
        <v>70</v>
      </c>
    </row>
    <row r="125" spans="1:10" x14ac:dyDescent="0.2">
      <c r="A125">
        <v>1997</v>
      </c>
      <c r="B125" s="1" t="s">
        <v>17</v>
      </c>
      <c r="C125" s="1" t="s">
        <v>12</v>
      </c>
      <c r="D125">
        <v>0</v>
      </c>
      <c r="E125">
        <v>0</v>
      </c>
      <c r="F125">
        <v>4244</v>
      </c>
      <c r="G125">
        <v>33500</v>
      </c>
      <c r="H125">
        <v>38866</v>
      </c>
      <c r="I125">
        <v>66043</v>
      </c>
      <c r="J125">
        <v>70</v>
      </c>
    </row>
    <row r="126" spans="1:10" x14ac:dyDescent="0.2">
      <c r="A126">
        <v>1997</v>
      </c>
      <c r="B126" s="1" t="s">
        <v>17</v>
      </c>
      <c r="C126" s="1" t="s">
        <v>13</v>
      </c>
      <c r="D126">
        <v>0</v>
      </c>
      <c r="E126">
        <v>0</v>
      </c>
      <c r="F126">
        <v>14266</v>
      </c>
      <c r="G126">
        <v>49950</v>
      </c>
      <c r="H126">
        <v>51851</v>
      </c>
      <c r="I126">
        <v>98473</v>
      </c>
      <c r="J126">
        <v>70</v>
      </c>
    </row>
    <row r="127" spans="1:10" x14ac:dyDescent="0.2">
      <c r="A127">
        <v>1997</v>
      </c>
      <c r="B127" s="1" t="s">
        <v>17</v>
      </c>
      <c r="C127" s="1" t="s">
        <v>14</v>
      </c>
      <c r="D127">
        <v>0</v>
      </c>
      <c r="E127">
        <v>0</v>
      </c>
      <c r="F127">
        <v>14152</v>
      </c>
      <c r="G127">
        <v>35000</v>
      </c>
      <c r="H127">
        <v>39664</v>
      </c>
      <c r="I127">
        <v>69000</v>
      </c>
      <c r="J127">
        <v>70</v>
      </c>
    </row>
    <row r="128" spans="1:10" x14ac:dyDescent="0.2">
      <c r="A128">
        <v>1997</v>
      </c>
      <c r="B128" s="1" t="s">
        <v>18</v>
      </c>
      <c r="C128" s="1" t="s">
        <v>11</v>
      </c>
      <c r="D128">
        <v>0</v>
      </c>
      <c r="E128">
        <v>0</v>
      </c>
      <c r="F128">
        <v>25773</v>
      </c>
      <c r="G128">
        <v>89000</v>
      </c>
      <c r="H128">
        <v>103926</v>
      </c>
      <c r="I128">
        <v>175457</v>
      </c>
      <c r="J128">
        <v>70</v>
      </c>
    </row>
    <row r="129" spans="1:10" x14ac:dyDescent="0.2">
      <c r="A129">
        <v>1997</v>
      </c>
      <c r="B129" s="1" t="s">
        <v>18</v>
      </c>
      <c r="C129" s="1" t="s">
        <v>12</v>
      </c>
      <c r="D129">
        <v>0</v>
      </c>
      <c r="E129">
        <v>0</v>
      </c>
      <c r="F129">
        <v>7055</v>
      </c>
      <c r="G129">
        <v>41000</v>
      </c>
      <c r="H129">
        <v>47994</v>
      </c>
      <c r="I129">
        <v>80829</v>
      </c>
      <c r="J129">
        <v>70</v>
      </c>
    </row>
    <row r="130" spans="1:10" x14ac:dyDescent="0.2">
      <c r="A130">
        <v>1997</v>
      </c>
      <c r="B130" s="1" t="s">
        <v>18</v>
      </c>
      <c r="C130" s="1" t="s">
        <v>13</v>
      </c>
      <c r="D130">
        <v>0</v>
      </c>
      <c r="E130">
        <v>0</v>
      </c>
      <c r="F130">
        <v>44360</v>
      </c>
      <c r="G130">
        <v>52000</v>
      </c>
      <c r="H130">
        <v>55337</v>
      </c>
      <c r="I130">
        <v>102514</v>
      </c>
      <c r="J130">
        <v>70</v>
      </c>
    </row>
    <row r="131" spans="1:10" x14ac:dyDescent="0.2">
      <c r="A131">
        <v>1997</v>
      </c>
      <c r="B131" s="1" t="s">
        <v>18</v>
      </c>
      <c r="C131" s="1" t="s">
        <v>14</v>
      </c>
      <c r="D131">
        <v>0</v>
      </c>
      <c r="E131">
        <v>0</v>
      </c>
      <c r="F131">
        <v>41820</v>
      </c>
      <c r="G131">
        <v>34000</v>
      </c>
      <c r="H131">
        <v>36620</v>
      </c>
      <c r="I131">
        <v>67029</v>
      </c>
      <c r="J131">
        <v>70</v>
      </c>
    </row>
    <row r="132" spans="1:10" x14ac:dyDescent="0.2">
      <c r="A132">
        <v>1997</v>
      </c>
      <c r="B132" s="1" t="s">
        <v>19</v>
      </c>
      <c r="C132" s="1" t="s">
        <v>11</v>
      </c>
      <c r="D132">
        <v>0</v>
      </c>
      <c r="E132">
        <v>0</v>
      </c>
      <c r="F132">
        <v>57030</v>
      </c>
      <c r="G132">
        <v>131000</v>
      </c>
      <c r="H132">
        <v>157021</v>
      </c>
      <c r="I132">
        <v>258257</v>
      </c>
      <c r="J132">
        <v>70</v>
      </c>
    </row>
    <row r="133" spans="1:10" x14ac:dyDescent="0.2">
      <c r="A133">
        <v>1997</v>
      </c>
      <c r="B133" s="1" t="s">
        <v>19</v>
      </c>
      <c r="C133" s="1" t="s">
        <v>12</v>
      </c>
      <c r="D133">
        <v>0</v>
      </c>
      <c r="E133">
        <v>0</v>
      </c>
      <c r="F133">
        <v>35297</v>
      </c>
      <c r="G133">
        <v>48000</v>
      </c>
      <c r="H133">
        <v>53630</v>
      </c>
      <c r="I133">
        <v>94629</v>
      </c>
      <c r="J133">
        <v>70</v>
      </c>
    </row>
    <row r="134" spans="1:10" x14ac:dyDescent="0.2">
      <c r="A134">
        <v>1997</v>
      </c>
      <c r="B134" s="1" t="s">
        <v>19</v>
      </c>
      <c r="C134" s="1" t="s">
        <v>13</v>
      </c>
      <c r="D134">
        <v>0</v>
      </c>
      <c r="E134">
        <v>0</v>
      </c>
      <c r="F134">
        <v>54479</v>
      </c>
      <c r="G134">
        <v>76500</v>
      </c>
      <c r="H134">
        <v>83555</v>
      </c>
      <c r="I134">
        <v>150814</v>
      </c>
      <c r="J134">
        <v>70</v>
      </c>
    </row>
    <row r="135" spans="1:10" x14ac:dyDescent="0.2">
      <c r="A135">
        <v>1997</v>
      </c>
      <c r="B135" s="1" t="s">
        <v>19</v>
      </c>
      <c r="C135" s="1" t="s">
        <v>14</v>
      </c>
      <c r="D135">
        <v>0</v>
      </c>
      <c r="E135">
        <v>0</v>
      </c>
      <c r="F135">
        <v>55479</v>
      </c>
      <c r="G135">
        <v>60000</v>
      </c>
      <c r="H135">
        <v>66967</v>
      </c>
      <c r="I135">
        <v>118286</v>
      </c>
      <c r="J135">
        <v>70</v>
      </c>
    </row>
    <row r="136" spans="1:10" x14ac:dyDescent="0.2">
      <c r="A136">
        <v>1997</v>
      </c>
      <c r="B136" s="1" t="s">
        <v>20</v>
      </c>
      <c r="C136" s="1" t="s">
        <v>11</v>
      </c>
      <c r="D136">
        <v>0</v>
      </c>
      <c r="E136">
        <v>0</v>
      </c>
      <c r="F136">
        <v>39890</v>
      </c>
      <c r="G136">
        <v>95000</v>
      </c>
      <c r="H136">
        <v>110887</v>
      </c>
      <c r="I136">
        <v>187286</v>
      </c>
      <c r="J136">
        <v>70</v>
      </c>
    </row>
    <row r="137" spans="1:10" x14ac:dyDescent="0.2">
      <c r="A137">
        <v>1997</v>
      </c>
      <c r="B137" s="1" t="s">
        <v>20</v>
      </c>
      <c r="C137" s="1" t="s">
        <v>12</v>
      </c>
      <c r="D137">
        <v>0</v>
      </c>
      <c r="E137">
        <v>0</v>
      </c>
      <c r="F137">
        <v>15029</v>
      </c>
      <c r="G137">
        <v>43000</v>
      </c>
      <c r="H137">
        <v>52040</v>
      </c>
      <c r="I137">
        <v>84771</v>
      </c>
      <c r="J137">
        <v>70</v>
      </c>
    </row>
    <row r="138" spans="1:10" x14ac:dyDescent="0.2">
      <c r="A138">
        <v>1997</v>
      </c>
      <c r="B138" s="1" t="s">
        <v>20</v>
      </c>
      <c r="C138" s="1" t="s">
        <v>13</v>
      </c>
      <c r="D138">
        <v>0</v>
      </c>
      <c r="E138">
        <v>0</v>
      </c>
      <c r="F138">
        <v>30407</v>
      </c>
      <c r="G138">
        <v>59775</v>
      </c>
      <c r="H138">
        <v>64557</v>
      </c>
      <c r="I138">
        <v>117842</v>
      </c>
      <c r="J138">
        <v>70</v>
      </c>
    </row>
    <row r="139" spans="1:10" x14ac:dyDescent="0.2">
      <c r="A139">
        <v>1997</v>
      </c>
      <c r="B139" s="1" t="s">
        <v>20</v>
      </c>
      <c r="C139" s="1" t="s">
        <v>14</v>
      </c>
      <c r="D139">
        <v>0</v>
      </c>
      <c r="E139">
        <v>0</v>
      </c>
      <c r="F139">
        <v>38015</v>
      </c>
      <c r="G139">
        <v>48000</v>
      </c>
      <c r="H139">
        <v>53463</v>
      </c>
      <c r="I139">
        <v>94629</v>
      </c>
      <c r="J139">
        <v>70</v>
      </c>
    </row>
    <row r="140" spans="1:10" x14ac:dyDescent="0.2">
      <c r="A140">
        <v>1997</v>
      </c>
      <c r="B140" s="1" t="s">
        <v>21</v>
      </c>
      <c r="C140" s="1" t="s">
        <v>11</v>
      </c>
      <c r="D140">
        <v>0</v>
      </c>
      <c r="E140">
        <v>0</v>
      </c>
      <c r="F140">
        <v>13944</v>
      </c>
      <c r="G140">
        <v>75000</v>
      </c>
      <c r="H140">
        <v>81513</v>
      </c>
      <c r="I140">
        <v>147857</v>
      </c>
      <c r="J140">
        <v>70</v>
      </c>
    </row>
    <row r="141" spans="1:10" x14ac:dyDescent="0.2">
      <c r="A141">
        <v>1997</v>
      </c>
      <c r="B141" s="1" t="s">
        <v>21</v>
      </c>
      <c r="C141" s="1" t="s">
        <v>12</v>
      </c>
      <c r="D141">
        <v>0</v>
      </c>
      <c r="E141">
        <v>0</v>
      </c>
      <c r="F141">
        <v>2088</v>
      </c>
      <c r="G141">
        <v>39500</v>
      </c>
      <c r="H141">
        <v>44012</v>
      </c>
      <c r="I141">
        <v>77871</v>
      </c>
      <c r="J141">
        <v>70</v>
      </c>
    </row>
    <row r="142" spans="1:10" x14ac:dyDescent="0.2">
      <c r="A142">
        <v>1997</v>
      </c>
      <c r="B142" s="1" t="s">
        <v>21</v>
      </c>
      <c r="C142" s="1" t="s">
        <v>13</v>
      </c>
      <c r="D142">
        <v>0</v>
      </c>
      <c r="E142">
        <v>0</v>
      </c>
      <c r="F142">
        <v>14722</v>
      </c>
      <c r="G142">
        <v>47500</v>
      </c>
      <c r="H142">
        <v>50623</v>
      </c>
      <c r="I142">
        <v>93643</v>
      </c>
      <c r="J142">
        <v>70</v>
      </c>
    </row>
    <row r="143" spans="1:10" x14ac:dyDescent="0.2">
      <c r="A143">
        <v>1997</v>
      </c>
      <c r="B143" s="1" t="s">
        <v>21</v>
      </c>
      <c r="C143" s="1" t="s">
        <v>14</v>
      </c>
      <c r="D143">
        <v>0</v>
      </c>
      <c r="E143">
        <v>0</v>
      </c>
      <c r="F143">
        <v>16463</v>
      </c>
      <c r="G143">
        <v>37000</v>
      </c>
      <c r="H143">
        <v>39448</v>
      </c>
      <c r="I143">
        <v>72943</v>
      </c>
      <c r="J143">
        <v>70</v>
      </c>
    </row>
    <row r="144" spans="1:10" x14ac:dyDescent="0.2">
      <c r="A144">
        <v>1997</v>
      </c>
      <c r="B144" s="1" t="s">
        <v>22</v>
      </c>
      <c r="C144" s="1" t="s">
        <v>11</v>
      </c>
      <c r="D144">
        <v>0</v>
      </c>
      <c r="E144">
        <v>0</v>
      </c>
      <c r="F144">
        <v>26072</v>
      </c>
      <c r="G144">
        <v>92000</v>
      </c>
      <c r="H144">
        <v>106880</v>
      </c>
      <c r="I144">
        <v>181371</v>
      </c>
      <c r="J144">
        <v>70</v>
      </c>
    </row>
    <row r="145" spans="1:10" x14ac:dyDescent="0.2">
      <c r="A145">
        <v>1997</v>
      </c>
      <c r="B145" s="1" t="s">
        <v>22</v>
      </c>
      <c r="C145" s="1" t="s">
        <v>12</v>
      </c>
      <c r="D145">
        <v>0</v>
      </c>
      <c r="E145">
        <v>0</v>
      </c>
      <c r="F145">
        <v>6724</v>
      </c>
      <c r="G145">
        <v>38500</v>
      </c>
      <c r="H145">
        <v>43197</v>
      </c>
      <c r="I145">
        <v>75900</v>
      </c>
      <c r="J145">
        <v>70</v>
      </c>
    </row>
    <row r="146" spans="1:10" x14ac:dyDescent="0.2">
      <c r="A146">
        <v>1997</v>
      </c>
      <c r="B146" s="1" t="s">
        <v>22</v>
      </c>
      <c r="C146" s="1" t="s">
        <v>13</v>
      </c>
      <c r="D146">
        <v>0</v>
      </c>
      <c r="E146">
        <v>0</v>
      </c>
      <c r="F146">
        <v>33827</v>
      </c>
      <c r="G146">
        <v>53000</v>
      </c>
      <c r="H146">
        <v>56520</v>
      </c>
      <c r="I146">
        <v>104486</v>
      </c>
      <c r="J146">
        <v>70</v>
      </c>
    </row>
    <row r="147" spans="1:10" x14ac:dyDescent="0.2">
      <c r="A147">
        <v>1997</v>
      </c>
      <c r="B147" s="1" t="s">
        <v>22</v>
      </c>
      <c r="C147" s="1" t="s">
        <v>14</v>
      </c>
      <c r="D147">
        <v>0</v>
      </c>
      <c r="E147">
        <v>0</v>
      </c>
      <c r="F147">
        <v>27221</v>
      </c>
      <c r="G147">
        <v>41000</v>
      </c>
      <c r="H147">
        <v>44031</v>
      </c>
      <c r="I147">
        <v>80829</v>
      </c>
      <c r="J147">
        <v>70</v>
      </c>
    </row>
    <row r="148" spans="1:10" x14ac:dyDescent="0.2">
      <c r="A148">
        <v>1997</v>
      </c>
      <c r="B148" s="1" t="s">
        <v>23</v>
      </c>
      <c r="C148" s="1" t="s">
        <v>11</v>
      </c>
      <c r="D148">
        <v>0</v>
      </c>
      <c r="E148">
        <v>0</v>
      </c>
      <c r="F148">
        <v>22117</v>
      </c>
      <c r="G148">
        <v>83000</v>
      </c>
      <c r="H148">
        <v>94811</v>
      </c>
      <c r="I148">
        <v>163629</v>
      </c>
      <c r="J148">
        <v>70</v>
      </c>
    </row>
    <row r="149" spans="1:10" x14ac:dyDescent="0.2">
      <c r="A149">
        <v>1997</v>
      </c>
      <c r="B149" s="1" t="s">
        <v>23</v>
      </c>
      <c r="C149" s="1" t="s">
        <v>12</v>
      </c>
      <c r="D149">
        <v>0</v>
      </c>
      <c r="E149">
        <v>0</v>
      </c>
      <c r="F149">
        <v>4032</v>
      </c>
      <c r="G149">
        <v>40000</v>
      </c>
      <c r="H149">
        <v>45930</v>
      </c>
      <c r="I149">
        <v>78857</v>
      </c>
      <c r="J149">
        <v>70</v>
      </c>
    </row>
    <row r="150" spans="1:10" x14ac:dyDescent="0.2">
      <c r="A150">
        <v>1997</v>
      </c>
      <c r="B150" s="1" t="s">
        <v>23</v>
      </c>
      <c r="C150" s="1" t="s">
        <v>13</v>
      </c>
      <c r="D150">
        <v>0</v>
      </c>
      <c r="E150">
        <v>0</v>
      </c>
      <c r="F150">
        <v>32245</v>
      </c>
      <c r="G150">
        <v>49500</v>
      </c>
      <c r="H150">
        <v>52268</v>
      </c>
      <c r="I150">
        <v>97586</v>
      </c>
      <c r="J150">
        <v>70</v>
      </c>
    </row>
    <row r="151" spans="1:10" x14ac:dyDescent="0.2">
      <c r="A151">
        <v>1997</v>
      </c>
      <c r="B151" s="1" t="s">
        <v>23</v>
      </c>
      <c r="C151" s="1" t="s">
        <v>14</v>
      </c>
      <c r="D151">
        <v>0</v>
      </c>
      <c r="E151">
        <v>0</v>
      </c>
      <c r="F151">
        <v>30374</v>
      </c>
      <c r="G151">
        <v>35950</v>
      </c>
      <c r="H151">
        <v>38544</v>
      </c>
      <c r="I151">
        <v>70873</v>
      </c>
      <c r="J151">
        <v>70</v>
      </c>
    </row>
    <row r="152" spans="1:10" x14ac:dyDescent="0.2">
      <c r="A152">
        <v>1997</v>
      </c>
      <c r="B152" s="1" t="s">
        <v>10</v>
      </c>
      <c r="C152" s="1" t="s">
        <v>24</v>
      </c>
      <c r="D152">
        <v>0</v>
      </c>
      <c r="E152">
        <v>1</v>
      </c>
      <c r="F152">
        <v>86255</v>
      </c>
      <c r="G152">
        <v>50000</v>
      </c>
      <c r="H152">
        <v>60333</v>
      </c>
      <c r="I152">
        <v>98571</v>
      </c>
      <c r="J152">
        <v>70</v>
      </c>
    </row>
    <row r="153" spans="1:10" x14ac:dyDescent="0.2">
      <c r="A153">
        <v>1997</v>
      </c>
      <c r="B153" s="1" t="s">
        <v>15</v>
      </c>
      <c r="C153" s="1" t="s">
        <v>24</v>
      </c>
      <c r="D153">
        <v>0</v>
      </c>
      <c r="E153">
        <v>1</v>
      </c>
      <c r="F153">
        <v>131105</v>
      </c>
      <c r="G153">
        <v>63750</v>
      </c>
      <c r="H153">
        <v>78440</v>
      </c>
      <c r="I153">
        <v>125679</v>
      </c>
      <c r="J153">
        <v>70</v>
      </c>
    </row>
    <row r="154" spans="1:10" x14ac:dyDescent="0.2">
      <c r="A154">
        <v>1997</v>
      </c>
      <c r="B154" s="1" t="s">
        <v>16</v>
      </c>
      <c r="C154" s="1" t="s">
        <v>24</v>
      </c>
      <c r="D154">
        <v>0</v>
      </c>
      <c r="E154">
        <v>1</v>
      </c>
      <c r="F154">
        <v>157348</v>
      </c>
      <c r="G154">
        <v>86000</v>
      </c>
      <c r="H154">
        <v>120043</v>
      </c>
      <c r="I154">
        <v>169543</v>
      </c>
      <c r="J154">
        <v>70</v>
      </c>
    </row>
    <row r="155" spans="1:10" x14ac:dyDescent="0.2">
      <c r="A155">
        <v>1997</v>
      </c>
      <c r="B155" s="1" t="s">
        <v>17</v>
      </c>
      <c r="C155" s="1" t="s">
        <v>24</v>
      </c>
      <c r="D155">
        <v>0</v>
      </c>
      <c r="E155">
        <v>1</v>
      </c>
      <c r="F155">
        <v>40833</v>
      </c>
      <c r="G155">
        <v>47000</v>
      </c>
      <c r="H155">
        <v>54398</v>
      </c>
      <c r="I155">
        <v>92657</v>
      </c>
      <c r="J155">
        <v>70</v>
      </c>
    </row>
    <row r="156" spans="1:10" x14ac:dyDescent="0.2">
      <c r="A156">
        <v>1997</v>
      </c>
      <c r="B156" s="1" t="s">
        <v>18</v>
      </c>
      <c r="C156" s="1" t="s">
        <v>24</v>
      </c>
      <c r="D156">
        <v>0</v>
      </c>
      <c r="E156">
        <v>1</v>
      </c>
      <c r="F156">
        <v>119008</v>
      </c>
      <c r="G156">
        <v>49500</v>
      </c>
      <c r="H156">
        <v>58847</v>
      </c>
      <c r="I156">
        <v>97586</v>
      </c>
      <c r="J156">
        <v>70</v>
      </c>
    </row>
    <row r="157" spans="1:10" x14ac:dyDescent="0.2">
      <c r="A157">
        <v>1997</v>
      </c>
      <c r="B157" s="1" t="s">
        <v>19</v>
      </c>
      <c r="C157" s="1" t="s">
        <v>24</v>
      </c>
      <c r="D157">
        <v>0</v>
      </c>
      <c r="E157">
        <v>1</v>
      </c>
      <c r="F157">
        <v>202285</v>
      </c>
      <c r="G157">
        <v>74950</v>
      </c>
      <c r="H157">
        <v>94496</v>
      </c>
      <c r="I157">
        <v>147759</v>
      </c>
      <c r="J157">
        <v>70</v>
      </c>
    </row>
    <row r="158" spans="1:10" x14ac:dyDescent="0.2">
      <c r="A158">
        <v>1997</v>
      </c>
      <c r="B158" s="1" t="s">
        <v>20</v>
      </c>
      <c r="C158" s="1" t="s">
        <v>24</v>
      </c>
      <c r="D158">
        <v>0</v>
      </c>
      <c r="E158">
        <v>1</v>
      </c>
      <c r="F158">
        <v>123341</v>
      </c>
      <c r="G158">
        <v>60000</v>
      </c>
      <c r="H158">
        <v>74596</v>
      </c>
      <c r="I158">
        <v>118286</v>
      </c>
      <c r="J158">
        <v>70</v>
      </c>
    </row>
    <row r="159" spans="1:10" x14ac:dyDescent="0.2">
      <c r="A159">
        <v>1997</v>
      </c>
      <c r="B159" s="1" t="s">
        <v>21</v>
      </c>
      <c r="C159" s="1" t="s">
        <v>24</v>
      </c>
      <c r="D159">
        <v>0</v>
      </c>
      <c r="E159">
        <v>1</v>
      </c>
      <c r="F159">
        <v>47217</v>
      </c>
      <c r="G159">
        <v>48000</v>
      </c>
      <c r="H159">
        <v>55557</v>
      </c>
      <c r="I159">
        <v>94629</v>
      </c>
      <c r="J159">
        <v>70</v>
      </c>
    </row>
    <row r="160" spans="1:10" x14ac:dyDescent="0.2">
      <c r="A160">
        <v>1997</v>
      </c>
      <c r="B160" s="1" t="s">
        <v>22</v>
      </c>
      <c r="C160" s="1" t="s">
        <v>24</v>
      </c>
      <c r="D160">
        <v>0</v>
      </c>
      <c r="E160">
        <v>1</v>
      </c>
      <c r="F160">
        <v>93844</v>
      </c>
      <c r="G160">
        <v>54500</v>
      </c>
      <c r="H160">
        <v>65934</v>
      </c>
      <c r="I160">
        <v>107443</v>
      </c>
      <c r="J160">
        <v>70</v>
      </c>
    </row>
    <row r="161" spans="1:10" x14ac:dyDescent="0.2">
      <c r="A161">
        <v>1997</v>
      </c>
      <c r="B161" s="1" t="s">
        <v>23</v>
      </c>
      <c r="C161" s="1" t="s">
        <v>24</v>
      </c>
      <c r="D161">
        <v>0</v>
      </c>
      <c r="E161">
        <v>1</v>
      </c>
      <c r="F161">
        <v>88768</v>
      </c>
      <c r="G161">
        <v>49000</v>
      </c>
      <c r="H161">
        <v>57884</v>
      </c>
      <c r="I161">
        <v>96600</v>
      </c>
      <c r="J161">
        <v>70</v>
      </c>
    </row>
    <row r="162" spans="1:10" x14ac:dyDescent="0.2">
      <c r="A162">
        <v>1997</v>
      </c>
      <c r="B162" s="1" t="s">
        <v>25</v>
      </c>
      <c r="C162" s="1" t="s">
        <v>11</v>
      </c>
      <c r="D162">
        <v>1</v>
      </c>
      <c r="E162">
        <v>0</v>
      </c>
      <c r="F162">
        <v>274157</v>
      </c>
      <c r="G162">
        <v>95000</v>
      </c>
      <c r="H162">
        <v>118097</v>
      </c>
      <c r="I162">
        <v>187286</v>
      </c>
      <c r="J162">
        <v>70</v>
      </c>
    </row>
    <row r="163" spans="1:10" x14ac:dyDescent="0.2">
      <c r="A163">
        <v>1997</v>
      </c>
      <c r="B163" s="1" t="s">
        <v>25</v>
      </c>
      <c r="C163" s="1" t="s">
        <v>12</v>
      </c>
      <c r="D163">
        <v>1</v>
      </c>
      <c r="E163">
        <v>0</v>
      </c>
      <c r="F163">
        <v>167543</v>
      </c>
      <c r="G163">
        <v>53000</v>
      </c>
      <c r="H163">
        <v>72573</v>
      </c>
      <c r="I163">
        <v>104486</v>
      </c>
      <c r="J163">
        <v>70</v>
      </c>
    </row>
    <row r="164" spans="1:10" x14ac:dyDescent="0.2">
      <c r="A164">
        <v>1997</v>
      </c>
      <c r="B164" s="1" t="s">
        <v>25</v>
      </c>
      <c r="C164" s="1" t="s">
        <v>13</v>
      </c>
      <c r="D164">
        <v>1</v>
      </c>
      <c r="E164">
        <v>0</v>
      </c>
      <c r="F164">
        <v>317309</v>
      </c>
      <c r="G164">
        <v>58000</v>
      </c>
      <c r="H164">
        <v>67979</v>
      </c>
      <c r="I164">
        <v>114343</v>
      </c>
      <c r="J164">
        <v>70</v>
      </c>
    </row>
    <row r="165" spans="1:10" x14ac:dyDescent="0.2">
      <c r="A165">
        <v>1997</v>
      </c>
      <c r="B165" s="1" t="s">
        <v>25</v>
      </c>
      <c r="C165" s="1" t="s">
        <v>14</v>
      </c>
      <c r="D165">
        <v>1</v>
      </c>
      <c r="E165">
        <v>0</v>
      </c>
      <c r="F165">
        <v>331699</v>
      </c>
      <c r="G165">
        <v>47950</v>
      </c>
      <c r="H165">
        <v>59809</v>
      </c>
      <c r="I165">
        <v>94530</v>
      </c>
      <c r="J165">
        <v>70</v>
      </c>
    </row>
    <row r="166" spans="1:10" x14ac:dyDescent="0.2">
      <c r="A166">
        <v>1997</v>
      </c>
      <c r="B166" s="1" t="s">
        <v>25</v>
      </c>
      <c r="C166" s="1" t="s">
        <v>24</v>
      </c>
      <c r="D166">
        <v>1</v>
      </c>
      <c r="E166">
        <v>1</v>
      </c>
      <c r="F166">
        <v>1090708</v>
      </c>
      <c r="G166">
        <v>60000</v>
      </c>
      <c r="H166">
        <v>78797</v>
      </c>
      <c r="I166">
        <v>118286</v>
      </c>
      <c r="J166">
        <v>70</v>
      </c>
    </row>
    <row r="167" spans="1:10" x14ac:dyDescent="0.2">
      <c r="A167">
        <v>1998</v>
      </c>
      <c r="B167" s="1" t="s">
        <v>10</v>
      </c>
      <c r="C167" s="1" t="s">
        <v>11</v>
      </c>
      <c r="D167">
        <v>0</v>
      </c>
      <c r="E167">
        <v>0</v>
      </c>
      <c r="F167">
        <v>31510</v>
      </c>
      <c r="G167">
        <v>81950</v>
      </c>
      <c r="H167">
        <v>94411</v>
      </c>
      <c r="I167">
        <v>158613</v>
      </c>
      <c r="J167">
        <v>71.3</v>
      </c>
    </row>
    <row r="168" spans="1:10" x14ac:dyDescent="0.2">
      <c r="A168">
        <v>1998</v>
      </c>
      <c r="B168" s="1" t="s">
        <v>10</v>
      </c>
      <c r="C168" s="1" t="s">
        <v>12</v>
      </c>
      <c r="D168">
        <v>0</v>
      </c>
      <c r="E168">
        <v>0</v>
      </c>
      <c r="F168">
        <v>2595</v>
      </c>
      <c r="G168">
        <v>35000</v>
      </c>
      <c r="H168">
        <v>42248</v>
      </c>
      <c r="I168">
        <v>67742</v>
      </c>
      <c r="J168">
        <v>71.3</v>
      </c>
    </row>
    <row r="169" spans="1:10" x14ac:dyDescent="0.2">
      <c r="A169">
        <v>1998</v>
      </c>
      <c r="B169" s="1" t="s">
        <v>10</v>
      </c>
      <c r="C169" s="1" t="s">
        <v>13</v>
      </c>
      <c r="D169">
        <v>0</v>
      </c>
      <c r="E169">
        <v>0</v>
      </c>
      <c r="F169">
        <v>29290</v>
      </c>
      <c r="G169">
        <v>48000</v>
      </c>
      <c r="H169">
        <v>51371</v>
      </c>
      <c r="I169">
        <v>92903</v>
      </c>
      <c r="J169">
        <v>71.3</v>
      </c>
    </row>
    <row r="170" spans="1:10" x14ac:dyDescent="0.2">
      <c r="A170">
        <v>1998</v>
      </c>
      <c r="B170" s="1" t="s">
        <v>10</v>
      </c>
      <c r="C170" s="1" t="s">
        <v>14</v>
      </c>
      <c r="D170">
        <v>0</v>
      </c>
      <c r="E170">
        <v>0</v>
      </c>
      <c r="F170">
        <v>21426</v>
      </c>
      <c r="G170">
        <v>37000</v>
      </c>
      <c r="H170">
        <v>40565</v>
      </c>
      <c r="I170">
        <v>71613</v>
      </c>
      <c r="J170">
        <v>71.3</v>
      </c>
    </row>
    <row r="171" spans="1:10" x14ac:dyDescent="0.2">
      <c r="A171">
        <v>1998</v>
      </c>
      <c r="B171" s="1" t="s">
        <v>15</v>
      </c>
      <c r="C171" s="1" t="s">
        <v>11</v>
      </c>
      <c r="D171">
        <v>0</v>
      </c>
      <c r="E171">
        <v>0</v>
      </c>
      <c r="F171">
        <v>37516</v>
      </c>
      <c r="G171">
        <v>110000</v>
      </c>
      <c r="H171">
        <v>131055</v>
      </c>
      <c r="I171">
        <v>212903</v>
      </c>
      <c r="J171">
        <v>71.3</v>
      </c>
    </row>
    <row r="172" spans="1:10" x14ac:dyDescent="0.2">
      <c r="A172">
        <v>1998</v>
      </c>
      <c r="B172" s="1" t="s">
        <v>15</v>
      </c>
      <c r="C172" s="1" t="s">
        <v>12</v>
      </c>
      <c r="D172">
        <v>0</v>
      </c>
      <c r="E172">
        <v>0</v>
      </c>
      <c r="F172">
        <v>16070</v>
      </c>
      <c r="G172">
        <v>45500</v>
      </c>
      <c r="H172">
        <v>50478</v>
      </c>
      <c r="I172">
        <v>88065</v>
      </c>
      <c r="J172">
        <v>71.3</v>
      </c>
    </row>
    <row r="173" spans="1:10" x14ac:dyDescent="0.2">
      <c r="A173">
        <v>1998</v>
      </c>
      <c r="B173" s="1" t="s">
        <v>15</v>
      </c>
      <c r="C173" s="1" t="s">
        <v>13</v>
      </c>
      <c r="D173">
        <v>0</v>
      </c>
      <c r="E173">
        <v>0</v>
      </c>
      <c r="F173">
        <v>34930</v>
      </c>
      <c r="G173">
        <v>67250</v>
      </c>
      <c r="H173">
        <v>76813</v>
      </c>
      <c r="I173">
        <v>130161</v>
      </c>
      <c r="J173">
        <v>71.3</v>
      </c>
    </row>
    <row r="174" spans="1:10" x14ac:dyDescent="0.2">
      <c r="A174">
        <v>1998</v>
      </c>
      <c r="B174" s="1" t="s">
        <v>15</v>
      </c>
      <c r="C174" s="1" t="s">
        <v>14</v>
      </c>
      <c r="D174">
        <v>0</v>
      </c>
      <c r="E174">
        <v>0</v>
      </c>
      <c r="F174">
        <v>36117</v>
      </c>
      <c r="G174">
        <v>57000</v>
      </c>
      <c r="H174">
        <v>64677</v>
      </c>
      <c r="I174">
        <v>110323</v>
      </c>
      <c r="J174">
        <v>71.3</v>
      </c>
    </row>
    <row r="175" spans="1:10" x14ac:dyDescent="0.2">
      <c r="A175">
        <v>1998</v>
      </c>
      <c r="B175" s="1" t="s">
        <v>16</v>
      </c>
      <c r="C175" s="1" t="s">
        <v>11</v>
      </c>
      <c r="D175">
        <v>0</v>
      </c>
      <c r="E175">
        <v>0</v>
      </c>
      <c r="F175">
        <v>6354</v>
      </c>
      <c r="G175">
        <v>218000</v>
      </c>
      <c r="H175">
        <v>302783</v>
      </c>
      <c r="I175">
        <v>421935</v>
      </c>
      <c r="J175">
        <v>71.3</v>
      </c>
    </row>
    <row r="176" spans="1:10" x14ac:dyDescent="0.2">
      <c r="A176">
        <v>1998</v>
      </c>
      <c r="B176" s="1" t="s">
        <v>16</v>
      </c>
      <c r="C176" s="1" t="s">
        <v>12</v>
      </c>
      <c r="D176">
        <v>0</v>
      </c>
      <c r="E176">
        <v>0</v>
      </c>
      <c r="F176">
        <v>73114</v>
      </c>
      <c r="G176">
        <v>81000</v>
      </c>
      <c r="H176">
        <v>115025</v>
      </c>
      <c r="I176">
        <v>156774</v>
      </c>
      <c r="J176">
        <v>71.3</v>
      </c>
    </row>
    <row r="177" spans="1:10" x14ac:dyDescent="0.2">
      <c r="A177">
        <v>1998</v>
      </c>
      <c r="B177" s="1" t="s">
        <v>16</v>
      </c>
      <c r="C177" s="1" t="s">
        <v>13</v>
      </c>
      <c r="D177">
        <v>0</v>
      </c>
      <c r="E177">
        <v>0</v>
      </c>
      <c r="F177">
        <v>23052</v>
      </c>
      <c r="G177">
        <v>123500</v>
      </c>
      <c r="H177">
        <v>151470</v>
      </c>
      <c r="I177">
        <v>239032</v>
      </c>
      <c r="J177">
        <v>71.3</v>
      </c>
    </row>
    <row r="178" spans="1:10" x14ac:dyDescent="0.2">
      <c r="A178">
        <v>1998</v>
      </c>
      <c r="B178" s="1" t="s">
        <v>16</v>
      </c>
      <c r="C178" s="1" t="s">
        <v>14</v>
      </c>
      <c r="D178">
        <v>0</v>
      </c>
      <c r="E178">
        <v>0</v>
      </c>
      <c r="F178">
        <v>46049</v>
      </c>
      <c r="G178">
        <v>96000</v>
      </c>
      <c r="H178">
        <v>136154</v>
      </c>
      <c r="I178">
        <v>185806</v>
      </c>
      <c r="J178">
        <v>71.3</v>
      </c>
    </row>
    <row r="179" spans="1:10" x14ac:dyDescent="0.2">
      <c r="A179">
        <v>1998</v>
      </c>
      <c r="B179" s="1" t="s">
        <v>17</v>
      </c>
      <c r="C179" s="1" t="s">
        <v>11</v>
      </c>
      <c r="D179">
        <v>0</v>
      </c>
      <c r="E179">
        <v>0</v>
      </c>
      <c r="F179">
        <v>8570</v>
      </c>
      <c r="G179">
        <v>83995</v>
      </c>
      <c r="H179">
        <v>94737</v>
      </c>
      <c r="I179">
        <v>162571</v>
      </c>
      <c r="J179">
        <v>71.3</v>
      </c>
    </row>
    <row r="180" spans="1:10" x14ac:dyDescent="0.2">
      <c r="A180">
        <v>1998</v>
      </c>
      <c r="B180" s="1" t="s">
        <v>17</v>
      </c>
      <c r="C180" s="1" t="s">
        <v>12</v>
      </c>
      <c r="D180">
        <v>0</v>
      </c>
      <c r="E180">
        <v>0</v>
      </c>
      <c r="F180">
        <v>4454</v>
      </c>
      <c r="G180">
        <v>35000</v>
      </c>
      <c r="H180">
        <v>41319</v>
      </c>
      <c r="I180">
        <v>67742</v>
      </c>
      <c r="J180">
        <v>71.3</v>
      </c>
    </row>
    <row r="181" spans="1:10" x14ac:dyDescent="0.2">
      <c r="A181">
        <v>1998</v>
      </c>
      <c r="B181" s="1" t="s">
        <v>17</v>
      </c>
      <c r="C181" s="1" t="s">
        <v>13</v>
      </c>
      <c r="D181">
        <v>0</v>
      </c>
      <c r="E181">
        <v>0</v>
      </c>
      <c r="F181">
        <v>14082</v>
      </c>
      <c r="G181">
        <v>50000</v>
      </c>
      <c r="H181">
        <v>53448</v>
      </c>
      <c r="I181">
        <v>96774</v>
      </c>
      <c r="J181">
        <v>71.3</v>
      </c>
    </row>
    <row r="182" spans="1:10" x14ac:dyDescent="0.2">
      <c r="A182">
        <v>1998</v>
      </c>
      <c r="B182" s="1" t="s">
        <v>17</v>
      </c>
      <c r="C182" s="1" t="s">
        <v>14</v>
      </c>
      <c r="D182">
        <v>0</v>
      </c>
      <c r="E182">
        <v>0</v>
      </c>
      <c r="F182">
        <v>14585</v>
      </c>
      <c r="G182">
        <v>35000</v>
      </c>
      <c r="H182">
        <v>40527</v>
      </c>
      <c r="I182">
        <v>67742</v>
      </c>
      <c r="J182">
        <v>71.3</v>
      </c>
    </row>
    <row r="183" spans="1:10" x14ac:dyDescent="0.2">
      <c r="A183">
        <v>1998</v>
      </c>
      <c r="B183" s="1" t="s">
        <v>18</v>
      </c>
      <c r="C183" s="1" t="s">
        <v>11</v>
      </c>
      <c r="D183">
        <v>0</v>
      </c>
      <c r="E183">
        <v>0</v>
      </c>
      <c r="F183">
        <v>25934</v>
      </c>
      <c r="G183">
        <v>92000</v>
      </c>
      <c r="H183">
        <v>108159</v>
      </c>
      <c r="I183">
        <v>178065</v>
      </c>
      <c r="J183">
        <v>71.3</v>
      </c>
    </row>
    <row r="184" spans="1:10" x14ac:dyDescent="0.2">
      <c r="A184">
        <v>1998</v>
      </c>
      <c r="B184" s="1" t="s">
        <v>18</v>
      </c>
      <c r="C184" s="1" t="s">
        <v>12</v>
      </c>
      <c r="D184">
        <v>0</v>
      </c>
      <c r="E184">
        <v>0</v>
      </c>
      <c r="F184">
        <v>7296</v>
      </c>
      <c r="G184">
        <v>44000</v>
      </c>
      <c r="H184">
        <v>51671</v>
      </c>
      <c r="I184">
        <v>85161</v>
      </c>
      <c r="J184">
        <v>71.3</v>
      </c>
    </row>
    <row r="185" spans="1:10" x14ac:dyDescent="0.2">
      <c r="A185">
        <v>1998</v>
      </c>
      <c r="B185" s="1" t="s">
        <v>18</v>
      </c>
      <c r="C185" s="1" t="s">
        <v>13</v>
      </c>
      <c r="D185">
        <v>0</v>
      </c>
      <c r="E185">
        <v>0</v>
      </c>
      <c r="F185">
        <v>43916</v>
      </c>
      <c r="G185">
        <v>53500</v>
      </c>
      <c r="H185">
        <v>57020</v>
      </c>
      <c r="I185">
        <v>103548</v>
      </c>
      <c r="J185">
        <v>71.3</v>
      </c>
    </row>
    <row r="186" spans="1:10" x14ac:dyDescent="0.2">
      <c r="A186">
        <v>1998</v>
      </c>
      <c r="B186" s="1" t="s">
        <v>18</v>
      </c>
      <c r="C186" s="1" t="s">
        <v>14</v>
      </c>
      <c r="D186">
        <v>0</v>
      </c>
      <c r="E186">
        <v>0</v>
      </c>
      <c r="F186">
        <v>41726</v>
      </c>
      <c r="G186">
        <v>34500</v>
      </c>
      <c r="H186">
        <v>37730</v>
      </c>
      <c r="I186">
        <v>66774</v>
      </c>
      <c r="J186">
        <v>71.3</v>
      </c>
    </row>
    <row r="187" spans="1:10" x14ac:dyDescent="0.2">
      <c r="A187">
        <v>1998</v>
      </c>
      <c r="B187" s="1" t="s">
        <v>19</v>
      </c>
      <c r="C187" s="1" t="s">
        <v>11</v>
      </c>
      <c r="D187">
        <v>0</v>
      </c>
      <c r="E187">
        <v>0</v>
      </c>
      <c r="F187">
        <v>51067</v>
      </c>
      <c r="G187">
        <v>149000</v>
      </c>
      <c r="H187">
        <v>179495</v>
      </c>
      <c r="I187">
        <v>288387</v>
      </c>
      <c r="J187">
        <v>71.3</v>
      </c>
    </row>
    <row r="188" spans="1:10" x14ac:dyDescent="0.2">
      <c r="A188">
        <v>1998</v>
      </c>
      <c r="B188" s="1" t="s">
        <v>19</v>
      </c>
      <c r="C188" s="1" t="s">
        <v>12</v>
      </c>
      <c r="D188">
        <v>0</v>
      </c>
      <c r="E188">
        <v>0</v>
      </c>
      <c r="F188">
        <v>34806</v>
      </c>
      <c r="G188">
        <v>53000</v>
      </c>
      <c r="H188">
        <v>60542</v>
      </c>
      <c r="I188">
        <v>102581</v>
      </c>
      <c r="J188">
        <v>71.3</v>
      </c>
    </row>
    <row r="189" spans="1:10" x14ac:dyDescent="0.2">
      <c r="A189">
        <v>1998</v>
      </c>
      <c r="B189" s="1" t="s">
        <v>19</v>
      </c>
      <c r="C189" s="1" t="s">
        <v>13</v>
      </c>
      <c r="D189">
        <v>0</v>
      </c>
      <c r="E189">
        <v>0</v>
      </c>
      <c r="F189">
        <v>50614</v>
      </c>
      <c r="G189">
        <v>86000</v>
      </c>
      <c r="H189">
        <v>95372</v>
      </c>
      <c r="I189">
        <v>166452</v>
      </c>
      <c r="J189">
        <v>71.3</v>
      </c>
    </row>
    <row r="190" spans="1:10" x14ac:dyDescent="0.2">
      <c r="A190">
        <v>1998</v>
      </c>
      <c r="B190" s="1" t="s">
        <v>19</v>
      </c>
      <c r="C190" s="1" t="s">
        <v>14</v>
      </c>
      <c r="D190">
        <v>0</v>
      </c>
      <c r="E190">
        <v>0</v>
      </c>
      <c r="F190">
        <v>52204</v>
      </c>
      <c r="G190">
        <v>68000</v>
      </c>
      <c r="H190">
        <v>75866</v>
      </c>
      <c r="I190">
        <v>131613</v>
      </c>
      <c r="J190">
        <v>71.3</v>
      </c>
    </row>
    <row r="191" spans="1:10" x14ac:dyDescent="0.2">
      <c r="A191">
        <v>1998</v>
      </c>
      <c r="B191" s="1" t="s">
        <v>20</v>
      </c>
      <c r="C191" s="1" t="s">
        <v>11</v>
      </c>
      <c r="D191">
        <v>0</v>
      </c>
      <c r="E191">
        <v>0</v>
      </c>
      <c r="F191">
        <v>36583</v>
      </c>
      <c r="G191">
        <v>105000</v>
      </c>
      <c r="H191">
        <v>121909</v>
      </c>
      <c r="I191">
        <v>203226</v>
      </c>
      <c r="J191">
        <v>71.3</v>
      </c>
    </row>
    <row r="192" spans="1:10" x14ac:dyDescent="0.2">
      <c r="A192">
        <v>1998</v>
      </c>
      <c r="B192" s="1" t="s">
        <v>20</v>
      </c>
      <c r="C192" s="1" t="s">
        <v>12</v>
      </c>
      <c r="D192">
        <v>0</v>
      </c>
      <c r="E192">
        <v>0</v>
      </c>
      <c r="F192">
        <v>15485</v>
      </c>
      <c r="G192">
        <v>46000</v>
      </c>
      <c r="H192">
        <v>57304</v>
      </c>
      <c r="I192">
        <v>89032</v>
      </c>
      <c r="J192">
        <v>71.3</v>
      </c>
    </row>
    <row r="193" spans="1:10" x14ac:dyDescent="0.2">
      <c r="A193">
        <v>1998</v>
      </c>
      <c r="B193" s="1" t="s">
        <v>20</v>
      </c>
      <c r="C193" s="1" t="s">
        <v>13</v>
      </c>
      <c r="D193">
        <v>0</v>
      </c>
      <c r="E193">
        <v>0</v>
      </c>
      <c r="F193">
        <v>29165</v>
      </c>
      <c r="G193">
        <v>65000</v>
      </c>
      <c r="H193">
        <v>70941</v>
      </c>
      <c r="I193">
        <v>125806</v>
      </c>
      <c r="J193">
        <v>71.3</v>
      </c>
    </row>
    <row r="194" spans="1:10" x14ac:dyDescent="0.2">
      <c r="A194">
        <v>1998</v>
      </c>
      <c r="B194" s="1" t="s">
        <v>20</v>
      </c>
      <c r="C194" s="1" t="s">
        <v>14</v>
      </c>
      <c r="D194">
        <v>0</v>
      </c>
      <c r="E194">
        <v>0</v>
      </c>
      <c r="F194">
        <v>36966</v>
      </c>
      <c r="G194">
        <v>52000</v>
      </c>
      <c r="H194">
        <v>58122</v>
      </c>
      <c r="I194">
        <v>100645</v>
      </c>
      <c r="J194">
        <v>71.3</v>
      </c>
    </row>
    <row r="195" spans="1:10" x14ac:dyDescent="0.2">
      <c r="A195">
        <v>1998</v>
      </c>
      <c r="B195" s="1" t="s">
        <v>21</v>
      </c>
      <c r="C195" s="1" t="s">
        <v>11</v>
      </c>
      <c r="D195">
        <v>0</v>
      </c>
      <c r="E195">
        <v>0</v>
      </c>
      <c r="F195">
        <v>13460</v>
      </c>
      <c r="G195">
        <v>79000</v>
      </c>
      <c r="H195">
        <v>86535</v>
      </c>
      <c r="I195">
        <v>152903</v>
      </c>
      <c r="J195">
        <v>71.3</v>
      </c>
    </row>
    <row r="196" spans="1:10" x14ac:dyDescent="0.2">
      <c r="A196">
        <v>1998</v>
      </c>
      <c r="B196" s="1" t="s">
        <v>21</v>
      </c>
      <c r="C196" s="1" t="s">
        <v>12</v>
      </c>
      <c r="D196">
        <v>0</v>
      </c>
      <c r="E196">
        <v>0</v>
      </c>
      <c r="F196">
        <v>2012</v>
      </c>
      <c r="G196">
        <v>40500</v>
      </c>
      <c r="H196">
        <v>46448</v>
      </c>
      <c r="I196">
        <v>78387</v>
      </c>
      <c r="J196">
        <v>71.3</v>
      </c>
    </row>
    <row r="197" spans="1:10" x14ac:dyDescent="0.2">
      <c r="A197">
        <v>1998</v>
      </c>
      <c r="B197" s="1" t="s">
        <v>21</v>
      </c>
      <c r="C197" s="1" t="s">
        <v>13</v>
      </c>
      <c r="D197">
        <v>0</v>
      </c>
      <c r="E197">
        <v>0</v>
      </c>
      <c r="F197">
        <v>13355</v>
      </c>
      <c r="G197">
        <v>49000</v>
      </c>
      <c r="H197">
        <v>52114</v>
      </c>
      <c r="I197">
        <v>94839</v>
      </c>
      <c r="J197">
        <v>71.3</v>
      </c>
    </row>
    <row r="198" spans="1:10" x14ac:dyDescent="0.2">
      <c r="A198">
        <v>1998</v>
      </c>
      <c r="B198" s="1" t="s">
        <v>21</v>
      </c>
      <c r="C198" s="1" t="s">
        <v>14</v>
      </c>
      <c r="D198">
        <v>0</v>
      </c>
      <c r="E198">
        <v>0</v>
      </c>
      <c r="F198">
        <v>15683</v>
      </c>
      <c r="G198">
        <v>37500</v>
      </c>
      <c r="H198">
        <v>40652</v>
      </c>
      <c r="I198">
        <v>72581</v>
      </c>
      <c r="J198">
        <v>71.3</v>
      </c>
    </row>
    <row r="199" spans="1:10" x14ac:dyDescent="0.2">
      <c r="A199">
        <v>1998</v>
      </c>
      <c r="B199" s="1" t="s">
        <v>22</v>
      </c>
      <c r="C199" s="1" t="s">
        <v>11</v>
      </c>
      <c r="D199">
        <v>0</v>
      </c>
      <c r="E199">
        <v>0</v>
      </c>
      <c r="F199">
        <v>24532</v>
      </c>
      <c r="G199">
        <v>98950</v>
      </c>
      <c r="H199">
        <v>116166</v>
      </c>
      <c r="I199">
        <v>191516</v>
      </c>
      <c r="J199">
        <v>71.3</v>
      </c>
    </row>
    <row r="200" spans="1:10" x14ac:dyDescent="0.2">
      <c r="A200">
        <v>1998</v>
      </c>
      <c r="B200" s="1" t="s">
        <v>22</v>
      </c>
      <c r="C200" s="1" t="s">
        <v>12</v>
      </c>
      <c r="D200">
        <v>0</v>
      </c>
      <c r="E200">
        <v>0</v>
      </c>
      <c r="F200">
        <v>6716</v>
      </c>
      <c r="G200">
        <v>40000</v>
      </c>
      <c r="H200">
        <v>46280</v>
      </c>
      <c r="I200">
        <v>77419</v>
      </c>
      <c r="J200">
        <v>71.3</v>
      </c>
    </row>
    <row r="201" spans="1:10" x14ac:dyDescent="0.2">
      <c r="A201">
        <v>1998</v>
      </c>
      <c r="B201" s="1" t="s">
        <v>22</v>
      </c>
      <c r="C201" s="1" t="s">
        <v>13</v>
      </c>
      <c r="D201">
        <v>0</v>
      </c>
      <c r="E201">
        <v>0</v>
      </c>
      <c r="F201">
        <v>32354</v>
      </c>
      <c r="G201">
        <v>55700</v>
      </c>
      <c r="H201">
        <v>60157</v>
      </c>
      <c r="I201">
        <v>107806</v>
      </c>
      <c r="J201">
        <v>71.3</v>
      </c>
    </row>
    <row r="202" spans="1:10" x14ac:dyDescent="0.2">
      <c r="A202">
        <v>1998</v>
      </c>
      <c r="B202" s="1" t="s">
        <v>22</v>
      </c>
      <c r="C202" s="1" t="s">
        <v>14</v>
      </c>
      <c r="D202">
        <v>0</v>
      </c>
      <c r="E202">
        <v>0</v>
      </c>
      <c r="F202">
        <v>26857</v>
      </c>
      <c r="G202">
        <v>43000</v>
      </c>
      <c r="H202">
        <v>46880</v>
      </c>
      <c r="I202">
        <v>83226</v>
      </c>
      <c r="J202">
        <v>71.3</v>
      </c>
    </row>
    <row r="203" spans="1:10" x14ac:dyDescent="0.2">
      <c r="A203">
        <v>1998</v>
      </c>
      <c r="B203" s="1" t="s">
        <v>23</v>
      </c>
      <c r="C203" s="1" t="s">
        <v>11</v>
      </c>
      <c r="D203">
        <v>0</v>
      </c>
      <c r="E203">
        <v>0</v>
      </c>
      <c r="F203">
        <v>21707</v>
      </c>
      <c r="G203">
        <v>85000</v>
      </c>
      <c r="H203">
        <v>98455</v>
      </c>
      <c r="I203">
        <v>164516</v>
      </c>
      <c r="J203">
        <v>71.3</v>
      </c>
    </row>
    <row r="204" spans="1:10" x14ac:dyDescent="0.2">
      <c r="A204">
        <v>1998</v>
      </c>
      <c r="B204" s="1" t="s">
        <v>23</v>
      </c>
      <c r="C204" s="1" t="s">
        <v>12</v>
      </c>
      <c r="D204">
        <v>0</v>
      </c>
      <c r="E204">
        <v>0</v>
      </c>
      <c r="F204">
        <v>4241</v>
      </c>
      <c r="G204">
        <v>43000</v>
      </c>
      <c r="H204">
        <v>48112</v>
      </c>
      <c r="I204">
        <v>83226</v>
      </c>
      <c r="J204">
        <v>71.3</v>
      </c>
    </row>
    <row r="205" spans="1:10" x14ac:dyDescent="0.2">
      <c r="A205">
        <v>1998</v>
      </c>
      <c r="B205" s="1" t="s">
        <v>23</v>
      </c>
      <c r="C205" s="1" t="s">
        <v>13</v>
      </c>
      <c r="D205">
        <v>0</v>
      </c>
      <c r="E205">
        <v>0</v>
      </c>
      <c r="F205">
        <v>31484</v>
      </c>
      <c r="G205">
        <v>50000</v>
      </c>
      <c r="H205">
        <v>53287</v>
      </c>
      <c r="I205">
        <v>96774</v>
      </c>
      <c r="J205">
        <v>71.3</v>
      </c>
    </row>
    <row r="206" spans="1:10" x14ac:dyDescent="0.2">
      <c r="A206">
        <v>1998</v>
      </c>
      <c r="B206" s="1" t="s">
        <v>23</v>
      </c>
      <c r="C206" s="1" t="s">
        <v>14</v>
      </c>
      <c r="D206">
        <v>0</v>
      </c>
      <c r="E206">
        <v>0</v>
      </c>
      <c r="F206">
        <v>29788</v>
      </c>
      <c r="G206">
        <v>36000</v>
      </c>
      <c r="H206">
        <v>39527</v>
      </c>
      <c r="I206">
        <v>69677</v>
      </c>
      <c r="J206">
        <v>71.3</v>
      </c>
    </row>
    <row r="207" spans="1:10" x14ac:dyDescent="0.2">
      <c r="A207">
        <v>1998</v>
      </c>
      <c r="B207" s="1" t="s">
        <v>10</v>
      </c>
      <c r="C207" s="1" t="s">
        <v>24</v>
      </c>
      <c r="D207">
        <v>0</v>
      </c>
      <c r="E207">
        <v>1</v>
      </c>
      <c r="F207">
        <v>84821</v>
      </c>
      <c r="G207">
        <v>53500</v>
      </c>
      <c r="H207">
        <v>64351</v>
      </c>
      <c r="I207">
        <v>103548</v>
      </c>
      <c r="J207">
        <v>71.3</v>
      </c>
    </row>
    <row r="208" spans="1:10" x14ac:dyDescent="0.2">
      <c r="A208">
        <v>1998</v>
      </c>
      <c r="B208" s="1" t="s">
        <v>15</v>
      </c>
      <c r="C208" s="1" t="s">
        <v>24</v>
      </c>
      <c r="D208">
        <v>0</v>
      </c>
      <c r="E208">
        <v>1</v>
      </c>
      <c r="F208">
        <v>124633</v>
      </c>
      <c r="G208">
        <v>69000</v>
      </c>
      <c r="H208">
        <v>86228</v>
      </c>
      <c r="I208">
        <v>133548</v>
      </c>
      <c r="J208">
        <v>71.3</v>
      </c>
    </row>
    <row r="209" spans="1:10" x14ac:dyDescent="0.2">
      <c r="A209">
        <v>1998</v>
      </c>
      <c r="B209" s="1" t="s">
        <v>16</v>
      </c>
      <c r="C209" s="1" t="s">
        <v>24</v>
      </c>
      <c r="D209">
        <v>0</v>
      </c>
      <c r="E209">
        <v>1</v>
      </c>
      <c r="F209">
        <v>148569</v>
      </c>
      <c r="G209">
        <v>96999</v>
      </c>
      <c r="H209">
        <v>135259</v>
      </c>
      <c r="I209">
        <v>187740</v>
      </c>
      <c r="J209">
        <v>71.3</v>
      </c>
    </row>
    <row r="210" spans="1:10" x14ac:dyDescent="0.2">
      <c r="A210">
        <v>1998</v>
      </c>
      <c r="B210" s="1" t="s">
        <v>17</v>
      </c>
      <c r="C210" s="1" t="s">
        <v>24</v>
      </c>
      <c r="D210">
        <v>0</v>
      </c>
      <c r="E210">
        <v>1</v>
      </c>
      <c r="F210">
        <v>41691</v>
      </c>
      <c r="G210">
        <v>48500</v>
      </c>
      <c r="H210">
        <v>56119</v>
      </c>
      <c r="I210">
        <v>93871</v>
      </c>
      <c r="J210">
        <v>71.3</v>
      </c>
    </row>
    <row r="211" spans="1:10" x14ac:dyDescent="0.2">
      <c r="A211">
        <v>1998</v>
      </c>
      <c r="B211" s="1" t="s">
        <v>18</v>
      </c>
      <c r="C211" s="1" t="s">
        <v>24</v>
      </c>
      <c r="D211">
        <v>0</v>
      </c>
      <c r="E211">
        <v>1</v>
      </c>
      <c r="F211">
        <v>118872</v>
      </c>
      <c r="G211">
        <v>50500</v>
      </c>
      <c r="H211">
        <v>61078</v>
      </c>
      <c r="I211">
        <v>97742</v>
      </c>
      <c r="J211">
        <v>71.3</v>
      </c>
    </row>
    <row r="212" spans="1:10" x14ac:dyDescent="0.2">
      <c r="A212">
        <v>1998</v>
      </c>
      <c r="B212" s="1" t="s">
        <v>19</v>
      </c>
      <c r="C212" s="1" t="s">
        <v>24</v>
      </c>
      <c r="D212">
        <v>0</v>
      </c>
      <c r="E212">
        <v>1</v>
      </c>
      <c r="F212">
        <v>188691</v>
      </c>
      <c r="G212">
        <v>83000</v>
      </c>
      <c r="H212">
        <v>106318</v>
      </c>
      <c r="I212">
        <v>160645</v>
      </c>
      <c r="J212">
        <v>71.3</v>
      </c>
    </row>
    <row r="213" spans="1:10" x14ac:dyDescent="0.2">
      <c r="A213">
        <v>1998</v>
      </c>
      <c r="B213" s="1" t="s">
        <v>20</v>
      </c>
      <c r="C213" s="1" t="s">
        <v>24</v>
      </c>
      <c r="D213">
        <v>0</v>
      </c>
      <c r="E213">
        <v>1</v>
      </c>
      <c r="F213">
        <v>118199</v>
      </c>
      <c r="G213">
        <v>66500</v>
      </c>
      <c r="H213">
        <v>80920</v>
      </c>
      <c r="I213">
        <v>128710</v>
      </c>
      <c r="J213">
        <v>71.3</v>
      </c>
    </row>
    <row r="214" spans="1:10" x14ac:dyDescent="0.2">
      <c r="A214">
        <v>1998</v>
      </c>
      <c r="B214" s="1" t="s">
        <v>21</v>
      </c>
      <c r="C214" s="1" t="s">
        <v>24</v>
      </c>
      <c r="D214">
        <v>0</v>
      </c>
      <c r="E214">
        <v>1</v>
      </c>
      <c r="F214">
        <v>44510</v>
      </c>
      <c r="G214">
        <v>49950</v>
      </c>
      <c r="H214">
        <v>58228</v>
      </c>
      <c r="I214">
        <v>96677</v>
      </c>
      <c r="J214">
        <v>71.3</v>
      </c>
    </row>
    <row r="215" spans="1:10" x14ac:dyDescent="0.2">
      <c r="A215">
        <v>1998</v>
      </c>
      <c r="B215" s="1" t="s">
        <v>22</v>
      </c>
      <c r="C215" s="1" t="s">
        <v>24</v>
      </c>
      <c r="D215">
        <v>0</v>
      </c>
      <c r="E215">
        <v>1</v>
      </c>
      <c r="F215">
        <v>90459</v>
      </c>
      <c r="G215">
        <v>57000</v>
      </c>
      <c r="H215">
        <v>70374</v>
      </c>
      <c r="I215">
        <v>110323</v>
      </c>
      <c r="J215">
        <v>71.3</v>
      </c>
    </row>
    <row r="216" spans="1:10" x14ac:dyDescent="0.2">
      <c r="A216">
        <v>1998</v>
      </c>
      <c r="B216" s="1" t="s">
        <v>23</v>
      </c>
      <c r="C216" s="1" t="s">
        <v>24</v>
      </c>
      <c r="D216">
        <v>0</v>
      </c>
      <c r="E216">
        <v>1</v>
      </c>
      <c r="F216">
        <v>87220</v>
      </c>
      <c r="G216">
        <v>50000</v>
      </c>
      <c r="H216">
        <v>59577</v>
      </c>
      <c r="I216">
        <v>96774</v>
      </c>
      <c r="J216">
        <v>71.3</v>
      </c>
    </row>
    <row r="217" spans="1:10" x14ac:dyDescent="0.2">
      <c r="A217">
        <v>1998</v>
      </c>
      <c r="B217" s="1" t="s">
        <v>25</v>
      </c>
      <c r="C217" s="1" t="s">
        <v>11</v>
      </c>
      <c r="D217">
        <v>1</v>
      </c>
      <c r="E217">
        <v>0</v>
      </c>
      <c r="F217">
        <v>257465</v>
      </c>
      <c r="G217">
        <v>103950</v>
      </c>
      <c r="H217">
        <v>129136</v>
      </c>
      <c r="I217">
        <v>201194</v>
      </c>
      <c r="J217">
        <v>71.3</v>
      </c>
    </row>
    <row r="218" spans="1:10" x14ac:dyDescent="0.2">
      <c r="A218">
        <v>1998</v>
      </c>
      <c r="B218" s="1" t="s">
        <v>25</v>
      </c>
      <c r="C218" s="1" t="s">
        <v>12</v>
      </c>
      <c r="D218">
        <v>1</v>
      </c>
      <c r="E218">
        <v>0</v>
      </c>
      <c r="F218">
        <v>167015</v>
      </c>
      <c r="G218">
        <v>59000</v>
      </c>
      <c r="H218">
        <v>80973</v>
      </c>
      <c r="I218">
        <v>114194</v>
      </c>
      <c r="J218">
        <v>71.3</v>
      </c>
    </row>
    <row r="219" spans="1:10" x14ac:dyDescent="0.2">
      <c r="A219">
        <v>1998</v>
      </c>
      <c r="B219" s="1" t="s">
        <v>25</v>
      </c>
      <c r="C219" s="1" t="s">
        <v>13</v>
      </c>
      <c r="D219">
        <v>1</v>
      </c>
      <c r="E219">
        <v>0</v>
      </c>
      <c r="F219">
        <v>302325</v>
      </c>
      <c r="G219">
        <v>59999</v>
      </c>
      <c r="H219">
        <v>73294</v>
      </c>
      <c r="I219">
        <v>116127</v>
      </c>
      <c r="J219">
        <v>71.3</v>
      </c>
    </row>
    <row r="220" spans="1:10" x14ac:dyDescent="0.2">
      <c r="A220">
        <v>1998</v>
      </c>
      <c r="B220" s="1" t="s">
        <v>25</v>
      </c>
      <c r="C220" s="1" t="s">
        <v>14</v>
      </c>
      <c r="D220">
        <v>1</v>
      </c>
      <c r="E220">
        <v>0</v>
      </c>
      <c r="F220">
        <v>321531</v>
      </c>
      <c r="G220">
        <v>50490</v>
      </c>
      <c r="H220">
        <v>64797</v>
      </c>
      <c r="I220">
        <v>97723</v>
      </c>
      <c r="J220">
        <v>71.3</v>
      </c>
    </row>
    <row r="221" spans="1:10" x14ac:dyDescent="0.2">
      <c r="A221">
        <v>1998</v>
      </c>
      <c r="B221" s="1" t="s">
        <v>25</v>
      </c>
      <c r="C221" s="1" t="s">
        <v>24</v>
      </c>
      <c r="D221">
        <v>1</v>
      </c>
      <c r="E221">
        <v>1</v>
      </c>
      <c r="F221">
        <v>1048336</v>
      </c>
      <c r="G221">
        <v>65000</v>
      </c>
      <c r="H221">
        <v>85626</v>
      </c>
      <c r="I221">
        <v>125806</v>
      </c>
      <c r="J221">
        <v>71.3</v>
      </c>
    </row>
    <row r="222" spans="1:10" x14ac:dyDescent="0.2">
      <c r="A222">
        <v>1999</v>
      </c>
      <c r="B222" s="1" t="s">
        <v>10</v>
      </c>
      <c r="C222" s="1" t="s">
        <v>11</v>
      </c>
      <c r="D222">
        <v>0</v>
      </c>
      <c r="E222">
        <v>0</v>
      </c>
      <c r="F222">
        <v>37148</v>
      </c>
      <c r="G222">
        <v>87000</v>
      </c>
      <c r="H222">
        <v>101589</v>
      </c>
      <c r="I222">
        <v>165372</v>
      </c>
      <c r="J222">
        <v>72.599999999999994</v>
      </c>
    </row>
    <row r="223" spans="1:10" x14ac:dyDescent="0.2">
      <c r="A223">
        <v>1999</v>
      </c>
      <c r="B223" s="1" t="s">
        <v>10</v>
      </c>
      <c r="C223" s="1" t="s">
        <v>12</v>
      </c>
      <c r="D223">
        <v>0</v>
      </c>
      <c r="E223">
        <v>0</v>
      </c>
      <c r="F223">
        <v>2857</v>
      </c>
      <c r="G223">
        <v>38000</v>
      </c>
      <c r="H223">
        <v>47455</v>
      </c>
      <c r="I223">
        <v>72231</v>
      </c>
      <c r="J223">
        <v>72.599999999999994</v>
      </c>
    </row>
    <row r="224" spans="1:10" x14ac:dyDescent="0.2">
      <c r="A224">
        <v>1999</v>
      </c>
      <c r="B224" s="1" t="s">
        <v>10</v>
      </c>
      <c r="C224" s="1" t="s">
        <v>13</v>
      </c>
      <c r="D224">
        <v>0</v>
      </c>
      <c r="E224">
        <v>0</v>
      </c>
      <c r="F224">
        <v>32699</v>
      </c>
      <c r="G224">
        <v>50995</v>
      </c>
      <c r="H224">
        <v>54497</v>
      </c>
      <c r="I224">
        <v>96933</v>
      </c>
      <c r="J224">
        <v>72.599999999999994</v>
      </c>
    </row>
    <row r="225" spans="1:10" x14ac:dyDescent="0.2">
      <c r="A225">
        <v>1999</v>
      </c>
      <c r="B225" s="1" t="s">
        <v>10</v>
      </c>
      <c r="C225" s="1" t="s">
        <v>14</v>
      </c>
      <c r="D225">
        <v>0</v>
      </c>
      <c r="E225">
        <v>0</v>
      </c>
      <c r="F225">
        <v>24129</v>
      </c>
      <c r="G225">
        <v>39750</v>
      </c>
      <c r="H225">
        <v>44182</v>
      </c>
      <c r="I225">
        <v>75558</v>
      </c>
      <c r="J225">
        <v>72.599999999999994</v>
      </c>
    </row>
    <row r="226" spans="1:10" x14ac:dyDescent="0.2">
      <c r="A226">
        <v>1999</v>
      </c>
      <c r="B226" s="1" t="s">
        <v>15</v>
      </c>
      <c r="C226" s="1" t="s">
        <v>11</v>
      </c>
      <c r="D226">
        <v>0</v>
      </c>
      <c r="E226">
        <v>0</v>
      </c>
      <c r="F226">
        <v>43856</v>
      </c>
      <c r="G226">
        <v>120000</v>
      </c>
      <c r="H226">
        <v>143934</v>
      </c>
      <c r="I226">
        <v>228099</v>
      </c>
      <c r="J226">
        <v>72.599999999999994</v>
      </c>
    </row>
    <row r="227" spans="1:10" x14ac:dyDescent="0.2">
      <c r="A227">
        <v>1999</v>
      </c>
      <c r="B227" s="1" t="s">
        <v>15</v>
      </c>
      <c r="C227" s="1" t="s">
        <v>12</v>
      </c>
      <c r="D227">
        <v>0</v>
      </c>
      <c r="E227">
        <v>0</v>
      </c>
      <c r="F227">
        <v>18736</v>
      </c>
      <c r="G227">
        <v>51000</v>
      </c>
      <c r="H227">
        <v>57739</v>
      </c>
      <c r="I227">
        <v>96942</v>
      </c>
      <c r="J227">
        <v>72.599999999999994</v>
      </c>
    </row>
    <row r="228" spans="1:10" x14ac:dyDescent="0.2">
      <c r="A228">
        <v>1999</v>
      </c>
      <c r="B228" s="1" t="s">
        <v>15</v>
      </c>
      <c r="C228" s="1" t="s">
        <v>13</v>
      </c>
      <c r="D228">
        <v>0</v>
      </c>
      <c r="E228">
        <v>0</v>
      </c>
      <c r="F228">
        <v>40982</v>
      </c>
      <c r="G228">
        <v>74238</v>
      </c>
      <c r="H228">
        <v>84845</v>
      </c>
      <c r="I228">
        <v>141113</v>
      </c>
      <c r="J228">
        <v>72.599999999999994</v>
      </c>
    </row>
    <row r="229" spans="1:10" x14ac:dyDescent="0.2">
      <c r="A229">
        <v>1999</v>
      </c>
      <c r="B229" s="1" t="s">
        <v>15</v>
      </c>
      <c r="C229" s="1" t="s">
        <v>14</v>
      </c>
      <c r="D229">
        <v>0</v>
      </c>
      <c r="E229">
        <v>0</v>
      </c>
      <c r="F229">
        <v>41294</v>
      </c>
      <c r="G229">
        <v>62000</v>
      </c>
      <c r="H229">
        <v>70893</v>
      </c>
      <c r="I229">
        <v>117851</v>
      </c>
      <c r="J229">
        <v>72.599999999999994</v>
      </c>
    </row>
    <row r="230" spans="1:10" x14ac:dyDescent="0.2">
      <c r="A230">
        <v>1999</v>
      </c>
      <c r="B230" s="1" t="s">
        <v>16</v>
      </c>
      <c r="C230" s="1" t="s">
        <v>11</v>
      </c>
      <c r="D230">
        <v>0</v>
      </c>
      <c r="E230">
        <v>0</v>
      </c>
      <c r="F230">
        <v>7787</v>
      </c>
      <c r="G230">
        <v>245000</v>
      </c>
      <c r="H230">
        <v>336994</v>
      </c>
      <c r="I230">
        <v>465702</v>
      </c>
      <c r="J230">
        <v>72.599999999999994</v>
      </c>
    </row>
    <row r="231" spans="1:10" x14ac:dyDescent="0.2">
      <c r="A231">
        <v>1999</v>
      </c>
      <c r="B231" s="1" t="s">
        <v>16</v>
      </c>
      <c r="C231" s="1" t="s">
        <v>12</v>
      </c>
      <c r="D231">
        <v>0</v>
      </c>
      <c r="E231">
        <v>0</v>
      </c>
      <c r="F231">
        <v>84444</v>
      </c>
      <c r="G231">
        <v>98000</v>
      </c>
      <c r="H231">
        <v>134933</v>
      </c>
      <c r="I231">
        <v>186281</v>
      </c>
      <c r="J231">
        <v>72.599999999999994</v>
      </c>
    </row>
    <row r="232" spans="1:10" x14ac:dyDescent="0.2">
      <c r="A232">
        <v>1999</v>
      </c>
      <c r="B232" s="1" t="s">
        <v>16</v>
      </c>
      <c r="C232" s="1" t="s">
        <v>13</v>
      </c>
      <c r="D232">
        <v>0</v>
      </c>
      <c r="E232">
        <v>0</v>
      </c>
      <c r="F232">
        <v>27349</v>
      </c>
      <c r="G232">
        <v>139000</v>
      </c>
      <c r="H232">
        <v>174894</v>
      </c>
      <c r="I232">
        <v>264215</v>
      </c>
      <c r="J232">
        <v>72.599999999999994</v>
      </c>
    </row>
    <row r="233" spans="1:10" x14ac:dyDescent="0.2">
      <c r="A233">
        <v>1999</v>
      </c>
      <c r="B233" s="1" t="s">
        <v>16</v>
      </c>
      <c r="C233" s="1" t="s">
        <v>14</v>
      </c>
      <c r="D233">
        <v>0</v>
      </c>
      <c r="E233">
        <v>0</v>
      </c>
      <c r="F233">
        <v>52471</v>
      </c>
      <c r="G233">
        <v>115000</v>
      </c>
      <c r="H233">
        <v>161550</v>
      </c>
      <c r="I233">
        <v>218595</v>
      </c>
      <c r="J233">
        <v>72.599999999999994</v>
      </c>
    </row>
    <row r="234" spans="1:10" x14ac:dyDescent="0.2">
      <c r="A234">
        <v>1999</v>
      </c>
      <c r="B234" s="1" t="s">
        <v>17</v>
      </c>
      <c r="C234" s="1" t="s">
        <v>11</v>
      </c>
      <c r="D234">
        <v>0</v>
      </c>
      <c r="E234">
        <v>0</v>
      </c>
      <c r="F234">
        <v>9538</v>
      </c>
      <c r="G234">
        <v>88000</v>
      </c>
      <c r="H234">
        <v>101137</v>
      </c>
      <c r="I234">
        <v>167273</v>
      </c>
      <c r="J234">
        <v>72.599999999999994</v>
      </c>
    </row>
    <row r="235" spans="1:10" x14ac:dyDescent="0.2">
      <c r="A235">
        <v>1999</v>
      </c>
      <c r="B235" s="1" t="s">
        <v>17</v>
      </c>
      <c r="C235" s="1" t="s">
        <v>12</v>
      </c>
      <c r="D235">
        <v>0</v>
      </c>
      <c r="E235">
        <v>0</v>
      </c>
      <c r="F235">
        <v>4768</v>
      </c>
      <c r="G235">
        <v>36970</v>
      </c>
      <c r="H235">
        <v>44171</v>
      </c>
      <c r="I235">
        <v>70274</v>
      </c>
      <c r="J235">
        <v>72.599999999999994</v>
      </c>
    </row>
    <row r="236" spans="1:10" x14ac:dyDescent="0.2">
      <c r="A236">
        <v>1999</v>
      </c>
      <c r="B236" s="1" t="s">
        <v>17</v>
      </c>
      <c r="C236" s="1" t="s">
        <v>13</v>
      </c>
      <c r="D236">
        <v>0</v>
      </c>
      <c r="E236">
        <v>0</v>
      </c>
      <c r="F236">
        <v>14764</v>
      </c>
      <c r="G236">
        <v>52500</v>
      </c>
      <c r="H236">
        <v>55165</v>
      </c>
      <c r="I236">
        <v>99793</v>
      </c>
      <c r="J236">
        <v>72.599999999999994</v>
      </c>
    </row>
    <row r="237" spans="1:10" x14ac:dyDescent="0.2">
      <c r="A237">
        <v>1999</v>
      </c>
      <c r="B237" s="1" t="s">
        <v>17</v>
      </c>
      <c r="C237" s="1" t="s">
        <v>14</v>
      </c>
      <c r="D237">
        <v>0</v>
      </c>
      <c r="E237">
        <v>0</v>
      </c>
      <c r="F237">
        <v>15156</v>
      </c>
      <c r="G237">
        <v>36000</v>
      </c>
      <c r="H237">
        <v>42775</v>
      </c>
      <c r="I237">
        <v>68430</v>
      </c>
      <c r="J237">
        <v>72.599999999999994</v>
      </c>
    </row>
    <row r="238" spans="1:10" x14ac:dyDescent="0.2">
      <c r="A238">
        <v>1999</v>
      </c>
      <c r="B238" s="1" t="s">
        <v>18</v>
      </c>
      <c r="C238" s="1" t="s">
        <v>11</v>
      </c>
      <c r="D238">
        <v>0</v>
      </c>
      <c r="E238">
        <v>0</v>
      </c>
      <c r="F238">
        <v>29155</v>
      </c>
      <c r="G238">
        <v>98100</v>
      </c>
      <c r="H238">
        <v>117222</v>
      </c>
      <c r="I238">
        <v>186471</v>
      </c>
      <c r="J238">
        <v>72.599999999999994</v>
      </c>
    </row>
    <row r="239" spans="1:10" x14ac:dyDescent="0.2">
      <c r="A239">
        <v>1999</v>
      </c>
      <c r="B239" s="1" t="s">
        <v>18</v>
      </c>
      <c r="C239" s="1" t="s">
        <v>12</v>
      </c>
      <c r="D239">
        <v>0</v>
      </c>
      <c r="E239">
        <v>0</v>
      </c>
      <c r="F239">
        <v>8864</v>
      </c>
      <c r="G239">
        <v>47450</v>
      </c>
      <c r="H239">
        <v>57941</v>
      </c>
      <c r="I239">
        <v>90194</v>
      </c>
      <c r="J239">
        <v>72.599999999999994</v>
      </c>
    </row>
    <row r="240" spans="1:10" x14ac:dyDescent="0.2">
      <c r="A240">
        <v>1999</v>
      </c>
      <c r="B240" s="1" t="s">
        <v>18</v>
      </c>
      <c r="C240" s="1" t="s">
        <v>13</v>
      </c>
      <c r="D240">
        <v>0</v>
      </c>
      <c r="E240">
        <v>0</v>
      </c>
      <c r="F240">
        <v>48053</v>
      </c>
      <c r="G240">
        <v>55950</v>
      </c>
      <c r="H240">
        <v>60707</v>
      </c>
      <c r="I240">
        <v>106351</v>
      </c>
      <c r="J240">
        <v>72.599999999999994</v>
      </c>
    </row>
    <row r="241" spans="1:10" x14ac:dyDescent="0.2">
      <c r="A241">
        <v>1999</v>
      </c>
      <c r="B241" s="1" t="s">
        <v>18</v>
      </c>
      <c r="C241" s="1" t="s">
        <v>14</v>
      </c>
      <c r="D241">
        <v>0</v>
      </c>
      <c r="E241">
        <v>0</v>
      </c>
      <c r="F241">
        <v>44886</v>
      </c>
      <c r="G241">
        <v>35950</v>
      </c>
      <c r="H241">
        <v>40116</v>
      </c>
      <c r="I241">
        <v>68335</v>
      </c>
      <c r="J241">
        <v>72.599999999999994</v>
      </c>
    </row>
    <row r="242" spans="1:10" x14ac:dyDescent="0.2">
      <c r="A242">
        <v>1999</v>
      </c>
      <c r="B242" s="1" t="s">
        <v>19</v>
      </c>
      <c r="C242" s="1" t="s">
        <v>11</v>
      </c>
      <c r="D242">
        <v>0</v>
      </c>
      <c r="E242">
        <v>0</v>
      </c>
      <c r="F242">
        <v>60297</v>
      </c>
      <c r="G242">
        <v>164000</v>
      </c>
      <c r="H242">
        <v>200616</v>
      </c>
      <c r="I242">
        <v>311736</v>
      </c>
      <c r="J242">
        <v>72.599999999999994</v>
      </c>
    </row>
    <row r="243" spans="1:10" x14ac:dyDescent="0.2">
      <c r="A243">
        <v>1999</v>
      </c>
      <c r="B243" s="1" t="s">
        <v>19</v>
      </c>
      <c r="C243" s="1" t="s">
        <v>12</v>
      </c>
      <c r="D243">
        <v>0</v>
      </c>
      <c r="E243">
        <v>0</v>
      </c>
      <c r="F243">
        <v>39411</v>
      </c>
      <c r="G243">
        <v>59950</v>
      </c>
      <c r="H243">
        <v>69280</v>
      </c>
      <c r="I243">
        <v>113955</v>
      </c>
      <c r="J243">
        <v>72.599999999999994</v>
      </c>
    </row>
    <row r="244" spans="1:10" x14ac:dyDescent="0.2">
      <c r="A244">
        <v>1999</v>
      </c>
      <c r="B244" s="1" t="s">
        <v>19</v>
      </c>
      <c r="C244" s="1" t="s">
        <v>13</v>
      </c>
      <c r="D244">
        <v>0</v>
      </c>
      <c r="E244">
        <v>0</v>
      </c>
      <c r="F244">
        <v>57237</v>
      </c>
      <c r="G244">
        <v>95000</v>
      </c>
      <c r="H244">
        <v>106269</v>
      </c>
      <c r="I244">
        <v>180579</v>
      </c>
      <c r="J244">
        <v>72.599999999999994</v>
      </c>
    </row>
    <row r="245" spans="1:10" x14ac:dyDescent="0.2">
      <c r="A245">
        <v>1999</v>
      </c>
      <c r="B245" s="1" t="s">
        <v>19</v>
      </c>
      <c r="C245" s="1" t="s">
        <v>14</v>
      </c>
      <c r="D245">
        <v>0</v>
      </c>
      <c r="E245">
        <v>0</v>
      </c>
      <c r="F245">
        <v>59540</v>
      </c>
      <c r="G245">
        <v>75000</v>
      </c>
      <c r="H245">
        <v>84499</v>
      </c>
      <c r="I245">
        <v>142562</v>
      </c>
      <c r="J245">
        <v>72.599999999999994</v>
      </c>
    </row>
    <row r="246" spans="1:10" x14ac:dyDescent="0.2">
      <c r="A246">
        <v>1999</v>
      </c>
      <c r="B246" s="1" t="s">
        <v>20</v>
      </c>
      <c r="C246" s="1" t="s">
        <v>11</v>
      </c>
      <c r="D246">
        <v>0</v>
      </c>
      <c r="E246">
        <v>0</v>
      </c>
      <c r="F246">
        <v>42963</v>
      </c>
      <c r="G246">
        <v>117950</v>
      </c>
      <c r="H246">
        <v>135473</v>
      </c>
      <c r="I246">
        <v>224202</v>
      </c>
      <c r="J246">
        <v>72.599999999999994</v>
      </c>
    </row>
    <row r="247" spans="1:10" x14ac:dyDescent="0.2">
      <c r="A247">
        <v>1999</v>
      </c>
      <c r="B247" s="1" t="s">
        <v>20</v>
      </c>
      <c r="C247" s="1" t="s">
        <v>12</v>
      </c>
      <c r="D247">
        <v>0</v>
      </c>
      <c r="E247">
        <v>0</v>
      </c>
      <c r="F247">
        <v>18695</v>
      </c>
      <c r="G247">
        <v>52000</v>
      </c>
      <c r="H247">
        <v>65168</v>
      </c>
      <c r="I247">
        <v>98843</v>
      </c>
      <c r="J247">
        <v>72.599999999999994</v>
      </c>
    </row>
    <row r="248" spans="1:10" x14ac:dyDescent="0.2">
      <c r="A248">
        <v>1999</v>
      </c>
      <c r="B248" s="1" t="s">
        <v>20</v>
      </c>
      <c r="C248" s="1" t="s">
        <v>13</v>
      </c>
      <c r="D248">
        <v>0</v>
      </c>
      <c r="E248">
        <v>0</v>
      </c>
      <c r="F248">
        <v>32627</v>
      </c>
      <c r="G248">
        <v>71500</v>
      </c>
      <c r="H248">
        <v>78829</v>
      </c>
      <c r="I248">
        <v>135909</v>
      </c>
      <c r="J248">
        <v>72.599999999999994</v>
      </c>
    </row>
    <row r="249" spans="1:10" x14ac:dyDescent="0.2">
      <c r="A249">
        <v>1999</v>
      </c>
      <c r="B249" s="1" t="s">
        <v>20</v>
      </c>
      <c r="C249" s="1" t="s">
        <v>14</v>
      </c>
      <c r="D249">
        <v>0</v>
      </c>
      <c r="E249">
        <v>0</v>
      </c>
      <c r="F249">
        <v>42515</v>
      </c>
      <c r="G249">
        <v>58000</v>
      </c>
      <c r="H249">
        <v>65262</v>
      </c>
      <c r="I249">
        <v>110248</v>
      </c>
      <c r="J249">
        <v>72.599999999999994</v>
      </c>
    </row>
    <row r="250" spans="1:10" x14ac:dyDescent="0.2">
      <c r="A250">
        <v>1999</v>
      </c>
      <c r="B250" s="1" t="s">
        <v>21</v>
      </c>
      <c r="C250" s="1" t="s">
        <v>11</v>
      </c>
      <c r="D250">
        <v>0</v>
      </c>
      <c r="E250">
        <v>0</v>
      </c>
      <c r="F250">
        <v>15412</v>
      </c>
      <c r="G250">
        <v>83000</v>
      </c>
      <c r="H250">
        <v>92450</v>
      </c>
      <c r="I250">
        <v>157769</v>
      </c>
      <c r="J250">
        <v>72.599999999999994</v>
      </c>
    </row>
    <row r="251" spans="1:10" x14ac:dyDescent="0.2">
      <c r="A251">
        <v>1999</v>
      </c>
      <c r="B251" s="1" t="s">
        <v>21</v>
      </c>
      <c r="C251" s="1" t="s">
        <v>12</v>
      </c>
      <c r="D251">
        <v>0</v>
      </c>
      <c r="E251">
        <v>0</v>
      </c>
      <c r="F251">
        <v>2225</v>
      </c>
      <c r="G251">
        <v>44000</v>
      </c>
      <c r="H251">
        <v>51629</v>
      </c>
      <c r="I251">
        <v>83636</v>
      </c>
      <c r="J251">
        <v>72.599999999999994</v>
      </c>
    </row>
    <row r="252" spans="1:10" x14ac:dyDescent="0.2">
      <c r="A252">
        <v>1999</v>
      </c>
      <c r="B252" s="1" t="s">
        <v>21</v>
      </c>
      <c r="C252" s="1" t="s">
        <v>13</v>
      </c>
      <c r="D252">
        <v>0</v>
      </c>
      <c r="E252">
        <v>0</v>
      </c>
      <c r="F252">
        <v>14249</v>
      </c>
      <c r="G252">
        <v>52000</v>
      </c>
      <c r="H252">
        <v>55288</v>
      </c>
      <c r="I252">
        <v>98843</v>
      </c>
      <c r="J252">
        <v>72.599999999999994</v>
      </c>
    </row>
    <row r="253" spans="1:10" x14ac:dyDescent="0.2">
      <c r="A253">
        <v>1999</v>
      </c>
      <c r="B253" s="1" t="s">
        <v>21</v>
      </c>
      <c r="C253" s="1" t="s">
        <v>14</v>
      </c>
      <c r="D253">
        <v>0</v>
      </c>
      <c r="E253">
        <v>0</v>
      </c>
      <c r="F253">
        <v>17071</v>
      </c>
      <c r="G253">
        <v>39000</v>
      </c>
      <c r="H253">
        <v>42858</v>
      </c>
      <c r="I253">
        <v>74132</v>
      </c>
      <c r="J253">
        <v>72.599999999999994</v>
      </c>
    </row>
    <row r="254" spans="1:10" x14ac:dyDescent="0.2">
      <c r="A254">
        <v>1999</v>
      </c>
      <c r="B254" s="1" t="s">
        <v>22</v>
      </c>
      <c r="C254" s="1" t="s">
        <v>11</v>
      </c>
      <c r="D254">
        <v>0</v>
      </c>
      <c r="E254">
        <v>0</v>
      </c>
      <c r="F254">
        <v>28859</v>
      </c>
      <c r="G254">
        <v>110000</v>
      </c>
      <c r="H254">
        <v>126439</v>
      </c>
      <c r="I254">
        <v>209091</v>
      </c>
      <c r="J254">
        <v>72.599999999999994</v>
      </c>
    </row>
    <row r="255" spans="1:10" x14ac:dyDescent="0.2">
      <c r="A255">
        <v>1999</v>
      </c>
      <c r="B255" s="1" t="s">
        <v>22</v>
      </c>
      <c r="C255" s="1" t="s">
        <v>12</v>
      </c>
      <c r="D255">
        <v>0</v>
      </c>
      <c r="E255">
        <v>0</v>
      </c>
      <c r="F255">
        <v>7862</v>
      </c>
      <c r="G255">
        <v>42500</v>
      </c>
      <c r="H255">
        <v>51359</v>
      </c>
      <c r="I255">
        <v>80785</v>
      </c>
      <c r="J255">
        <v>72.599999999999994</v>
      </c>
    </row>
    <row r="256" spans="1:10" x14ac:dyDescent="0.2">
      <c r="A256">
        <v>1999</v>
      </c>
      <c r="B256" s="1" t="s">
        <v>22</v>
      </c>
      <c r="C256" s="1" t="s">
        <v>13</v>
      </c>
      <c r="D256">
        <v>0</v>
      </c>
      <c r="E256">
        <v>0</v>
      </c>
      <c r="F256">
        <v>35919</v>
      </c>
      <c r="G256">
        <v>59500</v>
      </c>
      <c r="H256">
        <v>64973</v>
      </c>
      <c r="I256">
        <v>113099</v>
      </c>
      <c r="J256">
        <v>72.599999999999994</v>
      </c>
    </row>
    <row r="257" spans="1:10" x14ac:dyDescent="0.2">
      <c r="A257">
        <v>1999</v>
      </c>
      <c r="B257" s="1" t="s">
        <v>22</v>
      </c>
      <c r="C257" s="1" t="s">
        <v>14</v>
      </c>
      <c r="D257">
        <v>0</v>
      </c>
      <c r="E257">
        <v>0</v>
      </c>
      <c r="F257">
        <v>30419</v>
      </c>
      <c r="G257">
        <v>46000</v>
      </c>
      <c r="H257">
        <v>50485</v>
      </c>
      <c r="I257">
        <v>87438</v>
      </c>
      <c r="J257">
        <v>72.599999999999994</v>
      </c>
    </row>
    <row r="258" spans="1:10" x14ac:dyDescent="0.2">
      <c r="A258">
        <v>1999</v>
      </c>
      <c r="B258" s="1" t="s">
        <v>23</v>
      </c>
      <c r="C258" s="1" t="s">
        <v>11</v>
      </c>
      <c r="D258">
        <v>0</v>
      </c>
      <c r="E258">
        <v>0</v>
      </c>
      <c r="F258">
        <v>25682</v>
      </c>
      <c r="G258">
        <v>89500</v>
      </c>
      <c r="H258">
        <v>104089</v>
      </c>
      <c r="I258">
        <v>170124</v>
      </c>
      <c r="J258">
        <v>72.599999999999994</v>
      </c>
    </row>
    <row r="259" spans="1:10" x14ac:dyDescent="0.2">
      <c r="A259">
        <v>1999</v>
      </c>
      <c r="B259" s="1" t="s">
        <v>23</v>
      </c>
      <c r="C259" s="1" t="s">
        <v>12</v>
      </c>
      <c r="D259">
        <v>0</v>
      </c>
      <c r="E259">
        <v>0</v>
      </c>
      <c r="F259">
        <v>4754</v>
      </c>
      <c r="G259">
        <v>46500</v>
      </c>
      <c r="H259">
        <v>54336</v>
      </c>
      <c r="I259">
        <v>88388</v>
      </c>
      <c r="J259">
        <v>72.599999999999994</v>
      </c>
    </row>
    <row r="260" spans="1:10" x14ac:dyDescent="0.2">
      <c r="A260">
        <v>1999</v>
      </c>
      <c r="B260" s="1" t="s">
        <v>23</v>
      </c>
      <c r="C260" s="1" t="s">
        <v>13</v>
      </c>
      <c r="D260">
        <v>0</v>
      </c>
      <c r="E260">
        <v>0</v>
      </c>
      <c r="F260">
        <v>34899</v>
      </c>
      <c r="G260">
        <v>52000</v>
      </c>
      <c r="H260">
        <v>55747</v>
      </c>
      <c r="I260">
        <v>98843</v>
      </c>
      <c r="J260">
        <v>72.599999999999994</v>
      </c>
    </row>
    <row r="261" spans="1:10" x14ac:dyDescent="0.2">
      <c r="A261">
        <v>1999</v>
      </c>
      <c r="B261" s="1" t="s">
        <v>23</v>
      </c>
      <c r="C261" s="1" t="s">
        <v>14</v>
      </c>
      <c r="D261">
        <v>0</v>
      </c>
      <c r="E261">
        <v>0</v>
      </c>
      <c r="F261">
        <v>32354</v>
      </c>
      <c r="G261">
        <v>38000</v>
      </c>
      <c r="H261">
        <v>42319</v>
      </c>
      <c r="I261">
        <v>72231</v>
      </c>
      <c r="J261">
        <v>72.599999999999994</v>
      </c>
    </row>
    <row r="262" spans="1:10" x14ac:dyDescent="0.2">
      <c r="A262">
        <v>1999</v>
      </c>
      <c r="B262" s="1" t="s">
        <v>10</v>
      </c>
      <c r="C262" s="1" t="s">
        <v>24</v>
      </c>
      <c r="D262">
        <v>0</v>
      </c>
      <c r="E262">
        <v>1</v>
      </c>
      <c r="F262">
        <v>96833</v>
      </c>
      <c r="G262">
        <v>57500</v>
      </c>
      <c r="H262">
        <v>69785</v>
      </c>
      <c r="I262">
        <v>109298</v>
      </c>
      <c r="J262">
        <v>72.599999999999994</v>
      </c>
    </row>
    <row r="263" spans="1:10" x14ac:dyDescent="0.2">
      <c r="A263">
        <v>1999</v>
      </c>
      <c r="B263" s="1" t="s">
        <v>15</v>
      </c>
      <c r="C263" s="1" t="s">
        <v>24</v>
      </c>
      <c r="D263">
        <v>0</v>
      </c>
      <c r="E263">
        <v>1</v>
      </c>
      <c r="F263">
        <v>144868</v>
      </c>
      <c r="G263">
        <v>76000</v>
      </c>
      <c r="H263">
        <v>95250</v>
      </c>
      <c r="I263">
        <v>144463</v>
      </c>
      <c r="J263">
        <v>72.599999999999994</v>
      </c>
    </row>
    <row r="264" spans="1:10" x14ac:dyDescent="0.2">
      <c r="A264">
        <v>1999</v>
      </c>
      <c r="B264" s="1" t="s">
        <v>16</v>
      </c>
      <c r="C264" s="1" t="s">
        <v>24</v>
      </c>
      <c r="D264">
        <v>0</v>
      </c>
      <c r="E264">
        <v>1</v>
      </c>
      <c r="F264">
        <v>172051</v>
      </c>
      <c r="G264">
        <v>118000</v>
      </c>
      <c r="H264">
        <v>158548</v>
      </c>
      <c r="I264">
        <v>224298</v>
      </c>
      <c r="J264">
        <v>72.599999999999994</v>
      </c>
    </row>
    <row r="265" spans="1:10" x14ac:dyDescent="0.2">
      <c r="A265">
        <v>1999</v>
      </c>
      <c r="B265" s="1" t="s">
        <v>17</v>
      </c>
      <c r="C265" s="1" t="s">
        <v>24</v>
      </c>
      <c r="D265">
        <v>0</v>
      </c>
      <c r="E265">
        <v>1</v>
      </c>
      <c r="F265">
        <v>44226</v>
      </c>
      <c r="G265">
        <v>51000</v>
      </c>
      <c r="H265">
        <v>59648</v>
      </c>
      <c r="I265">
        <v>96942</v>
      </c>
      <c r="J265">
        <v>72.599999999999994</v>
      </c>
    </row>
    <row r="266" spans="1:10" x14ac:dyDescent="0.2">
      <c r="A266">
        <v>1999</v>
      </c>
      <c r="B266" s="1" t="s">
        <v>18</v>
      </c>
      <c r="C266" s="1" t="s">
        <v>24</v>
      </c>
      <c r="D266">
        <v>0</v>
      </c>
      <c r="E266">
        <v>1</v>
      </c>
      <c r="F266">
        <v>130958</v>
      </c>
      <c r="G266">
        <v>54000</v>
      </c>
      <c r="H266">
        <v>66044</v>
      </c>
      <c r="I266">
        <v>102645</v>
      </c>
      <c r="J266">
        <v>72.599999999999994</v>
      </c>
    </row>
    <row r="267" spans="1:10" x14ac:dyDescent="0.2">
      <c r="A267">
        <v>1999</v>
      </c>
      <c r="B267" s="1" t="s">
        <v>19</v>
      </c>
      <c r="C267" s="1" t="s">
        <v>24</v>
      </c>
      <c r="D267">
        <v>0</v>
      </c>
      <c r="E267">
        <v>1</v>
      </c>
      <c r="F267">
        <v>216485</v>
      </c>
      <c r="G267">
        <v>92500</v>
      </c>
      <c r="H267">
        <v>119826</v>
      </c>
      <c r="I267">
        <v>175826</v>
      </c>
      <c r="J267">
        <v>72.599999999999994</v>
      </c>
    </row>
    <row r="268" spans="1:10" x14ac:dyDescent="0.2">
      <c r="A268">
        <v>1999</v>
      </c>
      <c r="B268" s="1" t="s">
        <v>20</v>
      </c>
      <c r="C268" s="1" t="s">
        <v>24</v>
      </c>
      <c r="D268">
        <v>0</v>
      </c>
      <c r="E268">
        <v>1</v>
      </c>
      <c r="F268">
        <v>136800</v>
      </c>
      <c r="G268">
        <v>74000</v>
      </c>
      <c r="H268">
        <v>90535</v>
      </c>
      <c r="I268">
        <v>140661</v>
      </c>
      <c r="J268">
        <v>72.599999999999994</v>
      </c>
    </row>
    <row r="269" spans="1:10" x14ac:dyDescent="0.2">
      <c r="A269">
        <v>1999</v>
      </c>
      <c r="B269" s="1" t="s">
        <v>21</v>
      </c>
      <c r="C269" s="1" t="s">
        <v>24</v>
      </c>
      <c r="D269">
        <v>0</v>
      </c>
      <c r="E269">
        <v>1</v>
      </c>
      <c r="F269">
        <v>48957</v>
      </c>
      <c r="G269">
        <v>53500</v>
      </c>
      <c r="H269">
        <v>62486</v>
      </c>
      <c r="I269">
        <v>101694</v>
      </c>
      <c r="J269">
        <v>72.599999999999994</v>
      </c>
    </row>
    <row r="270" spans="1:10" x14ac:dyDescent="0.2">
      <c r="A270">
        <v>1999</v>
      </c>
      <c r="B270" s="1" t="s">
        <v>22</v>
      </c>
      <c r="C270" s="1" t="s">
        <v>24</v>
      </c>
      <c r="D270">
        <v>0</v>
      </c>
      <c r="E270">
        <v>1</v>
      </c>
      <c r="F270">
        <v>103059</v>
      </c>
      <c r="G270">
        <v>60000</v>
      </c>
      <c r="H270">
        <v>76870</v>
      </c>
      <c r="I270">
        <v>114050</v>
      </c>
      <c r="J270">
        <v>72.599999999999994</v>
      </c>
    </row>
    <row r="271" spans="1:10" x14ac:dyDescent="0.2">
      <c r="A271">
        <v>1999</v>
      </c>
      <c r="B271" s="1" t="s">
        <v>23</v>
      </c>
      <c r="C271" s="1" t="s">
        <v>24</v>
      </c>
      <c r="D271">
        <v>0</v>
      </c>
      <c r="E271">
        <v>1</v>
      </c>
      <c r="F271">
        <v>97689</v>
      </c>
      <c r="G271">
        <v>53000</v>
      </c>
      <c r="H271">
        <v>63940</v>
      </c>
      <c r="I271">
        <v>100744</v>
      </c>
      <c r="J271">
        <v>72.599999999999994</v>
      </c>
    </row>
    <row r="272" spans="1:10" x14ac:dyDescent="0.2">
      <c r="A272">
        <v>1999</v>
      </c>
      <c r="B272" s="1" t="s">
        <v>25</v>
      </c>
      <c r="C272" s="1" t="s">
        <v>11</v>
      </c>
      <c r="D272">
        <v>1</v>
      </c>
      <c r="E272">
        <v>0</v>
      </c>
      <c r="F272">
        <v>300972</v>
      </c>
      <c r="G272">
        <v>115000</v>
      </c>
      <c r="H272">
        <v>142220</v>
      </c>
      <c r="I272">
        <v>218595</v>
      </c>
      <c r="J272">
        <v>72.599999999999994</v>
      </c>
    </row>
    <row r="273" spans="1:10" x14ac:dyDescent="0.2">
      <c r="A273">
        <v>1999</v>
      </c>
      <c r="B273" s="1" t="s">
        <v>25</v>
      </c>
      <c r="C273" s="1" t="s">
        <v>12</v>
      </c>
      <c r="D273">
        <v>1</v>
      </c>
      <c r="E273">
        <v>0</v>
      </c>
      <c r="F273">
        <v>192862</v>
      </c>
      <c r="G273">
        <v>67500</v>
      </c>
      <c r="H273">
        <v>93800</v>
      </c>
      <c r="I273">
        <v>128306</v>
      </c>
      <c r="J273">
        <v>72.599999999999994</v>
      </c>
    </row>
    <row r="274" spans="1:10" x14ac:dyDescent="0.2">
      <c r="A274">
        <v>1999</v>
      </c>
      <c r="B274" s="1" t="s">
        <v>25</v>
      </c>
      <c r="C274" s="1" t="s">
        <v>13</v>
      </c>
      <c r="D274">
        <v>1</v>
      </c>
      <c r="E274">
        <v>0</v>
      </c>
      <c r="F274">
        <v>338860</v>
      </c>
      <c r="G274">
        <v>66000</v>
      </c>
      <c r="H274">
        <v>81173</v>
      </c>
      <c r="I274">
        <v>125455</v>
      </c>
      <c r="J274">
        <v>72.599999999999994</v>
      </c>
    </row>
    <row r="275" spans="1:10" x14ac:dyDescent="0.2">
      <c r="A275">
        <v>1999</v>
      </c>
      <c r="B275" s="1" t="s">
        <v>25</v>
      </c>
      <c r="C275" s="1" t="s">
        <v>14</v>
      </c>
      <c r="D275">
        <v>1</v>
      </c>
      <c r="E275">
        <v>0</v>
      </c>
      <c r="F275">
        <v>359934</v>
      </c>
      <c r="G275">
        <v>56000</v>
      </c>
      <c r="H275">
        <v>73261</v>
      </c>
      <c r="I275">
        <v>106446</v>
      </c>
      <c r="J275">
        <v>72.599999999999994</v>
      </c>
    </row>
    <row r="276" spans="1:10" x14ac:dyDescent="0.2">
      <c r="A276">
        <v>1999</v>
      </c>
      <c r="B276" s="1" t="s">
        <v>25</v>
      </c>
      <c r="C276" s="1" t="s">
        <v>24</v>
      </c>
      <c r="D276">
        <v>1</v>
      </c>
      <c r="E276">
        <v>1</v>
      </c>
      <c r="F276">
        <v>1192628</v>
      </c>
      <c r="G276">
        <v>73000</v>
      </c>
      <c r="H276">
        <v>96233</v>
      </c>
      <c r="I276">
        <v>138760</v>
      </c>
      <c r="J276">
        <v>72.599999999999994</v>
      </c>
    </row>
    <row r="277" spans="1:10" x14ac:dyDescent="0.2">
      <c r="A277">
        <v>2000</v>
      </c>
      <c r="B277" s="1" t="s">
        <v>10</v>
      </c>
      <c r="C277" s="1" t="s">
        <v>11</v>
      </c>
      <c r="D277">
        <v>0</v>
      </c>
      <c r="E277">
        <v>0</v>
      </c>
      <c r="F277">
        <v>34913</v>
      </c>
      <c r="G277">
        <v>97000</v>
      </c>
      <c r="H277">
        <v>114126</v>
      </c>
      <c r="I277">
        <v>182371</v>
      </c>
      <c r="J277">
        <v>73.400000000000006</v>
      </c>
    </row>
    <row r="278" spans="1:10" x14ac:dyDescent="0.2">
      <c r="A278">
        <v>2000</v>
      </c>
      <c r="B278" s="1" t="s">
        <v>10</v>
      </c>
      <c r="C278" s="1" t="s">
        <v>12</v>
      </c>
      <c r="D278">
        <v>0</v>
      </c>
      <c r="E278">
        <v>0</v>
      </c>
      <c r="F278">
        <v>3347</v>
      </c>
      <c r="G278">
        <v>43000</v>
      </c>
      <c r="H278">
        <v>54235</v>
      </c>
      <c r="I278">
        <v>80845</v>
      </c>
      <c r="J278">
        <v>73.400000000000006</v>
      </c>
    </row>
    <row r="279" spans="1:10" x14ac:dyDescent="0.2">
      <c r="A279">
        <v>2000</v>
      </c>
      <c r="B279" s="1" t="s">
        <v>10</v>
      </c>
      <c r="C279" s="1" t="s">
        <v>13</v>
      </c>
      <c r="D279">
        <v>0</v>
      </c>
      <c r="E279">
        <v>0</v>
      </c>
      <c r="F279">
        <v>31747</v>
      </c>
      <c r="G279">
        <v>55500</v>
      </c>
      <c r="H279">
        <v>60254</v>
      </c>
      <c r="I279">
        <v>104346</v>
      </c>
      <c r="J279">
        <v>73.400000000000006</v>
      </c>
    </row>
    <row r="280" spans="1:10" x14ac:dyDescent="0.2">
      <c r="A280">
        <v>2000</v>
      </c>
      <c r="B280" s="1" t="s">
        <v>10</v>
      </c>
      <c r="C280" s="1" t="s">
        <v>14</v>
      </c>
      <c r="D280">
        <v>0</v>
      </c>
      <c r="E280">
        <v>0</v>
      </c>
      <c r="F280">
        <v>25828</v>
      </c>
      <c r="G280">
        <v>43000</v>
      </c>
      <c r="H280">
        <v>47954</v>
      </c>
      <c r="I280">
        <v>80845</v>
      </c>
      <c r="J280">
        <v>73.400000000000006</v>
      </c>
    </row>
    <row r="281" spans="1:10" x14ac:dyDescent="0.2">
      <c r="A281">
        <v>2000</v>
      </c>
      <c r="B281" s="1" t="s">
        <v>15</v>
      </c>
      <c r="C281" s="1" t="s">
        <v>11</v>
      </c>
      <c r="D281">
        <v>0</v>
      </c>
      <c r="E281">
        <v>0</v>
      </c>
      <c r="F281">
        <v>36856</v>
      </c>
      <c r="G281">
        <v>140000</v>
      </c>
      <c r="H281">
        <v>169728</v>
      </c>
      <c r="I281">
        <v>263215</v>
      </c>
      <c r="J281">
        <v>73.400000000000006</v>
      </c>
    </row>
    <row r="282" spans="1:10" x14ac:dyDescent="0.2">
      <c r="A282">
        <v>2000</v>
      </c>
      <c r="B282" s="1" t="s">
        <v>15</v>
      </c>
      <c r="C282" s="1" t="s">
        <v>12</v>
      </c>
      <c r="D282">
        <v>0</v>
      </c>
      <c r="E282">
        <v>0</v>
      </c>
      <c r="F282">
        <v>18937</v>
      </c>
      <c r="G282">
        <v>59950</v>
      </c>
      <c r="H282">
        <v>68078</v>
      </c>
      <c r="I282">
        <v>112713</v>
      </c>
      <c r="J282">
        <v>73.400000000000006</v>
      </c>
    </row>
    <row r="283" spans="1:10" x14ac:dyDescent="0.2">
      <c r="A283">
        <v>2000</v>
      </c>
      <c r="B283" s="1" t="s">
        <v>15</v>
      </c>
      <c r="C283" s="1" t="s">
        <v>13</v>
      </c>
      <c r="D283">
        <v>0</v>
      </c>
      <c r="E283">
        <v>0</v>
      </c>
      <c r="F283">
        <v>35759</v>
      </c>
      <c r="G283">
        <v>85250</v>
      </c>
      <c r="H283">
        <v>99241</v>
      </c>
      <c r="I283">
        <v>160279</v>
      </c>
      <c r="J283">
        <v>73.400000000000006</v>
      </c>
    </row>
    <row r="284" spans="1:10" x14ac:dyDescent="0.2">
      <c r="A284">
        <v>2000</v>
      </c>
      <c r="B284" s="1" t="s">
        <v>15</v>
      </c>
      <c r="C284" s="1" t="s">
        <v>14</v>
      </c>
      <c r="D284">
        <v>0</v>
      </c>
      <c r="E284">
        <v>0</v>
      </c>
      <c r="F284">
        <v>37812</v>
      </c>
      <c r="G284">
        <v>72000</v>
      </c>
      <c r="H284">
        <v>81624</v>
      </c>
      <c r="I284">
        <v>135368</v>
      </c>
      <c r="J284">
        <v>73.400000000000006</v>
      </c>
    </row>
    <row r="285" spans="1:10" x14ac:dyDescent="0.2">
      <c r="A285">
        <v>2000</v>
      </c>
      <c r="B285" s="1" t="s">
        <v>16</v>
      </c>
      <c r="C285" s="1" t="s">
        <v>11</v>
      </c>
      <c r="D285">
        <v>0</v>
      </c>
      <c r="E285">
        <v>0</v>
      </c>
      <c r="F285">
        <v>6244</v>
      </c>
      <c r="G285">
        <v>295000</v>
      </c>
      <c r="H285">
        <v>401441</v>
      </c>
      <c r="I285">
        <v>554632</v>
      </c>
      <c r="J285">
        <v>73.400000000000006</v>
      </c>
    </row>
    <row r="286" spans="1:10" x14ac:dyDescent="0.2">
      <c r="A286">
        <v>2000</v>
      </c>
      <c r="B286" s="1" t="s">
        <v>16</v>
      </c>
      <c r="C286" s="1" t="s">
        <v>12</v>
      </c>
      <c r="D286">
        <v>0</v>
      </c>
      <c r="E286">
        <v>0</v>
      </c>
      <c r="F286">
        <v>78438</v>
      </c>
      <c r="G286">
        <v>121000</v>
      </c>
      <c r="H286">
        <v>162309</v>
      </c>
      <c r="I286">
        <v>227493</v>
      </c>
      <c r="J286">
        <v>73.400000000000006</v>
      </c>
    </row>
    <row r="287" spans="1:10" x14ac:dyDescent="0.2">
      <c r="A287">
        <v>2000</v>
      </c>
      <c r="B287" s="1" t="s">
        <v>16</v>
      </c>
      <c r="C287" s="1" t="s">
        <v>13</v>
      </c>
      <c r="D287">
        <v>0</v>
      </c>
      <c r="E287">
        <v>0</v>
      </c>
      <c r="F287">
        <v>22308</v>
      </c>
      <c r="G287">
        <v>165000</v>
      </c>
      <c r="H287">
        <v>207186</v>
      </c>
      <c r="I287">
        <v>310218</v>
      </c>
      <c r="J287">
        <v>73.400000000000006</v>
      </c>
    </row>
    <row r="288" spans="1:10" x14ac:dyDescent="0.2">
      <c r="A288">
        <v>2000</v>
      </c>
      <c r="B288" s="1" t="s">
        <v>16</v>
      </c>
      <c r="C288" s="1" t="s">
        <v>14</v>
      </c>
      <c r="D288">
        <v>0</v>
      </c>
      <c r="E288">
        <v>0</v>
      </c>
      <c r="F288">
        <v>45268</v>
      </c>
      <c r="G288">
        <v>135000</v>
      </c>
      <c r="H288">
        <v>196629</v>
      </c>
      <c r="I288">
        <v>253815</v>
      </c>
      <c r="J288">
        <v>73.400000000000006</v>
      </c>
    </row>
    <row r="289" spans="1:10" x14ac:dyDescent="0.2">
      <c r="A289">
        <v>2000</v>
      </c>
      <c r="B289" s="1" t="s">
        <v>17</v>
      </c>
      <c r="C289" s="1" t="s">
        <v>11</v>
      </c>
      <c r="D289">
        <v>0</v>
      </c>
      <c r="E289">
        <v>0</v>
      </c>
      <c r="F289">
        <v>9957</v>
      </c>
      <c r="G289">
        <v>92500</v>
      </c>
      <c r="H289">
        <v>107980</v>
      </c>
      <c r="I289">
        <v>173910</v>
      </c>
      <c r="J289">
        <v>73.400000000000006</v>
      </c>
    </row>
    <row r="290" spans="1:10" x14ac:dyDescent="0.2">
      <c r="A290">
        <v>2000</v>
      </c>
      <c r="B290" s="1" t="s">
        <v>17</v>
      </c>
      <c r="C290" s="1" t="s">
        <v>12</v>
      </c>
      <c r="D290">
        <v>0</v>
      </c>
      <c r="E290">
        <v>0</v>
      </c>
      <c r="F290">
        <v>5354</v>
      </c>
      <c r="G290">
        <v>36500</v>
      </c>
      <c r="H290">
        <v>46002</v>
      </c>
      <c r="I290">
        <v>68624</v>
      </c>
      <c r="J290">
        <v>73.400000000000006</v>
      </c>
    </row>
    <row r="291" spans="1:10" x14ac:dyDescent="0.2">
      <c r="A291">
        <v>2000</v>
      </c>
      <c r="B291" s="1" t="s">
        <v>17</v>
      </c>
      <c r="C291" s="1" t="s">
        <v>13</v>
      </c>
      <c r="D291">
        <v>0</v>
      </c>
      <c r="E291">
        <v>0</v>
      </c>
      <c r="F291">
        <v>15371</v>
      </c>
      <c r="G291">
        <v>54000</v>
      </c>
      <c r="H291">
        <v>57230</v>
      </c>
      <c r="I291">
        <v>101526</v>
      </c>
      <c r="J291">
        <v>73.400000000000006</v>
      </c>
    </row>
    <row r="292" spans="1:10" x14ac:dyDescent="0.2">
      <c r="A292">
        <v>2000</v>
      </c>
      <c r="B292" s="1" t="s">
        <v>17</v>
      </c>
      <c r="C292" s="1" t="s">
        <v>14</v>
      </c>
      <c r="D292">
        <v>0</v>
      </c>
      <c r="E292">
        <v>0</v>
      </c>
      <c r="F292">
        <v>16185</v>
      </c>
      <c r="G292">
        <v>36100</v>
      </c>
      <c r="H292">
        <v>43739</v>
      </c>
      <c r="I292">
        <v>67872</v>
      </c>
      <c r="J292">
        <v>73.400000000000006</v>
      </c>
    </row>
    <row r="293" spans="1:10" x14ac:dyDescent="0.2">
      <c r="A293">
        <v>2000</v>
      </c>
      <c r="B293" s="1" t="s">
        <v>18</v>
      </c>
      <c r="C293" s="1" t="s">
        <v>11</v>
      </c>
      <c r="D293">
        <v>0</v>
      </c>
      <c r="E293">
        <v>0</v>
      </c>
      <c r="F293">
        <v>28349</v>
      </c>
      <c r="G293">
        <v>109000</v>
      </c>
      <c r="H293">
        <v>127854</v>
      </c>
      <c r="I293">
        <v>204932</v>
      </c>
      <c r="J293">
        <v>73.400000000000006</v>
      </c>
    </row>
    <row r="294" spans="1:10" x14ac:dyDescent="0.2">
      <c r="A294">
        <v>2000</v>
      </c>
      <c r="B294" s="1" t="s">
        <v>18</v>
      </c>
      <c r="C294" s="1" t="s">
        <v>12</v>
      </c>
      <c r="D294">
        <v>0</v>
      </c>
      <c r="E294">
        <v>0</v>
      </c>
      <c r="F294">
        <v>10031</v>
      </c>
      <c r="G294">
        <v>54000</v>
      </c>
      <c r="H294">
        <v>66530</v>
      </c>
      <c r="I294">
        <v>101526</v>
      </c>
      <c r="J294">
        <v>73.400000000000006</v>
      </c>
    </row>
    <row r="295" spans="1:10" x14ac:dyDescent="0.2">
      <c r="A295">
        <v>2000</v>
      </c>
      <c r="B295" s="1" t="s">
        <v>18</v>
      </c>
      <c r="C295" s="1" t="s">
        <v>13</v>
      </c>
      <c r="D295">
        <v>0</v>
      </c>
      <c r="E295">
        <v>0</v>
      </c>
      <c r="F295">
        <v>47998</v>
      </c>
      <c r="G295">
        <v>59500</v>
      </c>
      <c r="H295">
        <v>65481</v>
      </c>
      <c r="I295">
        <v>111866</v>
      </c>
      <c r="J295">
        <v>73.400000000000006</v>
      </c>
    </row>
    <row r="296" spans="1:10" x14ac:dyDescent="0.2">
      <c r="A296">
        <v>2000</v>
      </c>
      <c r="B296" s="1" t="s">
        <v>18</v>
      </c>
      <c r="C296" s="1" t="s">
        <v>14</v>
      </c>
      <c r="D296">
        <v>0</v>
      </c>
      <c r="E296">
        <v>0</v>
      </c>
      <c r="F296">
        <v>48661</v>
      </c>
      <c r="G296">
        <v>36995</v>
      </c>
      <c r="H296">
        <v>42572</v>
      </c>
      <c r="I296">
        <v>69555</v>
      </c>
      <c r="J296">
        <v>73.400000000000006</v>
      </c>
    </row>
    <row r="297" spans="1:10" x14ac:dyDescent="0.2">
      <c r="A297">
        <v>2000</v>
      </c>
      <c r="B297" s="1" t="s">
        <v>19</v>
      </c>
      <c r="C297" s="1" t="s">
        <v>11</v>
      </c>
      <c r="D297">
        <v>0</v>
      </c>
      <c r="E297">
        <v>0</v>
      </c>
      <c r="F297">
        <v>49773</v>
      </c>
      <c r="G297">
        <v>193000</v>
      </c>
      <c r="H297">
        <v>241116</v>
      </c>
      <c r="I297">
        <v>362861</v>
      </c>
      <c r="J297">
        <v>73.400000000000006</v>
      </c>
    </row>
    <row r="298" spans="1:10" x14ac:dyDescent="0.2">
      <c r="A298">
        <v>2000</v>
      </c>
      <c r="B298" s="1" t="s">
        <v>19</v>
      </c>
      <c r="C298" s="1" t="s">
        <v>12</v>
      </c>
      <c r="D298">
        <v>0</v>
      </c>
      <c r="E298">
        <v>0</v>
      </c>
      <c r="F298">
        <v>38138</v>
      </c>
      <c r="G298">
        <v>72500</v>
      </c>
      <c r="H298">
        <v>83191</v>
      </c>
      <c r="I298">
        <v>136308</v>
      </c>
      <c r="J298">
        <v>73.400000000000006</v>
      </c>
    </row>
    <row r="299" spans="1:10" x14ac:dyDescent="0.2">
      <c r="A299">
        <v>2000</v>
      </c>
      <c r="B299" s="1" t="s">
        <v>19</v>
      </c>
      <c r="C299" s="1" t="s">
        <v>13</v>
      </c>
      <c r="D299">
        <v>0</v>
      </c>
      <c r="E299">
        <v>0</v>
      </c>
      <c r="F299">
        <v>49275</v>
      </c>
      <c r="G299">
        <v>117800</v>
      </c>
      <c r="H299">
        <v>127471</v>
      </c>
      <c r="I299">
        <v>221477</v>
      </c>
      <c r="J299">
        <v>73.400000000000006</v>
      </c>
    </row>
    <row r="300" spans="1:10" x14ac:dyDescent="0.2">
      <c r="A300">
        <v>2000</v>
      </c>
      <c r="B300" s="1" t="s">
        <v>19</v>
      </c>
      <c r="C300" s="1" t="s">
        <v>14</v>
      </c>
      <c r="D300">
        <v>0</v>
      </c>
      <c r="E300">
        <v>0</v>
      </c>
      <c r="F300">
        <v>52905</v>
      </c>
      <c r="G300">
        <v>89950</v>
      </c>
      <c r="H300">
        <v>101144</v>
      </c>
      <c r="I300">
        <v>169116</v>
      </c>
      <c r="J300">
        <v>73.400000000000006</v>
      </c>
    </row>
    <row r="301" spans="1:10" x14ac:dyDescent="0.2">
      <c r="A301">
        <v>2000</v>
      </c>
      <c r="B301" s="1" t="s">
        <v>20</v>
      </c>
      <c r="C301" s="1" t="s">
        <v>11</v>
      </c>
      <c r="D301">
        <v>0</v>
      </c>
      <c r="E301">
        <v>0</v>
      </c>
      <c r="F301">
        <v>36649</v>
      </c>
      <c r="G301">
        <v>137000</v>
      </c>
      <c r="H301">
        <v>160773</v>
      </c>
      <c r="I301">
        <v>257575</v>
      </c>
      <c r="J301">
        <v>73.400000000000006</v>
      </c>
    </row>
    <row r="302" spans="1:10" x14ac:dyDescent="0.2">
      <c r="A302">
        <v>2000</v>
      </c>
      <c r="B302" s="1" t="s">
        <v>20</v>
      </c>
      <c r="C302" s="1" t="s">
        <v>12</v>
      </c>
      <c r="D302">
        <v>0</v>
      </c>
      <c r="E302">
        <v>0</v>
      </c>
      <c r="F302">
        <v>17793</v>
      </c>
      <c r="G302">
        <v>59000</v>
      </c>
      <c r="H302">
        <v>73383</v>
      </c>
      <c r="I302">
        <v>110926</v>
      </c>
      <c r="J302">
        <v>73.400000000000006</v>
      </c>
    </row>
    <row r="303" spans="1:10" x14ac:dyDescent="0.2">
      <c r="A303">
        <v>2000</v>
      </c>
      <c r="B303" s="1" t="s">
        <v>20</v>
      </c>
      <c r="C303" s="1" t="s">
        <v>13</v>
      </c>
      <c r="D303">
        <v>0</v>
      </c>
      <c r="E303">
        <v>0</v>
      </c>
      <c r="F303">
        <v>28835</v>
      </c>
      <c r="G303">
        <v>83250</v>
      </c>
      <c r="H303">
        <v>92295</v>
      </c>
      <c r="I303">
        <v>156519</v>
      </c>
      <c r="J303">
        <v>73.400000000000006</v>
      </c>
    </row>
    <row r="304" spans="1:10" x14ac:dyDescent="0.2">
      <c r="A304">
        <v>2000</v>
      </c>
      <c r="B304" s="1" t="s">
        <v>20</v>
      </c>
      <c r="C304" s="1" t="s">
        <v>14</v>
      </c>
      <c r="D304">
        <v>0</v>
      </c>
      <c r="E304">
        <v>0</v>
      </c>
      <c r="F304">
        <v>38904</v>
      </c>
      <c r="G304">
        <v>68500</v>
      </c>
      <c r="H304">
        <v>76801</v>
      </c>
      <c r="I304">
        <v>128787</v>
      </c>
      <c r="J304">
        <v>73.400000000000006</v>
      </c>
    </row>
    <row r="305" spans="1:10" x14ac:dyDescent="0.2">
      <c r="A305">
        <v>2000</v>
      </c>
      <c r="B305" s="1" t="s">
        <v>21</v>
      </c>
      <c r="C305" s="1" t="s">
        <v>11</v>
      </c>
      <c r="D305">
        <v>0</v>
      </c>
      <c r="E305">
        <v>0</v>
      </c>
      <c r="F305">
        <v>16892</v>
      </c>
      <c r="G305">
        <v>89500</v>
      </c>
      <c r="H305">
        <v>101108</v>
      </c>
      <c r="I305">
        <v>168270</v>
      </c>
      <c r="J305">
        <v>73.400000000000006</v>
      </c>
    </row>
    <row r="306" spans="1:10" x14ac:dyDescent="0.2">
      <c r="A306">
        <v>2000</v>
      </c>
      <c r="B306" s="1" t="s">
        <v>21</v>
      </c>
      <c r="C306" s="1" t="s">
        <v>12</v>
      </c>
      <c r="D306">
        <v>0</v>
      </c>
      <c r="E306">
        <v>0</v>
      </c>
      <c r="F306">
        <v>2645</v>
      </c>
      <c r="G306">
        <v>49000</v>
      </c>
      <c r="H306">
        <v>56238</v>
      </c>
      <c r="I306">
        <v>92125</v>
      </c>
      <c r="J306">
        <v>73.400000000000006</v>
      </c>
    </row>
    <row r="307" spans="1:10" x14ac:dyDescent="0.2">
      <c r="A307">
        <v>2000</v>
      </c>
      <c r="B307" s="1" t="s">
        <v>21</v>
      </c>
      <c r="C307" s="1" t="s">
        <v>13</v>
      </c>
      <c r="D307">
        <v>0</v>
      </c>
      <c r="E307">
        <v>0</v>
      </c>
      <c r="F307">
        <v>15316</v>
      </c>
      <c r="G307">
        <v>54000</v>
      </c>
      <c r="H307">
        <v>58987</v>
      </c>
      <c r="I307">
        <v>101526</v>
      </c>
      <c r="J307">
        <v>73.400000000000006</v>
      </c>
    </row>
    <row r="308" spans="1:10" x14ac:dyDescent="0.2">
      <c r="A308">
        <v>2000</v>
      </c>
      <c r="B308" s="1" t="s">
        <v>21</v>
      </c>
      <c r="C308" s="1" t="s">
        <v>14</v>
      </c>
      <c r="D308">
        <v>0</v>
      </c>
      <c r="E308">
        <v>0</v>
      </c>
      <c r="F308">
        <v>18919</v>
      </c>
      <c r="G308">
        <v>40000</v>
      </c>
      <c r="H308">
        <v>45957</v>
      </c>
      <c r="I308">
        <v>75204</v>
      </c>
      <c r="J308">
        <v>73.400000000000006</v>
      </c>
    </row>
    <row r="309" spans="1:10" x14ac:dyDescent="0.2">
      <c r="A309">
        <v>2000</v>
      </c>
      <c r="B309" s="1" t="s">
        <v>22</v>
      </c>
      <c r="C309" s="1" t="s">
        <v>11</v>
      </c>
      <c r="D309">
        <v>0</v>
      </c>
      <c r="E309">
        <v>0</v>
      </c>
      <c r="F309">
        <v>26302</v>
      </c>
      <c r="G309">
        <v>124000</v>
      </c>
      <c r="H309">
        <v>142401</v>
      </c>
      <c r="I309">
        <v>233134</v>
      </c>
      <c r="J309">
        <v>73.400000000000006</v>
      </c>
    </row>
    <row r="310" spans="1:10" x14ac:dyDescent="0.2">
      <c r="A310">
        <v>2000</v>
      </c>
      <c r="B310" s="1" t="s">
        <v>22</v>
      </c>
      <c r="C310" s="1" t="s">
        <v>12</v>
      </c>
      <c r="D310">
        <v>0</v>
      </c>
      <c r="E310">
        <v>0</v>
      </c>
      <c r="F310">
        <v>8268</v>
      </c>
      <c r="G310">
        <v>47500</v>
      </c>
      <c r="H310">
        <v>58114</v>
      </c>
      <c r="I310">
        <v>89305</v>
      </c>
      <c r="J310">
        <v>73.400000000000006</v>
      </c>
    </row>
    <row r="311" spans="1:10" x14ac:dyDescent="0.2">
      <c r="A311">
        <v>2000</v>
      </c>
      <c r="B311" s="1" t="s">
        <v>22</v>
      </c>
      <c r="C311" s="1" t="s">
        <v>13</v>
      </c>
      <c r="D311">
        <v>0</v>
      </c>
      <c r="E311">
        <v>0</v>
      </c>
      <c r="F311">
        <v>35106</v>
      </c>
      <c r="G311">
        <v>65000</v>
      </c>
      <c r="H311">
        <v>71557</v>
      </c>
      <c r="I311">
        <v>122207</v>
      </c>
      <c r="J311">
        <v>73.400000000000006</v>
      </c>
    </row>
    <row r="312" spans="1:10" x14ac:dyDescent="0.2">
      <c r="A312">
        <v>2000</v>
      </c>
      <c r="B312" s="1" t="s">
        <v>22</v>
      </c>
      <c r="C312" s="1" t="s">
        <v>14</v>
      </c>
      <c r="D312">
        <v>0</v>
      </c>
      <c r="E312">
        <v>0</v>
      </c>
      <c r="F312">
        <v>30903</v>
      </c>
      <c r="G312">
        <v>50000</v>
      </c>
      <c r="H312">
        <v>55901</v>
      </c>
      <c r="I312">
        <v>94005</v>
      </c>
      <c r="J312">
        <v>73.400000000000006</v>
      </c>
    </row>
    <row r="313" spans="1:10" x14ac:dyDescent="0.2">
      <c r="A313">
        <v>2000</v>
      </c>
      <c r="B313" s="1" t="s">
        <v>23</v>
      </c>
      <c r="C313" s="1" t="s">
        <v>11</v>
      </c>
      <c r="D313">
        <v>0</v>
      </c>
      <c r="E313">
        <v>0</v>
      </c>
      <c r="F313">
        <v>26303</v>
      </c>
      <c r="G313">
        <v>95000</v>
      </c>
      <c r="H313">
        <v>111330</v>
      </c>
      <c r="I313">
        <v>178610</v>
      </c>
      <c r="J313">
        <v>73.400000000000006</v>
      </c>
    </row>
    <row r="314" spans="1:10" x14ac:dyDescent="0.2">
      <c r="A314">
        <v>2000</v>
      </c>
      <c r="B314" s="1" t="s">
        <v>23</v>
      </c>
      <c r="C314" s="1" t="s">
        <v>12</v>
      </c>
      <c r="D314">
        <v>0</v>
      </c>
      <c r="E314">
        <v>0</v>
      </c>
      <c r="F314">
        <v>5591</v>
      </c>
      <c r="G314">
        <v>52000</v>
      </c>
      <c r="H314">
        <v>63894</v>
      </c>
      <c r="I314">
        <v>97766</v>
      </c>
      <c r="J314">
        <v>73.400000000000006</v>
      </c>
    </row>
    <row r="315" spans="1:10" x14ac:dyDescent="0.2">
      <c r="A315">
        <v>2000</v>
      </c>
      <c r="B315" s="1" t="s">
        <v>23</v>
      </c>
      <c r="C315" s="1" t="s">
        <v>13</v>
      </c>
      <c r="D315">
        <v>0</v>
      </c>
      <c r="E315">
        <v>0</v>
      </c>
      <c r="F315">
        <v>34744</v>
      </c>
      <c r="G315">
        <v>54500</v>
      </c>
      <c r="H315">
        <v>59567</v>
      </c>
      <c r="I315">
        <v>102466</v>
      </c>
      <c r="J315">
        <v>73.400000000000006</v>
      </c>
    </row>
    <row r="316" spans="1:10" x14ac:dyDescent="0.2">
      <c r="A316">
        <v>2000</v>
      </c>
      <c r="B316" s="1" t="s">
        <v>23</v>
      </c>
      <c r="C316" s="1" t="s">
        <v>14</v>
      </c>
      <c r="D316">
        <v>0</v>
      </c>
      <c r="E316">
        <v>0</v>
      </c>
      <c r="F316">
        <v>33730</v>
      </c>
      <c r="G316">
        <v>39000</v>
      </c>
      <c r="H316">
        <v>44947</v>
      </c>
      <c r="I316">
        <v>73324</v>
      </c>
      <c r="J316">
        <v>73.400000000000006</v>
      </c>
    </row>
    <row r="317" spans="1:10" x14ac:dyDescent="0.2">
      <c r="A317">
        <v>2000</v>
      </c>
      <c r="B317" s="1" t="s">
        <v>10</v>
      </c>
      <c r="C317" s="1" t="s">
        <v>24</v>
      </c>
      <c r="D317">
        <v>0</v>
      </c>
      <c r="E317">
        <v>1</v>
      </c>
      <c r="F317">
        <v>95835</v>
      </c>
      <c r="G317">
        <v>61664</v>
      </c>
      <c r="H317">
        <v>76354</v>
      </c>
      <c r="I317">
        <v>115935</v>
      </c>
      <c r="J317">
        <v>73.400000000000006</v>
      </c>
    </row>
    <row r="318" spans="1:10" x14ac:dyDescent="0.2">
      <c r="A318">
        <v>2000</v>
      </c>
      <c r="B318" s="1" t="s">
        <v>15</v>
      </c>
      <c r="C318" s="1" t="s">
        <v>24</v>
      </c>
      <c r="D318">
        <v>0</v>
      </c>
      <c r="E318">
        <v>1</v>
      </c>
      <c r="F318">
        <v>129364</v>
      </c>
      <c r="G318">
        <v>86666</v>
      </c>
      <c r="H318">
        <v>109612</v>
      </c>
      <c r="I318">
        <v>162942</v>
      </c>
      <c r="J318">
        <v>73.400000000000006</v>
      </c>
    </row>
    <row r="319" spans="1:10" x14ac:dyDescent="0.2">
      <c r="A319">
        <v>2000</v>
      </c>
      <c r="B319" s="1" t="s">
        <v>16</v>
      </c>
      <c r="C319" s="1" t="s">
        <v>24</v>
      </c>
      <c r="D319">
        <v>0</v>
      </c>
      <c r="E319">
        <v>1</v>
      </c>
      <c r="F319">
        <v>152258</v>
      </c>
      <c r="G319">
        <v>138000</v>
      </c>
      <c r="H319">
        <v>188895</v>
      </c>
      <c r="I319">
        <v>259455</v>
      </c>
      <c r="J319">
        <v>73.400000000000006</v>
      </c>
    </row>
    <row r="320" spans="1:10" x14ac:dyDescent="0.2">
      <c r="A320">
        <v>2000</v>
      </c>
      <c r="B320" s="1" t="s">
        <v>17</v>
      </c>
      <c r="C320" s="1" t="s">
        <v>24</v>
      </c>
      <c r="D320">
        <v>0</v>
      </c>
      <c r="E320">
        <v>1</v>
      </c>
      <c r="F320">
        <v>46867</v>
      </c>
      <c r="G320">
        <v>52000</v>
      </c>
      <c r="H320">
        <v>62070</v>
      </c>
      <c r="I320">
        <v>97766</v>
      </c>
      <c r="J320">
        <v>73.400000000000006</v>
      </c>
    </row>
    <row r="321" spans="1:10" x14ac:dyDescent="0.2">
      <c r="A321">
        <v>2000</v>
      </c>
      <c r="B321" s="1" t="s">
        <v>18</v>
      </c>
      <c r="C321" s="1" t="s">
        <v>24</v>
      </c>
      <c r="D321">
        <v>0</v>
      </c>
      <c r="E321">
        <v>1</v>
      </c>
      <c r="F321">
        <v>135039</v>
      </c>
      <c r="G321">
        <v>56995</v>
      </c>
      <c r="H321">
        <v>70398</v>
      </c>
      <c r="I321">
        <v>107157</v>
      </c>
      <c r="J321">
        <v>73.400000000000006</v>
      </c>
    </row>
    <row r="322" spans="1:10" x14ac:dyDescent="0.2">
      <c r="A322">
        <v>2000</v>
      </c>
      <c r="B322" s="1" t="s">
        <v>19</v>
      </c>
      <c r="C322" s="1" t="s">
        <v>24</v>
      </c>
      <c r="D322">
        <v>0</v>
      </c>
      <c r="E322">
        <v>1</v>
      </c>
      <c r="F322">
        <v>190091</v>
      </c>
      <c r="G322">
        <v>112000</v>
      </c>
      <c r="H322">
        <v>141016</v>
      </c>
      <c r="I322">
        <v>210572</v>
      </c>
      <c r="J322">
        <v>73.400000000000006</v>
      </c>
    </row>
    <row r="323" spans="1:10" x14ac:dyDescent="0.2">
      <c r="A323">
        <v>2000</v>
      </c>
      <c r="B323" s="1" t="s">
        <v>20</v>
      </c>
      <c r="C323" s="1" t="s">
        <v>24</v>
      </c>
      <c r="D323">
        <v>0</v>
      </c>
      <c r="E323">
        <v>1</v>
      </c>
      <c r="F323">
        <v>122181</v>
      </c>
      <c r="G323">
        <v>85000</v>
      </c>
      <c r="H323">
        <v>105148</v>
      </c>
      <c r="I323">
        <v>159809</v>
      </c>
      <c r="J323">
        <v>73.400000000000006</v>
      </c>
    </row>
    <row r="324" spans="1:10" x14ac:dyDescent="0.2">
      <c r="A324">
        <v>2000</v>
      </c>
      <c r="B324" s="1" t="s">
        <v>21</v>
      </c>
      <c r="C324" s="1" t="s">
        <v>24</v>
      </c>
      <c r="D324">
        <v>0</v>
      </c>
      <c r="E324">
        <v>1</v>
      </c>
      <c r="F324">
        <v>53772</v>
      </c>
      <c r="G324">
        <v>57000</v>
      </c>
      <c r="H324">
        <v>67499</v>
      </c>
      <c r="I324">
        <v>107166</v>
      </c>
      <c r="J324">
        <v>73.400000000000006</v>
      </c>
    </row>
    <row r="325" spans="1:10" x14ac:dyDescent="0.2">
      <c r="A325">
        <v>2000</v>
      </c>
      <c r="B325" s="1" t="s">
        <v>22</v>
      </c>
      <c r="C325" s="1" t="s">
        <v>24</v>
      </c>
      <c r="D325">
        <v>0</v>
      </c>
      <c r="E325">
        <v>1</v>
      </c>
      <c r="F325">
        <v>100579</v>
      </c>
      <c r="G325">
        <v>67000</v>
      </c>
      <c r="H325">
        <v>84168</v>
      </c>
      <c r="I325">
        <v>125967</v>
      </c>
      <c r="J325">
        <v>73.400000000000006</v>
      </c>
    </row>
    <row r="326" spans="1:10" x14ac:dyDescent="0.2">
      <c r="A326">
        <v>2000</v>
      </c>
      <c r="B326" s="1" t="s">
        <v>23</v>
      </c>
      <c r="C326" s="1" t="s">
        <v>24</v>
      </c>
      <c r="D326">
        <v>0</v>
      </c>
      <c r="E326">
        <v>1</v>
      </c>
      <c r="F326">
        <v>100368</v>
      </c>
      <c r="G326">
        <v>56000</v>
      </c>
      <c r="H326">
        <v>68460</v>
      </c>
      <c r="I326">
        <v>105286</v>
      </c>
      <c r="J326">
        <v>73.400000000000006</v>
      </c>
    </row>
    <row r="327" spans="1:10" x14ac:dyDescent="0.2">
      <c r="A327">
        <v>2000</v>
      </c>
      <c r="B327" s="1" t="s">
        <v>25</v>
      </c>
      <c r="C327" s="1" t="s">
        <v>11</v>
      </c>
      <c r="D327">
        <v>1</v>
      </c>
      <c r="E327">
        <v>0</v>
      </c>
      <c r="F327">
        <v>272613</v>
      </c>
      <c r="G327">
        <v>127000</v>
      </c>
      <c r="H327">
        <v>160620</v>
      </c>
      <c r="I327">
        <v>238774</v>
      </c>
      <c r="J327">
        <v>73.400000000000006</v>
      </c>
    </row>
    <row r="328" spans="1:10" x14ac:dyDescent="0.2">
      <c r="A328">
        <v>2000</v>
      </c>
      <c r="B328" s="1" t="s">
        <v>25</v>
      </c>
      <c r="C328" s="1" t="s">
        <v>12</v>
      </c>
      <c r="D328">
        <v>1</v>
      </c>
      <c r="E328">
        <v>0</v>
      </c>
      <c r="F328">
        <v>188773</v>
      </c>
      <c r="G328">
        <v>79000</v>
      </c>
      <c r="H328">
        <v>109173</v>
      </c>
      <c r="I328">
        <v>148529</v>
      </c>
      <c r="J328">
        <v>73.400000000000006</v>
      </c>
    </row>
    <row r="329" spans="1:10" x14ac:dyDescent="0.2">
      <c r="A329">
        <v>2000</v>
      </c>
      <c r="B329" s="1" t="s">
        <v>25</v>
      </c>
      <c r="C329" s="1" t="s">
        <v>13</v>
      </c>
      <c r="D329">
        <v>1</v>
      </c>
      <c r="E329">
        <v>0</v>
      </c>
      <c r="F329">
        <v>316550</v>
      </c>
      <c r="G329">
        <v>72000</v>
      </c>
      <c r="H329">
        <v>90169</v>
      </c>
      <c r="I329">
        <v>135368</v>
      </c>
      <c r="J329">
        <v>73.400000000000006</v>
      </c>
    </row>
    <row r="330" spans="1:10" x14ac:dyDescent="0.2">
      <c r="A330">
        <v>2000</v>
      </c>
      <c r="B330" s="1" t="s">
        <v>25</v>
      </c>
      <c r="C330" s="1" t="s">
        <v>14</v>
      </c>
      <c r="D330">
        <v>1</v>
      </c>
      <c r="E330">
        <v>0</v>
      </c>
      <c r="F330">
        <v>349255</v>
      </c>
      <c r="G330">
        <v>60000</v>
      </c>
      <c r="H330">
        <v>81518</v>
      </c>
      <c r="I330">
        <v>112807</v>
      </c>
      <c r="J330">
        <v>73.400000000000006</v>
      </c>
    </row>
    <row r="331" spans="1:10" x14ac:dyDescent="0.2">
      <c r="A331">
        <v>2000</v>
      </c>
      <c r="B331" s="1" t="s">
        <v>25</v>
      </c>
      <c r="C331" s="1" t="s">
        <v>24</v>
      </c>
      <c r="D331">
        <v>1</v>
      </c>
      <c r="E331">
        <v>1</v>
      </c>
      <c r="F331">
        <v>1127191</v>
      </c>
      <c r="G331">
        <v>80000</v>
      </c>
      <c r="H331">
        <v>107710</v>
      </c>
      <c r="I331">
        <v>150409</v>
      </c>
      <c r="J331">
        <v>73.400000000000006</v>
      </c>
    </row>
    <row r="332" spans="1:10" x14ac:dyDescent="0.2">
      <c r="A332">
        <v>2001</v>
      </c>
      <c r="B332" s="1" t="s">
        <v>10</v>
      </c>
      <c r="C332" s="1" t="s">
        <v>11</v>
      </c>
      <c r="D332">
        <v>0</v>
      </c>
      <c r="E332">
        <v>0</v>
      </c>
      <c r="F332">
        <v>37927</v>
      </c>
      <c r="G332">
        <v>112500</v>
      </c>
      <c r="H332">
        <v>127973</v>
      </c>
      <c r="I332">
        <v>208110</v>
      </c>
      <c r="J332">
        <v>74.599999999999994</v>
      </c>
    </row>
    <row r="333" spans="1:10" x14ac:dyDescent="0.2">
      <c r="A333">
        <v>2001</v>
      </c>
      <c r="B333" s="1" t="s">
        <v>10</v>
      </c>
      <c r="C333" s="1" t="s">
        <v>12</v>
      </c>
      <c r="D333">
        <v>0</v>
      </c>
      <c r="E333">
        <v>0</v>
      </c>
      <c r="F333">
        <v>4447</v>
      </c>
      <c r="G333">
        <v>52000</v>
      </c>
      <c r="H333">
        <v>65609</v>
      </c>
      <c r="I333">
        <v>96193</v>
      </c>
      <c r="J333">
        <v>74.599999999999994</v>
      </c>
    </row>
    <row r="334" spans="1:10" x14ac:dyDescent="0.2">
      <c r="A334">
        <v>2001</v>
      </c>
      <c r="B334" s="1" t="s">
        <v>10</v>
      </c>
      <c r="C334" s="1" t="s">
        <v>13</v>
      </c>
      <c r="D334">
        <v>0</v>
      </c>
      <c r="E334">
        <v>0</v>
      </c>
      <c r="F334">
        <v>35210</v>
      </c>
      <c r="G334">
        <v>62000</v>
      </c>
      <c r="H334">
        <v>67581</v>
      </c>
      <c r="I334">
        <v>114692</v>
      </c>
      <c r="J334">
        <v>74.599999999999994</v>
      </c>
    </row>
    <row r="335" spans="1:10" x14ac:dyDescent="0.2">
      <c r="A335">
        <v>2001</v>
      </c>
      <c r="B335" s="1" t="s">
        <v>10</v>
      </c>
      <c r="C335" s="1" t="s">
        <v>14</v>
      </c>
      <c r="D335">
        <v>0</v>
      </c>
      <c r="E335">
        <v>0</v>
      </c>
      <c r="F335">
        <v>28973</v>
      </c>
      <c r="G335">
        <v>48000</v>
      </c>
      <c r="H335">
        <v>53604</v>
      </c>
      <c r="I335">
        <v>88794</v>
      </c>
      <c r="J335">
        <v>74.599999999999994</v>
      </c>
    </row>
    <row r="336" spans="1:10" x14ac:dyDescent="0.2">
      <c r="A336">
        <v>2001</v>
      </c>
      <c r="B336" s="1" t="s">
        <v>15</v>
      </c>
      <c r="C336" s="1" t="s">
        <v>11</v>
      </c>
      <c r="D336">
        <v>0</v>
      </c>
      <c r="E336">
        <v>0</v>
      </c>
      <c r="F336">
        <v>41649</v>
      </c>
      <c r="G336">
        <v>155000</v>
      </c>
      <c r="H336">
        <v>189262</v>
      </c>
      <c r="I336">
        <v>286729</v>
      </c>
      <c r="J336">
        <v>74.599999999999994</v>
      </c>
    </row>
    <row r="337" spans="1:10" x14ac:dyDescent="0.2">
      <c r="A337">
        <v>2001</v>
      </c>
      <c r="B337" s="1" t="s">
        <v>15</v>
      </c>
      <c r="C337" s="1" t="s">
        <v>12</v>
      </c>
      <c r="D337">
        <v>0</v>
      </c>
      <c r="E337">
        <v>0</v>
      </c>
      <c r="F337">
        <v>20351</v>
      </c>
      <c r="G337">
        <v>67000</v>
      </c>
      <c r="H337">
        <v>76631</v>
      </c>
      <c r="I337">
        <v>123941</v>
      </c>
      <c r="J337">
        <v>74.599999999999994</v>
      </c>
    </row>
    <row r="338" spans="1:10" x14ac:dyDescent="0.2">
      <c r="A338">
        <v>2001</v>
      </c>
      <c r="B338" s="1" t="s">
        <v>15</v>
      </c>
      <c r="C338" s="1" t="s">
        <v>13</v>
      </c>
      <c r="D338">
        <v>0</v>
      </c>
      <c r="E338">
        <v>0</v>
      </c>
      <c r="F338">
        <v>39881</v>
      </c>
      <c r="G338">
        <v>99995</v>
      </c>
      <c r="H338">
        <v>114108</v>
      </c>
      <c r="I338">
        <v>184977</v>
      </c>
      <c r="J338">
        <v>74.599999999999994</v>
      </c>
    </row>
    <row r="339" spans="1:10" x14ac:dyDescent="0.2">
      <c r="A339">
        <v>2001</v>
      </c>
      <c r="B339" s="1" t="s">
        <v>15</v>
      </c>
      <c r="C339" s="1" t="s">
        <v>14</v>
      </c>
      <c r="D339">
        <v>0</v>
      </c>
      <c r="E339">
        <v>0</v>
      </c>
      <c r="F339">
        <v>42451</v>
      </c>
      <c r="G339">
        <v>82995</v>
      </c>
      <c r="H339">
        <v>93904</v>
      </c>
      <c r="I339">
        <v>153530</v>
      </c>
      <c r="J339">
        <v>74.599999999999994</v>
      </c>
    </row>
    <row r="340" spans="1:10" x14ac:dyDescent="0.2">
      <c r="A340">
        <v>2001</v>
      </c>
      <c r="B340" s="1" t="s">
        <v>16</v>
      </c>
      <c r="C340" s="1" t="s">
        <v>11</v>
      </c>
      <c r="D340">
        <v>0</v>
      </c>
      <c r="E340">
        <v>0</v>
      </c>
      <c r="F340">
        <v>6846</v>
      </c>
      <c r="G340">
        <v>310000</v>
      </c>
      <c r="H340">
        <v>422110</v>
      </c>
      <c r="I340">
        <v>573458</v>
      </c>
      <c r="J340">
        <v>74.599999999999994</v>
      </c>
    </row>
    <row r="341" spans="1:10" x14ac:dyDescent="0.2">
      <c r="A341">
        <v>2001</v>
      </c>
      <c r="B341" s="1" t="s">
        <v>16</v>
      </c>
      <c r="C341" s="1" t="s">
        <v>12</v>
      </c>
      <c r="D341">
        <v>0</v>
      </c>
      <c r="E341">
        <v>0</v>
      </c>
      <c r="F341">
        <v>80408</v>
      </c>
      <c r="G341">
        <v>136500</v>
      </c>
      <c r="H341">
        <v>177930</v>
      </c>
      <c r="I341">
        <v>252507</v>
      </c>
      <c r="J341">
        <v>74.599999999999994</v>
      </c>
    </row>
    <row r="342" spans="1:10" x14ac:dyDescent="0.2">
      <c r="A342">
        <v>2001</v>
      </c>
      <c r="B342" s="1" t="s">
        <v>16</v>
      </c>
      <c r="C342" s="1" t="s">
        <v>13</v>
      </c>
      <c r="D342">
        <v>0</v>
      </c>
      <c r="E342">
        <v>0</v>
      </c>
      <c r="F342">
        <v>26073</v>
      </c>
      <c r="G342">
        <v>182000</v>
      </c>
      <c r="H342">
        <v>226632</v>
      </c>
      <c r="I342">
        <v>336676</v>
      </c>
      <c r="J342">
        <v>74.599999999999994</v>
      </c>
    </row>
    <row r="343" spans="1:10" x14ac:dyDescent="0.2">
      <c r="A343">
        <v>2001</v>
      </c>
      <c r="B343" s="1" t="s">
        <v>16</v>
      </c>
      <c r="C343" s="1" t="s">
        <v>14</v>
      </c>
      <c r="D343">
        <v>0</v>
      </c>
      <c r="E343">
        <v>0</v>
      </c>
      <c r="F343">
        <v>52238</v>
      </c>
      <c r="G343">
        <v>150000</v>
      </c>
      <c r="H343">
        <v>207337</v>
      </c>
      <c r="I343">
        <v>277480</v>
      </c>
      <c r="J343">
        <v>74.599999999999994</v>
      </c>
    </row>
    <row r="344" spans="1:10" x14ac:dyDescent="0.2">
      <c r="A344">
        <v>2001</v>
      </c>
      <c r="B344" s="1" t="s">
        <v>17</v>
      </c>
      <c r="C344" s="1" t="s">
        <v>11</v>
      </c>
      <c r="D344">
        <v>0</v>
      </c>
      <c r="E344">
        <v>0</v>
      </c>
      <c r="F344">
        <v>10962</v>
      </c>
      <c r="G344">
        <v>99950</v>
      </c>
      <c r="H344">
        <v>117337</v>
      </c>
      <c r="I344">
        <v>184894</v>
      </c>
      <c r="J344">
        <v>74.599999999999994</v>
      </c>
    </row>
    <row r="345" spans="1:10" x14ac:dyDescent="0.2">
      <c r="A345">
        <v>2001</v>
      </c>
      <c r="B345" s="1" t="s">
        <v>17</v>
      </c>
      <c r="C345" s="1" t="s">
        <v>12</v>
      </c>
      <c r="D345">
        <v>0</v>
      </c>
      <c r="E345">
        <v>0</v>
      </c>
      <c r="F345">
        <v>6115</v>
      </c>
      <c r="G345">
        <v>39950</v>
      </c>
      <c r="H345">
        <v>51766</v>
      </c>
      <c r="I345">
        <v>73902</v>
      </c>
      <c r="J345">
        <v>74.599999999999994</v>
      </c>
    </row>
    <row r="346" spans="1:10" x14ac:dyDescent="0.2">
      <c r="A346">
        <v>2001</v>
      </c>
      <c r="B346" s="1" t="s">
        <v>17</v>
      </c>
      <c r="C346" s="1" t="s">
        <v>13</v>
      </c>
      <c r="D346">
        <v>0</v>
      </c>
      <c r="E346">
        <v>0</v>
      </c>
      <c r="F346">
        <v>16724</v>
      </c>
      <c r="G346">
        <v>57500</v>
      </c>
      <c r="H346">
        <v>61526</v>
      </c>
      <c r="I346">
        <v>106367</v>
      </c>
      <c r="J346">
        <v>74.599999999999994</v>
      </c>
    </row>
    <row r="347" spans="1:10" x14ac:dyDescent="0.2">
      <c r="A347">
        <v>2001</v>
      </c>
      <c r="B347" s="1" t="s">
        <v>17</v>
      </c>
      <c r="C347" s="1" t="s">
        <v>14</v>
      </c>
      <c r="D347">
        <v>0</v>
      </c>
      <c r="E347">
        <v>0</v>
      </c>
      <c r="F347">
        <v>19062</v>
      </c>
      <c r="G347">
        <v>37750</v>
      </c>
      <c r="H347">
        <v>46490</v>
      </c>
      <c r="I347">
        <v>69832</v>
      </c>
      <c r="J347">
        <v>74.599999999999994</v>
      </c>
    </row>
    <row r="348" spans="1:10" x14ac:dyDescent="0.2">
      <c r="A348">
        <v>2001</v>
      </c>
      <c r="B348" s="1" t="s">
        <v>18</v>
      </c>
      <c r="C348" s="1" t="s">
        <v>11</v>
      </c>
      <c r="D348">
        <v>0</v>
      </c>
      <c r="E348">
        <v>0</v>
      </c>
      <c r="F348">
        <v>29776</v>
      </c>
      <c r="G348">
        <v>119995</v>
      </c>
      <c r="H348">
        <v>143166</v>
      </c>
      <c r="I348">
        <v>221975</v>
      </c>
      <c r="J348">
        <v>74.599999999999994</v>
      </c>
    </row>
    <row r="349" spans="1:10" x14ac:dyDescent="0.2">
      <c r="A349">
        <v>2001</v>
      </c>
      <c r="B349" s="1" t="s">
        <v>18</v>
      </c>
      <c r="C349" s="1" t="s">
        <v>12</v>
      </c>
      <c r="D349">
        <v>0</v>
      </c>
      <c r="E349">
        <v>0</v>
      </c>
      <c r="F349">
        <v>11309</v>
      </c>
      <c r="G349">
        <v>60000</v>
      </c>
      <c r="H349">
        <v>75296</v>
      </c>
      <c r="I349">
        <v>110992</v>
      </c>
      <c r="J349">
        <v>74.599999999999994</v>
      </c>
    </row>
    <row r="350" spans="1:10" x14ac:dyDescent="0.2">
      <c r="A350">
        <v>2001</v>
      </c>
      <c r="B350" s="1" t="s">
        <v>18</v>
      </c>
      <c r="C350" s="1" t="s">
        <v>13</v>
      </c>
      <c r="D350">
        <v>0</v>
      </c>
      <c r="E350">
        <v>0</v>
      </c>
      <c r="F350">
        <v>51571</v>
      </c>
      <c r="G350">
        <v>65000</v>
      </c>
      <c r="H350">
        <v>72439</v>
      </c>
      <c r="I350">
        <v>120241</v>
      </c>
      <c r="J350">
        <v>74.599999999999994</v>
      </c>
    </row>
    <row r="351" spans="1:10" x14ac:dyDescent="0.2">
      <c r="A351">
        <v>2001</v>
      </c>
      <c r="B351" s="1" t="s">
        <v>18</v>
      </c>
      <c r="C351" s="1" t="s">
        <v>14</v>
      </c>
      <c r="D351">
        <v>0</v>
      </c>
      <c r="E351">
        <v>0</v>
      </c>
      <c r="F351">
        <v>53298</v>
      </c>
      <c r="G351">
        <v>39000</v>
      </c>
      <c r="H351">
        <v>46264</v>
      </c>
      <c r="I351">
        <v>72145</v>
      </c>
      <c r="J351">
        <v>74.599999999999994</v>
      </c>
    </row>
    <row r="352" spans="1:10" x14ac:dyDescent="0.2">
      <c r="A352">
        <v>2001</v>
      </c>
      <c r="B352" s="1" t="s">
        <v>19</v>
      </c>
      <c r="C352" s="1" t="s">
        <v>11</v>
      </c>
      <c r="D352">
        <v>0</v>
      </c>
      <c r="E352">
        <v>0</v>
      </c>
      <c r="F352">
        <v>54324</v>
      </c>
      <c r="G352">
        <v>216500</v>
      </c>
      <c r="H352">
        <v>263066</v>
      </c>
      <c r="I352">
        <v>400496</v>
      </c>
      <c r="J352">
        <v>74.599999999999994</v>
      </c>
    </row>
    <row r="353" spans="1:10" x14ac:dyDescent="0.2">
      <c r="A353">
        <v>2001</v>
      </c>
      <c r="B353" s="1" t="s">
        <v>19</v>
      </c>
      <c r="C353" s="1" t="s">
        <v>12</v>
      </c>
      <c r="D353">
        <v>0</v>
      </c>
      <c r="E353">
        <v>0</v>
      </c>
      <c r="F353">
        <v>41222</v>
      </c>
      <c r="G353">
        <v>84500</v>
      </c>
      <c r="H353">
        <v>96858</v>
      </c>
      <c r="I353">
        <v>156314</v>
      </c>
      <c r="J353">
        <v>74.599999999999994</v>
      </c>
    </row>
    <row r="354" spans="1:10" x14ac:dyDescent="0.2">
      <c r="A354">
        <v>2001</v>
      </c>
      <c r="B354" s="1" t="s">
        <v>19</v>
      </c>
      <c r="C354" s="1" t="s">
        <v>13</v>
      </c>
      <c r="D354">
        <v>0</v>
      </c>
      <c r="E354">
        <v>0</v>
      </c>
      <c r="F354">
        <v>56201</v>
      </c>
      <c r="G354">
        <v>130000</v>
      </c>
      <c r="H354">
        <v>142334</v>
      </c>
      <c r="I354">
        <v>240483</v>
      </c>
      <c r="J354">
        <v>74.599999999999994</v>
      </c>
    </row>
    <row r="355" spans="1:10" x14ac:dyDescent="0.2">
      <c r="A355">
        <v>2001</v>
      </c>
      <c r="B355" s="1" t="s">
        <v>19</v>
      </c>
      <c r="C355" s="1" t="s">
        <v>14</v>
      </c>
      <c r="D355">
        <v>0</v>
      </c>
      <c r="E355">
        <v>0</v>
      </c>
      <c r="F355">
        <v>59668</v>
      </c>
      <c r="G355">
        <v>102500</v>
      </c>
      <c r="H355">
        <v>114076</v>
      </c>
      <c r="I355">
        <v>189611</v>
      </c>
      <c r="J355">
        <v>74.599999999999994</v>
      </c>
    </row>
    <row r="356" spans="1:10" x14ac:dyDescent="0.2">
      <c r="A356">
        <v>2001</v>
      </c>
      <c r="B356" s="1" t="s">
        <v>20</v>
      </c>
      <c r="C356" s="1" t="s">
        <v>11</v>
      </c>
      <c r="D356">
        <v>0</v>
      </c>
      <c r="E356">
        <v>0</v>
      </c>
      <c r="F356">
        <v>40091</v>
      </c>
      <c r="G356">
        <v>153000</v>
      </c>
      <c r="H356">
        <v>179034</v>
      </c>
      <c r="I356">
        <v>283029</v>
      </c>
      <c r="J356">
        <v>74.599999999999994</v>
      </c>
    </row>
    <row r="357" spans="1:10" x14ac:dyDescent="0.2">
      <c r="A357">
        <v>2001</v>
      </c>
      <c r="B357" s="1" t="s">
        <v>20</v>
      </c>
      <c r="C357" s="1" t="s">
        <v>12</v>
      </c>
      <c r="D357">
        <v>0</v>
      </c>
      <c r="E357">
        <v>0</v>
      </c>
      <c r="F357">
        <v>19905</v>
      </c>
      <c r="G357">
        <v>69500</v>
      </c>
      <c r="H357">
        <v>85503</v>
      </c>
      <c r="I357">
        <v>128566</v>
      </c>
      <c r="J357">
        <v>74.599999999999994</v>
      </c>
    </row>
    <row r="358" spans="1:10" x14ac:dyDescent="0.2">
      <c r="A358">
        <v>2001</v>
      </c>
      <c r="B358" s="1" t="s">
        <v>20</v>
      </c>
      <c r="C358" s="1" t="s">
        <v>13</v>
      </c>
      <c r="D358">
        <v>0</v>
      </c>
      <c r="E358">
        <v>0</v>
      </c>
      <c r="F358">
        <v>32140</v>
      </c>
      <c r="G358">
        <v>94000</v>
      </c>
      <c r="H358">
        <v>105595</v>
      </c>
      <c r="I358">
        <v>173887</v>
      </c>
      <c r="J358">
        <v>74.599999999999994</v>
      </c>
    </row>
    <row r="359" spans="1:10" x14ac:dyDescent="0.2">
      <c r="A359">
        <v>2001</v>
      </c>
      <c r="B359" s="1" t="s">
        <v>20</v>
      </c>
      <c r="C359" s="1" t="s">
        <v>14</v>
      </c>
      <c r="D359">
        <v>0</v>
      </c>
      <c r="E359">
        <v>0</v>
      </c>
      <c r="F359">
        <v>42576</v>
      </c>
      <c r="G359">
        <v>78000</v>
      </c>
      <c r="H359">
        <v>88413</v>
      </c>
      <c r="I359">
        <v>144290</v>
      </c>
      <c r="J359">
        <v>74.599999999999994</v>
      </c>
    </row>
    <row r="360" spans="1:10" x14ac:dyDescent="0.2">
      <c r="A360">
        <v>2001</v>
      </c>
      <c r="B360" s="1" t="s">
        <v>21</v>
      </c>
      <c r="C360" s="1" t="s">
        <v>11</v>
      </c>
      <c r="D360">
        <v>0</v>
      </c>
      <c r="E360">
        <v>0</v>
      </c>
      <c r="F360">
        <v>18103</v>
      </c>
      <c r="G360">
        <v>97995</v>
      </c>
      <c r="H360">
        <v>112160</v>
      </c>
      <c r="I360">
        <v>181278</v>
      </c>
      <c r="J360">
        <v>74.599999999999994</v>
      </c>
    </row>
    <row r="361" spans="1:10" x14ac:dyDescent="0.2">
      <c r="A361">
        <v>2001</v>
      </c>
      <c r="B361" s="1" t="s">
        <v>21</v>
      </c>
      <c r="C361" s="1" t="s">
        <v>12</v>
      </c>
      <c r="D361">
        <v>0</v>
      </c>
      <c r="E361">
        <v>0</v>
      </c>
      <c r="F361">
        <v>3192</v>
      </c>
      <c r="G361">
        <v>57000</v>
      </c>
      <c r="H361">
        <v>67313</v>
      </c>
      <c r="I361">
        <v>105442</v>
      </c>
      <c r="J361">
        <v>74.599999999999994</v>
      </c>
    </row>
    <row r="362" spans="1:10" x14ac:dyDescent="0.2">
      <c r="A362">
        <v>2001</v>
      </c>
      <c r="B362" s="1" t="s">
        <v>21</v>
      </c>
      <c r="C362" s="1" t="s">
        <v>13</v>
      </c>
      <c r="D362">
        <v>0</v>
      </c>
      <c r="E362">
        <v>0</v>
      </c>
      <c r="F362">
        <v>17090</v>
      </c>
      <c r="G362">
        <v>58225</v>
      </c>
      <c r="H362">
        <v>63895</v>
      </c>
      <c r="I362">
        <v>107708</v>
      </c>
      <c r="J362">
        <v>74.599999999999994</v>
      </c>
    </row>
    <row r="363" spans="1:10" x14ac:dyDescent="0.2">
      <c r="A363">
        <v>2001</v>
      </c>
      <c r="B363" s="1" t="s">
        <v>21</v>
      </c>
      <c r="C363" s="1" t="s">
        <v>14</v>
      </c>
      <c r="D363">
        <v>0</v>
      </c>
      <c r="E363">
        <v>0</v>
      </c>
      <c r="F363">
        <v>21330</v>
      </c>
      <c r="G363">
        <v>43950</v>
      </c>
      <c r="H363">
        <v>50269</v>
      </c>
      <c r="I363">
        <v>81302</v>
      </c>
      <c r="J363">
        <v>74.599999999999994</v>
      </c>
    </row>
    <row r="364" spans="1:10" x14ac:dyDescent="0.2">
      <c r="A364">
        <v>2001</v>
      </c>
      <c r="B364" s="1" t="s">
        <v>22</v>
      </c>
      <c r="C364" s="1" t="s">
        <v>11</v>
      </c>
      <c r="D364">
        <v>0</v>
      </c>
      <c r="E364">
        <v>0</v>
      </c>
      <c r="F364">
        <v>28066</v>
      </c>
      <c r="G364">
        <v>138000</v>
      </c>
      <c r="H364">
        <v>159380</v>
      </c>
      <c r="I364">
        <v>255282</v>
      </c>
      <c r="J364">
        <v>74.599999999999994</v>
      </c>
    </row>
    <row r="365" spans="1:10" x14ac:dyDescent="0.2">
      <c r="A365">
        <v>2001</v>
      </c>
      <c r="B365" s="1" t="s">
        <v>22</v>
      </c>
      <c r="C365" s="1" t="s">
        <v>12</v>
      </c>
      <c r="D365">
        <v>0</v>
      </c>
      <c r="E365">
        <v>0</v>
      </c>
      <c r="F365">
        <v>9891</v>
      </c>
      <c r="G365">
        <v>57000</v>
      </c>
      <c r="H365">
        <v>70875</v>
      </c>
      <c r="I365">
        <v>105442</v>
      </c>
      <c r="J365">
        <v>74.599999999999994</v>
      </c>
    </row>
    <row r="366" spans="1:10" x14ac:dyDescent="0.2">
      <c r="A366">
        <v>2001</v>
      </c>
      <c r="B366" s="1" t="s">
        <v>22</v>
      </c>
      <c r="C366" s="1" t="s">
        <v>13</v>
      </c>
      <c r="D366">
        <v>0</v>
      </c>
      <c r="E366">
        <v>0</v>
      </c>
      <c r="F366">
        <v>37008</v>
      </c>
      <c r="G366">
        <v>73000</v>
      </c>
      <c r="H366">
        <v>80821</v>
      </c>
      <c r="I366">
        <v>135040</v>
      </c>
      <c r="J366">
        <v>74.599999999999994</v>
      </c>
    </row>
    <row r="367" spans="1:10" x14ac:dyDescent="0.2">
      <c r="A367">
        <v>2001</v>
      </c>
      <c r="B367" s="1" t="s">
        <v>22</v>
      </c>
      <c r="C367" s="1" t="s">
        <v>14</v>
      </c>
      <c r="D367">
        <v>0</v>
      </c>
      <c r="E367">
        <v>0</v>
      </c>
      <c r="F367">
        <v>33945</v>
      </c>
      <c r="G367">
        <v>56300</v>
      </c>
      <c r="H367">
        <v>62211</v>
      </c>
      <c r="I367">
        <v>104147</v>
      </c>
      <c r="J367">
        <v>74.599999999999994</v>
      </c>
    </row>
    <row r="368" spans="1:10" x14ac:dyDescent="0.2">
      <c r="A368">
        <v>2001</v>
      </c>
      <c r="B368" s="1" t="s">
        <v>23</v>
      </c>
      <c r="C368" s="1" t="s">
        <v>11</v>
      </c>
      <c r="D368">
        <v>0</v>
      </c>
      <c r="E368">
        <v>0</v>
      </c>
      <c r="F368">
        <v>27791</v>
      </c>
      <c r="G368">
        <v>105000</v>
      </c>
      <c r="H368">
        <v>123343</v>
      </c>
      <c r="I368">
        <v>194236</v>
      </c>
      <c r="J368">
        <v>74.599999999999994</v>
      </c>
    </row>
    <row r="369" spans="1:10" x14ac:dyDescent="0.2">
      <c r="A369">
        <v>2001</v>
      </c>
      <c r="B369" s="1" t="s">
        <v>23</v>
      </c>
      <c r="C369" s="1" t="s">
        <v>12</v>
      </c>
      <c r="D369">
        <v>0</v>
      </c>
      <c r="E369">
        <v>0</v>
      </c>
      <c r="F369">
        <v>6276</v>
      </c>
      <c r="G369">
        <v>59950</v>
      </c>
      <c r="H369">
        <v>72454</v>
      </c>
      <c r="I369">
        <v>110899</v>
      </c>
      <c r="J369">
        <v>74.599999999999994</v>
      </c>
    </row>
    <row r="370" spans="1:10" x14ac:dyDescent="0.2">
      <c r="A370">
        <v>2001</v>
      </c>
      <c r="B370" s="1" t="s">
        <v>23</v>
      </c>
      <c r="C370" s="1" t="s">
        <v>13</v>
      </c>
      <c r="D370">
        <v>0</v>
      </c>
      <c r="E370">
        <v>0</v>
      </c>
      <c r="F370">
        <v>38602</v>
      </c>
      <c r="G370">
        <v>58995</v>
      </c>
      <c r="H370">
        <v>65292</v>
      </c>
      <c r="I370">
        <v>109133</v>
      </c>
      <c r="J370">
        <v>74.599999999999994</v>
      </c>
    </row>
    <row r="371" spans="1:10" x14ac:dyDescent="0.2">
      <c r="A371">
        <v>2001</v>
      </c>
      <c r="B371" s="1" t="s">
        <v>23</v>
      </c>
      <c r="C371" s="1" t="s">
        <v>14</v>
      </c>
      <c r="D371">
        <v>0</v>
      </c>
      <c r="E371">
        <v>0</v>
      </c>
      <c r="F371">
        <v>39946</v>
      </c>
      <c r="G371">
        <v>40500</v>
      </c>
      <c r="H371">
        <v>48184</v>
      </c>
      <c r="I371">
        <v>74920</v>
      </c>
      <c r="J371">
        <v>74.599999999999994</v>
      </c>
    </row>
    <row r="372" spans="1:10" x14ac:dyDescent="0.2">
      <c r="A372">
        <v>2001</v>
      </c>
      <c r="B372" s="1" t="s">
        <v>10</v>
      </c>
      <c r="C372" s="1" t="s">
        <v>24</v>
      </c>
      <c r="D372">
        <v>0</v>
      </c>
      <c r="E372">
        <v>1</v>
      </c>
      <c r="F372">
        <v>106557</v>
      </c>
      <c r="G372">
        <v>70000</v>
      </c>
      <c r="H372">
        <v>85194</v>
      </c>
      <c r="I372">
        <v>129491</v>
      </c>
      <c r="J372">
        <v>74.599999999999994</v>
      </c>
    </row>
    <row r="373" spans="1:10" x14ac:dyDescent="0.2">
      <c r="A373">
        <v>2001</v>
      </c>
      <c r="B373" s="1" t="s">
        <v>15</v>
      </c>
      <c r="C373" s="1" t="s">
        <v>24</v>
      </c>
      <c r="D373">
        <v>0</v>
      </c>
      <c r="E373">
        <v>1</v>
      </c>
      <c r="F373">
        <v>144332</v>
      </c>
      <c r="G373">
        <v>99995</v>
      </c>
      <c r="H373">
        <v>124568</v>
      </c>
      <c r="I373">
        <v>184977</v>
      </c>
      <c r="J373">
        <v>74.599999999999994</v>
      </c>
    </row>
    <row r="374" spans="1:10" x14ac:dyDescent="0.2">
      <c r="A374">
        <v>2001</v>
      </c>
      <c r="B374" s="1" t="s">
        <v>16</v>
      </c>
      <c r="C374" s="1" t="s">
        <v>24</v>
      </c>
      <c r="D374">
        <v>0</v>
      </c>
      <c r="E374">
        <v>1</v>
      </c>
      <c r="F374">
        <v>165565</v>
      </c>
      <c r="G374">
        <v>155000</v>
      </c>
      <c r="H374">
        <v>204974</v>
      </c>
      <c r="I374">
        <v>286729</v>
      </c>
      <c r="J374">
        <v>74.599999999999994</v>
      </c>
    </row>
    <row r="375" spans="1:10" x14ac:dyDescent="0.2">
      <c r="A375">
        <v>2001</v>
      </c>
      <c r="B375" s="1" t="s">
        <v>17</v>
      </c>
      <c r="C375" s="1" t="s">
        <v>24</v>
      </c>
      <c r="D375">
        <v>0</v>
      </c>
      <c r="E375">
        <v>1</v>
      </c>
      <c r="F375">
        <v>52863</v>
      </c>
      <c r="G375">
        <v>55000</v>
      </c>
      <c r="H375">
        <v>66549</v>
      </c>
      <c r="I375">
        <v>101743</v>
      </c>
      <c r="J375">
        <v>74.599999999999994</v>
      </c>
    </row>
    <row r="376" spans="1:10" x14ac:dyDescent="0.2">
      <c r="A376">
        <v>2001</v>
      </c>
      <c r="B376" s="1" t="s">
        <v>18</v>
      </c>
      <c r="C376" s="1" t="s">
        <v>24</v>
      </c>
      <c r="D376">
        <v>0</v>
      </c>
      <c r="E376">
        <v>1</v>
      </c>
      <c r="F376">
        <v>145954</v>
      </c>
      <c r="G376">
        <v>60000</v>
      </c>
      <c r="H376">
        <v>77531</v>
      </c>
      <c r="I376">
        <v>110992</v>
      </c>
      <c r="J376">
        <v>74.599999999999994</v>
      </c>
    </row>
    <row r="377" spans="1:10" x14ac:dyDescent="0.2">
      <c r="A377">
        <v>2001</v>
      </c>
      <c r="B377" s="1" t="s">
        <v>19</v>
      </c>
      <c r="C377" s="1" t="s">
        <v>24</v>
      </c>
      <c r="D377">
        <v>0</v>
      </c>
      <c r="E377">
        <v>1</v>
      </c>
      <c r="F377">
        <v>211415</v>
      </c>
      <c r="G377">
        <v>126000</v>
      </c>
      <c r="H377">
        <v>156514</v>
      </c>
      <c r="I377">
        <v>233083</v>
      </c>
      <c r="J377">
        <v>74.599999999999994</v>
      </c>
    </row>
    <row r="378" spans="1:10" x14ac:dyDescent="0.2">
      <c r="A378">
        <v>2001</v>
      </c>
      <c r="B378" s="1" t="s">
        <v>20</v>
      </c>
      <c r="C378" s="1" t="s">
        <v>24</v>
      </c>
      <c r="D378">
        <v>0</v>
      </c>
      <c r="E378">
        <v>1</v>
      </c>
      <c r="F378">
        <v>134712</v>
      </c>
      <c r="G378">
        <v>96500</v>
      </c>
      <c r="H378">
        <v>119052</v>
      </c>
      <c r="I378">
        <v>178512</v>
      </c>
      <c r="J378">
        <v>74.599999999999994</v>
      </c>
    </row>
    <row r="379" spans="1:10" x14ac:dyDescent="0.2">
      <c r="A379">
        <v>2001</v>
      </c>
      <c r="B379" s="1" t="s">
        <v>21</v>
      </c>
      <c r="C379" s="1" t="s">
        <v>24</v>
      </c>
      <c r="D379">
        <v>0</v>
      </c>
      <c r="E379">
        <v>1</v>
      </c>
      <c r="F379">
        <v>59715</v>
      </c>
      <c r="G379">
        <v>60000</v>
      </c>
      <c r="H379">
        <v>73842</v>
      </c>
      <c r="I379">
        <v>110992</v>
      </c>
      <c r="J379">
        <v>74.599999999999994</v>
      </c>
    </row>
    <row r="380" spans="1:10" x14ac:dyDescent="0.2">
      <c r="A380">
        <v>2001</v>
      </c>
      <c r="B380" s="1" t="s">
        <v>22</v>
      </c>
      <c r="C380" s="1" t="s">
        <v>24</v>
      </c>
      <c r="D380">
        <v>0</v>
      </c>
      <c r="E380">
        <v>1</v>
      </c>
      <c r="F380">
        <v>108910</v>
      </c>
      <c r="G380">
        <v>76000</v>
      </c>
      <c r="H380">
        <v>94362</v>
      </c>
      <c r="I380">
        <v>140590</v>
      </c>
      <c r="J380">
        <v>74.599999999999994</v>
      </c>
    </row>
    <row r="381" spans="1:10" x14ac:dyDescent="0.2">
      <c r="A381">
        <v>2001</v>
      </c>
      <c r="B381" s="1" t="s">
        <v>23</v>
      </c>
      <c r="C381" s="1" t="s">
        <v>24</v>
      </c>
      <c r="D381">
        <v>0</v>
      </c>
      <c r="E381">
        <v>1</v>
      </c>
      <c r="F381">
        <v>112615</v>
      </c>
      <c r="G381">
        <v>59950</v>
      </c>
      <c r="H381">
        <v>73949</v>
      </c>
      <c r="I381">
        <v>110899</v>
      </c>
      <c r="J381">
        <v>74.599999999999994</v>
      </c>
    </row>
    <row r="382" spans="1:10" x14ac:dyDescent="0.2">
      <c r="A382">
        <v>2001</v>
      </c>
      <c r="B382" s="1" t="s">
        <v>25</v>
      </c>
      <c r="C382" s="1" t="s">
        <v>11</v>
      </c>
      <c r="D382">
        <v>1</v>
      </c>
      <c r="E382">
        <v>0</v>
      </c>
      <c r="F382">
        <v>295975</v>
      </c>
      <c r="G382">
        <v>141250</v>
      </c>
      <c r="H382">
        <v>177926</v>
      </c>
      <c r="I382">
        <v>261294</v>
      </c>
      <c r="J382">
        <v>74.599999999999994</v>
      </c>
    </row>
    <row r="383" spans="1:10" x14ac:dyDescent="0.2">
      <c r="A383">
        <v>2001</v>
      </c>
      <c r="B383" s="1" t="s">
        <v>25</v>
      </c>
      <c r="C383" s="1" t="s">
        <v>12</v>
      </c>
      <c r="D383">
        <v>1</v>
      </c>
      <c r="E383">
        <v>0</v>
      </c>
      <c r="F383">
        <v>203400</v>
      </c>
      <c r="G383">
        <v>90000</v>
      </c>
      <c r="H383">
        <v>120126</v>
      </c>
      <c r="I383">
        <v>166488</v>
      </c>
      <c r="J383">
        <v>74.599999999999994</v>
      </c>
    </row>
    <row r="384" spans="1:10" x14ac:dyDescent="0.2">
      <c r="A384">
        <v>2001</v>
      </c>
      <c r="B384" s="1" t="s">
        <v>25</v>
      </c>
      <c r="C384" s="1" t="s">
        <v>13</v>
      </c>
      <c r="D384">
        <v>1</v>
      </c>
      <c r="E384">
        <v>0</v>
      </c>
      <c r="F384">
        <v>350638</v>
      </c>
      <c r="G384">
        <v>81500</v>
      </c>
      <c r="H384">
        <v>101570</v>
      </c>
      <c r="I384">
        <v>150764</v>
      </c>
      <c r="J384">
        <v>74.599999999999994</v>
      </c>
    </row>
    <row r="385" spans="1:10" x14ac:dyDescent="0.2">
      <c r="A385">
        <v>2001</v>
      </c>
      <c r="B385" s="1" t="s">
        <v>25</v>
      </c>
      <c r="C385" s="1" t="s">
        <v>14</v>
      </c>
      <c r="D385">
        <v>1</v>
      </c>
      <c r="E385">
        <v>0</v>
      </c>
      <c r="F385">
        <v>393657</v>
      </c>
      <c r="G385">
        <v>69000</v>
      </c>
      <c r="H385">
        <v>89978</v>
      </c>
      <c r="I385">
        <v>127641</v>
      </c>
      <c r="J385">
        <v>74.599999999999994</v>
      </c>
    </row>
    <row r="386" spans="1:10" x14ac:dyDescent="0.2">
      <c r="A386">
        <v>2001</v>
      </c>
      <c r="B386" s="1" t="s">
        <v>25</v>
      </c>
      <c r="C386" s="1" t="s">
        <v>24</v>
      </c>
      <c r="D386">
        <v>1</v>
      </c>
      <c r="E386">
        <v>1</v>
      </c>
      <c r="F386">
        <v>1243670</v>
      </c>
      <c r="G386">
        <v>90000</v>
      </c>
      <c r="H386">
        <v>119107</v>
      </c>
      <c r="I386">
        <v>166488</v>
      </c>
      <c r="J386">
        <v>74.599999999999994</v>
      </c>
    </row>
    <row r="387" spans="1:10" x14ac:dyDescent="0.2">
      <c r="A387">
        <v>2002</v>
      </c>
      <c r="B387" s="1" t="s">
        <v>10</v>
      </c>
      <c r="C387" s="1" t="s">
        <v>11</v>
      </c>
      <c r="D387">
        <v>0</v>
      </c>
      <c r="E387">
        <v>0</v>
      </c>
      <c r="F387">
        <v>39628</v>
      </c>
      <c r="G387">
        <v>135000</v>
      </c>
      <c r="H387">
        <v>153847</v>
      </c>
      <c r="I387">
        <v>246103</v>
      </c>
      <c r="J387">
        <v>75.7</v>
      </c>
    </row>
    <row r="388" spans="1:10" x14ac:dyDescent="0.2">
      <c r="A388">
        <v>2002</v>
      </c>
      <c r="B388" s="1" t="s">
        <v>10</v>
      </c>
      <c r="C388" s="1" t="s">
        <v>12</v>
      </c>
      <c r="D388">
        <v>0</v>
      </c>
      <c r="E388">
        <v>0</v>
      </c>
      <c r="F388">
        <v>5568</v>
      </c>
      <c r="G388">
        <v>66000</v>
      </c>
      <c r="H388">
        <v>79598</v>
      </c>
      <c r="I388">
        <v>120317</v>
      </c>
      <c r="J388">
        <v>75.7</v>
      </c>
    </row>
    <row r="389" spans="1:10" x14ac:dyDescent="0.2">
      <c r="A389">
        <v>2002</v>
      </c>
      <c r="B389" s="1" t="s">
        <v>10</v>
      </c>
      <c r="C389" s="1" t="s">
        <v>13</v>
      </c>
      <c r="D389">
        <v>0</v>
      </c>
      <c r="E389">
        <v>0</v>
      </c>
      <c r="F389">
        <v>37374</v>
      </c>
      <c r="G389">
        <v>77000</v>
      </c>
      <c r="H389">
        <v>82625</v>
      </c>
      <c r="I389">
        <v>140370</v>
      </c>
      <c r="J389">
        <v>75.7</v>
      </c>
    </row>
    <row r="390" spans="1:10" x14ac:dyDescent="0.2">
      <c r="A390">
        <v>2002</v>
      </c>
      <c r="B390" s="1" t="s">
        <v>10</v>
      </c>
      <c r="C390" s="1" t="s">
        <v>14</v>
      </c>
      <c r="D390">
        <v>0</v>
      </c>
      <c r="E390">
        <v>0</v>
      </c>
      <c r="F390">
        <v>32198</v>
      </c>
      <c r="G390">
        <v>59995</v>
      </c>
      <c r="H390">
        <v>66044</v>
      </c>
      <c r="I390">
        <v>109370</v>
      </c>
      <c r="J390">
        <v>75.7</v>
      </c>
    </row>
    <row r="391" spans="1:10" x14ac:dyDescent="0.2">
      <c r="A391">
        <v>2002</v>
      </c>
      <c r="B391" s="1" t="s">
        <v>15</v>
      </c>
      <c r="C391" s="1" t="s">
        <v>11</v>
      </c>
      <c r="D391">
        <v>0</v>
      </c>
      <c r="E391">
        <v>0</v>
      </c>
      <c r="F391">
        <v>43257</v>
      </c>
      <c r="G391">
        <v>185000</v>
      </c>
      <c r="H391">
        <v>222356</v>
      </c>
      <c r="I391">
        <v>337252</v>
      </c>
      <c r="J391">
        <v>75.7</v>
      </c>
    </row>
    <row r="392" spans="1:10" x14ac:dyDescent="0.2">
      <c r="A392">
        <v>2002</v>
      </c>
      <c r="B392" s="1" t="s">
        <v>15</v>
      </c>
      <c r="C392" s="1" t="s">
        <v>12</v>
      </c>
      <c r="D392">
        <v>0</v>
      </c>
      <c r="E392">
        <v>0</v>
      </c>
      <c r="F392">
        <v>22720</v>
      </c>
      <c r="G392">
        <v>85950</v>
      </c>
      <c r="H392">
        <v>97133</v>
      </c>
      <c r="I392">
        <v>156686</v>
      </c>
      <c r="J392">
        <v>75.7</v>
      </c>
    </row>
    <row r="393" spans="1:10" x14ac:dyDescent="0.2">
      <c r="A393">
        <v>2002</v>
      </c>
      <c r="B393" s="1" t="s">
        <v>15</v>
      </c>
      <c r="C393" s="1" t="s">
        <v>13</v>
      </c>
      <c r="D393">
        <v>0</v>
      </c>
      <c r="E393">
        <v>0</v>
      </c>
      <c r="F393">
        <v>41122</v>
      </c>
      <c r="G393">
        <v>125000</v>
      </c>
      <c r="H393">
        <v>137991</v>
      </c>
      <c r="I393">
        <v>227873</v>
      </c>
      <c r="J393">
        <v>75.7</v>
      </c>
    </row>
    <row r="394" spans="1:10" x14ac:dyDescent="0.2">
      <c r="A394">
        <v>2002</v>
      </c>
      <c r="B394" s="1" t="s">
        <v>15</v>
      </c>
      <c r="C394" s="1" t="s">
        <v>14</v>
      </c>
      <c r="D394">
        <v>0</v>
      </c>
      <c r="E394">
        <v>0</v>
      </c>
      <c r="F394">
        <v>43076</v>
      </c>
      <c r="G394">
        <v>104000</v>
      </c>
      <c r="H394">
        <v>114383</v>
      </c>
      <c r="I394">
        <v>189590</v>
      </c>
      <c r="J394">
        <v>75.7</v>
      </c>
    </row>
    <row r="395" spans="1:10" x14ac:dyDescent="0.2">
      <c r="A395">
        <v>2002</v>
      </c>
      <c r="B395" s="1" t="s">
        <v>16</v>
      </c>
      <c r="C395" s="1" t="s">
        <v>11</v>
      </c>
      <c r="D395">
        <v>0</v>
      </c>
      <c r="E395">
        <v>0</v>
      </c>
      <c r="F395">
        <v>7356</v>
      </c>
      <c r="G395">
        <v>351500</v>
      </c>
      <c r="H395">
        <v>460176</v>
      </c>
      <c r="I395">
        <v>640779</v>
      </c>
      <c r="J395">
        <v>75.7</v>
      </c>
    </row>
    <row r="396" spans="1:10" x14ac:dyDescent="0.2">
      <c r="A396">
        <v>2002</v>
      </c>
      <c r="B396" s="1" t="s">
        <v>16</v>
      </c>
      <c r="C396" s="1" t="s">
        <v>12</v>
      </c>
      <c r="D396">
        <v>0</v>
      </c>
      <c r="E396">
        <v>0</v>
      </c>
      <c r="F396">
        <v>86864</v>
      </c>
      <c r="G396">
        <v>160000</v>
      </c>
      <c r="H396">
        <v>202788</v>
      </c>
      <c r="I396">
        <v>291678</v>
      </c>
      <c r="J396">
        <v>75.7</v>
      </c>
    </row>
    <row r="397" spans="1:10" x14ac:dyDescent="0.2">
      <c r="A397">
        <v>2002</v>
      </c>
      <c r="B397" s="1" t="s">
        <v>16</v>
      </c>
      <c r="C397" s="1" t="s">
        <v>13</v>
      </c>
      <c r="D397">
        <v>0</v>
      </c>
      <c r="E397">
        <v>0</v>
      </c>
      <c r="F397">
        <v>27330</v>
      </c>
      <c r="G397">
        <v>217000</v>
      </c>
      <c r="H397">
        <v>260062</v>
      </c>
      <c r="I397">
        <v>395588</v>
      </c>
      <c r="J397">
        <v>75.7</v>
      </c>
    </row>
    <row r="398" spans="1:10" x14ac:dyDescent="0.2">
      <c r="A398">
        <v>2002</v>
      </c>
      <c r="B398" s="1" t="s">
        <v>16</v>
      </c>
      <c r="C398" s="1" t="s">
        <v>14</v>
      </c>
      <c r="D398">
        <v>0</v>
      </c>
      <c r="E398">
        <v>0</v>
      </c>
      <c r="F398">
        <v>55399</v>
      </c>
      <c r="G398">
        <v>180000</v>
      </c>
      <c r="H398">
        <v>238253</v>
      </c>
      <c r="I398">
        <v>328137</v>
      </c>
      <c r="J398">
        <v>75.7</v>
      </c>
    </row>
    <row r="399" spans="1:10" x14ac:dyDescent="0.2">
      <c r="A399">
        <v>2002</v>
      </c>
      <c r="B399" s="1" t="s">
        <v>17</v>
      </c>
      <c r="C399" s="1" t="s">
        <v>11</v>
      </c>
      <c r="D399">
        <v>0</v>
      </c>
      <c r="E399">
        <v>0</v>
      </c>
      <c r="F399">
        <v>11549</v>
      </c>
      <c r="G399">
        <v>121950</v>
      </c>
      <c r="H399">
        <v>138700</v>
      </c>
      <c r="I399">
        <v>222313</v>
      </c>
      <c r="J399">
        <v>75.7</v>
      </c>
    </row>
    <row r="400" spans="1:10" x14ac:dyDescent="0.2">
      <c r="A400">
        <v>2002</v>
      </c>
      <c r="B400" s="1" t="s">
        <v>17</v>
      </c>
      <c r="C400" s="1" t="s">
        <v>12</v>
      </c>
      <c r="D400">
        <v>0</v>
      </c>
      <c r="E400">
        <v>0</v>
      </c>
      <c r="F400">
        <v>7579</v>
      </c>
      <c r="G400">
        <v>47500</v>
      </c>
      <c r="H400">
        <v>62676</v>
      </c>
      <c r="I400">
        <v>86592</v>
      </c>
      <c r="J400">
        <v>75.7</v>
      </c>
    </row>
    <row r="401" spans="1:10" x14ac:dyDescent="0.2">
      <c r="A401">
        <v>2002</v>
      </c>
      <c r="B401" s="1" t="s">
        <v>17</v>
      </c>
      <c r="C401" s="1" t="s">
        <v>13</v>
      </c>
      <c r="D401">
        <v>0</v>
      </c>
      <c r="E401">
        <v>0</v>
      </c>
      <c r="F401">
        <v>17823</v>
      </c>
      <c r="G401">
        <v>66000</v>
      </c>
      <c r="H401">
        <v>72149</v>
      </c>
      <c r="I401">
        <v>120317</v>
      </c>
      <c r="J401">
        <v>75.7</v>
      </c>
    </row>
    <row r="402" spans="1:10" x14ac:dyDescent="0.2">
      <c r="A402">
        <v>2002</v>
      </c>
      <c r="B402" s="1" t="s">
        <v>17</v>
      </c>
      <c r="C402" s="1" t="s">
        <v>14</v>
      </c>
      <c r="D402">
        <v>0</v>
      </c>
      <c r="E402">
        <v>0</v>
      </c>
      <c r="F402">
        <v>22645</v>
      </c>
      <c r="G402">
        <v>42000</v>
      </c>
      <c r="H402">
        <v>53110</v>
      </c>
      <c r="I402">
        <v>76565</v>
      </c>
      <c r="J402">
        <v>75.7</v>
      </c>
    </row>
    <row r="403" spans="1:10" x14ac:dyDescent="0.2">
      <c r="A403">
        <v>2002</v>
      </c>
      <c r="B403" s="1" t="s">
        <v>18</v>
      </c>
      <c r="C403" s="1" t="s">
        <v>11</v>
      </c>
      <c r="D403">
        <v>0</v>
      </c>
      <c r="E403">
        <v>0</v>
      </c>
      <c r="F403">
        <v>31626</v>
      </c>
      <c r="G403">
        <v>140000</v>
      </c>
      <c r="H403">
        <v>167708</v>
      </c>
      <c r="I403">
        <v>255218</v>
      </c>
      <c r="J403">
        <v>75.7</v>
      </c>
    </row>
    <row r="404" spans="1:10" x14ac:dyDescent="0.2">
      <c r="A404">
        <v>2002</v>
      </c>
      <c r="B404" s="1" t="s">
        <v>18</v>
      </c>
      <c r="C404" s="1" t="s">
        <v>12</v>
      </c>
      <c r="D404">
        <v>0</v>
      </c>
      <c r="E404">
        <v>0</v>
      </c>
      <c r="F404">
        <v>15905</v>
      </c>
      <c r="G404">
        <v>79000</v>
      </c>
      <c r="H404">
        <v>91560</v>
      </c>
      <c r="I404">
        <v>144016</v>
      </c>
      <c r="J404">
        <v>75.7</v>
      </c>
    </row>
    <row r="405" spans="1:10" x14ac:dyDescent="0.2">
      <c r="A405">
        <v>2002</v>
      </c>
      <c r="B405" s="1" t="s">
        <v>18</v>
      </c>
      <c r="C405" s="1" t="s">
        <v>13</v>
      </c>
      <c r="D405">
        <v>0</v>
      </c>
      <c r="E405">
        <v>0</v>
      </c>
      <c r="F405">
        <v>56146</v>
      </c>
      <c r="G405">
        <v>76950</v>
      </c>
      <c r="H405">
        <v>85855</v>
      </c>
      <c r="I405">
        <v>140279</v>
      </c>
      <c r="J405">
        <v>75.7</v>
      </c>
    </row>
    <row r="406" spans="1:10" x14ac:dyDescent="0.2">
      <c r="A406">
        <v>2002</v>
      </c>
      <c r="B406" s="1" t="s">
        <v>18</v>
      </c>
      <c r="C406" s="1" t="s">
        <v>14</v>
      </c>
      <c r="D406">
        <v>0</v>
      </c>
      <c r="E406">
        <v>0</v>
      </c>
      <c r="F406">
        <v>64947</v>
      </c>
      <c r="G406">
        <v>44000</v>
      </c>
      <c r="H406">
        <v>52783</v>
      </c>
      <c r="I406">
        <v>80211</v>
      </c>
      <c r="J406">
        <v>75.7</v>
      </c>
    </row>
    <row r="407" spans="1:10" x14ac:dyDescent="0.2">
      <c r="A407">
        <v>2002</v>
      </c>
      <c r="B407" s="1" t="s">
        <v>19</v>
      </c>
      <c r="C407" s="1" t="s">
        <v>11</v>
      </c>
      <c r="D407">
        <v>0</v>
      </c>
      <c r="E407">
        <v>0</v>
      </c>
      <c r="F407">
        <v>58103</v>
      </c>
      <c r="G407">
        <v>248000</v>
      </c>
      <c r="H407">
        <v>297493</v>
      </c>
      <c r="I407">
        <v>452100</v>
      </c>
      <c r="J407">
        <v>75.7</v>
      </c>
    </row>
    <row r="408" spans="1:10" x14ac:dyDescent="0.2">
      <c r="A408">
        <v>2002</v>
      </c>
      <c r="B408" s="1" t="s">
        <v>19</v>
      </c>
      <c r="C408" s="1" t="s">
        <v>12</v>
      </c>
      <c r="D408">
        <v>0</v>
      </c>
      <c r="E408">
        <v>0</v>
      </c>
      <c r="F408">
        <v>45033</v>
      </c>
      <c r="G408">
        <v>104000</v>
      </c>
      <c r="H408">
        <v>115409</v>
      </c>
      <c r="I408">
        <v>189590</v>
      </c>
      <c r="J408">
        <v>75.7</v>
      </c>
    </row>
    <row r="409" spans="1:10" x14ac:dyDescent="0.2">
      <c r="A409">
        <v>2002</v>
      </c>
      <c r="B409" s="1" t="s">
        <v>19</v>
      </c>
      <c r="C409" s="1" t="s">
        <v>13</v>
      </c>
      <c r="D409">
        <v>0</v>
      </c>
      <c r="E409">
        <v>0</v>
      </c>
      <c r="F409">
        <v>59763</v>
      </c>
      <c r="G409">
        <v>153500</v>
      </c>
      <c r="H409">
        <v>166366</v>
      </c>
      <c r="I409">
        <v>279828</v>
      </c>
      <c r="J409">
        <v>75.7</v>
      </c>
    </row>
    <row r="410" spans="1:10" x14ac:dyDescent="0.2">
      <c r="A410">
        <v>2002</v>
      </c>
      <c r="B410" s="1" t="s">
        <v>19</v>
      </c>
      <c r="C410" s="1" t="s">
        <v>14</v>
      </c>
      <c r="D410">
        <v>0</v>
      </c>
      <c r="E410">
        <v>0</v>
      </c>
      <c r="F410">
        <v>62923</v>
      </c>
      <c r="G410">
        <v>125000</v>
      </c>
      <c r="H410">
        <v>135593</v>
      </c>
      <c r="I410">
        <v>227873</v>
      </c>
      <c r="J410">
        <v>75.7</v>
      </c>
    </row>
    <row r="411" spans="1:10" x14ac:dyDescent="0.2">
      <c r="A411">
        <v>2002</v>
      </c>
      <c r="B411" s="1" t="s">
        <v>20</v>
      </c>
      <c r="C411" s="1" t="s">
        <v>11</v>
      </c>
      <c r="D411">
        <v>0</v>
      </c>
      <c r="E411">
        <v>0</v>
      </c>
      <c r="F411">
        <v>41596</v>
      </c>
      <c r="G411">
        <v>185000</v>
      </c>
      <c r="H411">
        <v>213091</v>
      </c>
      <c r="I411">
        <v>337252</v>
      </c>
      <c r="J411">
        <v>75.7</v>
      </c>
    </row>
    <row r="412" spans="1:10" x14ac:dyDescent="0.2">
      <c r="A412">
        <v>2002</v>
      </c>
      <c r="B412" s="1" t="s">
        <v>20</v>
      </c>
      <c r="C412" s="1" t="s">
        <v>12</v>
      </c>
      <c r="D412">
        <v>0</v>
      </c>
      <c r="E412">
        <v>0</v>
      </c>
      <c r="F412">
        <v>22216</v>
      </c>
      <c r="G412">
        <v>88000</v>
      </c>
      <c r="H412">
        <v>106913</v>
      </c>
      <c r="I412">
        <v>160423</v>
      </c>
      <c r="J412">
        <v>75.7</v>
      </c>
    </row>
    <row r="413" spans="1:10" x14ac:dyDescent="0.2">
      <c r="A413">
        <v>2002</v>
      </c>
      <c r="B413" s="1" t="s">
        <v>20</v>
      </c>
      <c r="C413" s="1" t="s">
        <v>13</v>
      </c>
      <c r="D413">
        <v>0</v>
      </c>
      <c r="E413">
        <v>0</v>
      </c>
      <c r="F413">
        <v>32601</v>
      </c>
      <c r="G413">
        <v>119000</v>
      </c>
      <c r="H413">
        <v>128539</v>
      </c>
      <c r="I413">
        <v>216935</v>
      </c>
      <c r="J413">
        <v>75.7</v>
      </c>
    </row>
    <row r="414" spans="1:10" x14ac:dyDescent="0.2">
      <c r="A414">
        <v>2002</v>
      </c>
      <c r="B414" s="1" t="s">
        <v>20</v>
      </c>
      <c r="C414" s="1" t="s">
        <v>14</v>
      </c>
      <c r="D414">
        <v>0</v>
      </c>
      <c r="E414">
        <v>0</v>
      </c>
      <c r="F414">
        <v>43370</v>
      </c>
      <c r="G414">
        <v>97000</v>
      </c>
      <c r="H414">
        <v>109340</v>
      </c>
      <c r="I414">
        <v>176830</v>
      </c>
      <c r="J414">
        <v>75.7</v>
      </c>
    </row>
    <row r="415" spans="1:10" x14ac:dyDescent="0.2">
      <c r="A415">
        <v>2002</v>
      </c>
      <c r="B415" s="1" t="s">
        <v>21</v>
      </c>
      <c r="C415" s="1" t="s">
        <v>11</v>
      </c>
      <c r="D415">
        <v>0</v>
      </c>
      <c r="E415">
        <v>0</v>
      </c>
      <c r="F415">
        <v>20006</v>
      </c>
      <c r="G415">
        <v>119950</v>
      </c>
      <c r="H415">
        <v>132026</v>
      </c>
      <c r="I415">
        <v>218667</v>
      </c>
      <c r="J415">
        <v>75.7</v>
      </c>
    </row>
    <row r="416" spans="1:10" x14ac:dyDescent="0.2">
      <c r="A416">
        <v>2002</v>
      </c>
      <c r="B416" s="1" t="s">
        <v>21</v>
      </c>
      <c r="C416" s="1" t="s">
        <v>12</v>
      </c>
      <c r="D416">
        <v>0</v>
      </c>
      <c r="E416">
        <v>0</v>
      </c>
      <c r="F416">
        <v>4166</v>
      </c>
      <c r="G416">
        <v>69950</v>
      </c>
      <c r="H416">
        <v>85052</v>
      </c>
      <c r="I416">
        <v>127518</v>
      </c>
      <c r="J416">
        <v>75.7</v>
      </c>
    </row>
    <row r="417" spans="1:10" x14ac:dyDescent="0.2">
      <c r="A417">
        <v>2002</v>
      </c>
      <c r="B417" s="1" t="s">
        <v>21</v>
      </c>
      <c r="C417" s="1" t="s">
        <v>13</v>
      </c>
      <c r="D417">
        <v>0</v>
      </c>
      <c r="E417">
        <v>0</v>
      </c>
      <c r="F417">
        <v>19133</v>
      </c>
      <c r="G417">
        <v>67500</v>
      </c>
      <c r="H417">
        <v>74532</v>
      </c>
      <c r="I417">
        <v>123052</v>
      </c>
      <c r="J417">
        <v>75.7</v>
      </c>
    </row>
    <row r="418" spans="1:10" x14ac:dyDescent="0.2">
      <c r="A418">
        <v>2002</v>
      </c>
      <c r="B418" s="1" t="s">
        <v>21</v>
      </c>
      <c r="C418" s="1" t="s">
        <v>14</v>
      </c>
      <c r="D418">
        <v>0</v>
      </c>
      <c r="E418">
        <v>0</v>
      </c>
      <c r="F418">
        <v>24093</v>
      </c>
      <c r="G418">
        <v>49950</v>
      </c>
      <c r="H418">
        <v>58087</v>
      </c>
      <c r="I418">
        <v>91058</v>
      </c>
      <c r="J418">
        <v>75.7</v>
      </c>
    </row>
    <row r="419" spans="1:10" x14ac:dyDescent="0.2">
      <c r="A419">
        <v>2002</v>
      </c>
      <c r="B419" s="1" t="s">
        <v>22</v>
      </c>
      <c r="C419" s="1" t="s">
        <v>11</v>
      </c>
      <c r="D419">
        <v>0</v>
      </c>
      <c r="E419">
        <v>0</v>
      </c>
      <c r="F419">
        <v>30739</v>
      </c>
      <c r="G419">
        <v>162500</v>
      </c>
      <c r="H419">
        <v>187376</v>
      </c>
      <c r="I419">
        <v>296235</v>
      </c>
      <c r="J419">
        <v>75.7</v>
      </c>
    </row>
    <row r="420" spans="1:10" x14ac:dyDescent="0.2">
      <c r="A420">
        <v>2002</v>
      </c>
      <c r="B420" s="1" t="s">
        <v>22</v>
      </c>
      <c r="C420" s="1" t="s">
        <v>12</v>
      </c>
      <c r="D420">
        <v>0</v>
      </c>
      <c r="E420">
        <v>0</v>
      </c>
      <c r="F420">
        <v>11475</v>
      </c>
      <c r="G420">
        <v>69500</v>
      </c>
      <c r="H420">
        <v>83762</v>
      </c>
      <c r="I420">
        <v>126697</v>
      </c>
      <c r="J420">
        <v>75.7</v>
      </c>
    </row>
    <row r="421" spans="1:10" x14ac:dyDescent="0.2">
      <c r="A421">
        <v>2002</v>
      </c>
      <c r="B421" s="1" t="s">
        <v>22</v>
      </c>
      <c r="C421" s="1" t="s">
        <v>13</v>
      </c>
      <c r="D421">
        <v>0</v>
      </c>
      <c r="E421">
        <v>0</v>
      </c>
      <c r="F421">
        <v>40564</v>
      </c>
      <c r="G421">
        <v>86500</v>
      </c>
      <c r="H421">
        <v>95733</v>
      </c>
      <c r="I421">
        <v>157688</v>
      </c>
      <c r="J421">
        <v>75.7</v>
      </c>
    </row>
    <row r="422" spans="1:10" x14ac:dyDescent="0.2">
      <c r="A422">
        <v>2002</v>
      </c>
      <c r="B422" s="1" t="s">
        <v>22</v>
      </c>
      <c r="C422" s="1" t="s">
        <v>14</v>
      </c>
      <c r="D422">
        <v>0</v>
      </c>
      <c r="E422">
        <v>0</v>
      </c>
      <c r="F422">
        <v>37793</v>
      </c>
      <c r="G422">
        <v>67500</v>
      </c>
      <c r="H422">
        <v>74421</v>
      </c>
      <c r="I422">
        <v>123052</v>
      </c>
      <c r="J422">
        <v>75.7</v>
      </c>
    </row>
    <row r="423" spans="1:10" x14ac:dyDescent="0.2">
      <c r="A423">
        <v>2002</v>
      </c>
      <c r="B423" s="1" t="s">
        <v>23</v>
      </c>
      <c r="C423" s="1" t="s">
        <v>11</v>
      </c>
      <c r="D423">
        <v>0</v>
      </c>
      <c r="E423">
        <v>0</v>
      </c>
      <c r="F423">
        <v>28791</v>
      </c>
      <c r="G423">
        <v>129000</v>
      </c>
      <c r="H423">
        <v>149635</v>
      </c>
      <c r="I423">
        <v>235165</v>
      </c>
      <c r="J423">
        <v>75.7</v>
      </c>
    </row>
    <row r="424" spans="1:10" x14ac:dyDescent="0.2">
      <c r="A424">
        <v>2002</v>
      </c>
      <c r="B424" s="1" t="s">
        <v>23</v>
      </c>
      <c r="C424" s="1" t="s">
        <v>12</v>
      </c>
      <c r="D424">
        <v>0</v>
      </c>
      <c r="E424">
        <v>0</v>
      </c>
      <c r="F424">
        <v>8548</v>
      </c>
      <c r="G424">
        <v>75950</v>
      </c>
      <c r="H424">
        <v>87150</v>
      </c>
      <c r="I424">
        <v>138456</v>
      </c>
      <c r="J424">
        <v>75.7</v>
      </c>
    </row>
    <row r="425" spans="1:10" x14ac:dyDescent="0.2">
      <c r="A425">
        <v>2002</v>
      </c>
      <c r="B425" s="1" t="s">
        <v>23</v>
      </c>
      <c r="C425" s="1" t="s">
        <v>13</v>
      </c>
      <c r="D425">
        <v>0</v>
      </c>
      <c r="E425">
        <v>0</v>
      </c>
      <c r="F425">
        <v>41047</v>
      </c>
      <c r="G425">
        <v>69950</v>
      </c>
      <c r="H425">
        <v>77838</v>
      </c>
      <c r="I425">
        <v>127518</v>
      </c>
      <c r="J425">
        <v>75.7</v>
      </c>
    </row>
    <row r="426" spans="1:10" x14ac:dyDescent="0.2">
      <c r="A426">
        <v>2002</v>
      </c>
      <c r="B426" s="1" t="s">
        <v>23</v>
      </c>
      <c r="C426" s="1" t="s">
        <v>14</v>
      </c>
      <c r="D426">
        <v>0</v>
      </c>
      <c r="E426">
        <v>0</v>
      </c>
      <c r="F426">
        <v>46763</v>
      </c>
      <c r="G426">
        <v>46500</v>
      </c>
      <c r="H426">
        <v>56477</v>
      </c>
      <c r="I426">
        <v>84769</v>
      </c>
      <c r="J426">
        <v>75.7</v>
      </c>
    </row>
    <row r="427" spans="1:10" x14ac:dyDescent="0.2">
      <c r="A427">
        <v>2002</v>
      </c>
      <c r="B427" s="1" t="s">
        <v>10</v>
      </c>
      <c r="C427" s="1" t="s">
        <v>24</v>
      </c>
      <c r="D427">
        <v>0</v>
      </c>
      <c r="E427">
        <v>1</v>
      </c>
      <c r="F427">
        <v>114768</v>
      </c>
      <c r="G427">
        <v>85000</v>
      </c>
      <c r="H427">
        <v>102418</v>
      </c>
      <c r="I427">
        <v>154954</v>
      </c>
      <c r="J427">
        <v>75.7</v>
      </c>
    </row>
    <row r="428" spans="1:10" x14ac:dyDescent="0.2">
      <c r="A428">
        <v>2002</v>
      </c>
      <c r="B428" s="1" t="s">
        <v>15</v>
      </c>
      <c r="C428" s="1" t="s">
        <v>24</v>
      </c>
      <c r="D428">
        <v>0</v>
      </c>
      <c r="E428">
        <v>1</v>
      </c>
      <c r="F428">
        <v>150175</v>
      </c>
      <c r="G428">
        <v>125000</v>
      </c>
      <c r="H428">
        <v>149339</v>
      </c>
      <c r="I428">
        <v>227873</v>
      </c>
      <c r="J428">
        <v>75.7</v>
      </c>
    </row>
    <row r="429" spans="1:10" x14ac:dyDescent="0.2">
      <c r="A429">
        <v>2002</v>
      </c>
      <c r="B429" s="1" t="s">
        <v>16</v>
      </c>
      <c r="C429" s="1" t="s">
        <v>24</v>
      </c>
      <c r="D429">
        <v>0</v>
      </c>
      <c r="E429">
        <v>1</v>
      </c>
      <c r="F429">
        <v>176949</v>
      </c>
      <c r="G429">
        <v>180500</v>
      </c>
      <c r="H429">
        <v>233437</v>
      </c>
      <c r="I429">
        <v>329049</v>
      </c>
      <c r="J429">
        <v>75.7</v>
      </c>
    </row>
    <row r="430" spans="1:10" x14ac:dyDescent="0.2">
      <c r="A430">
        <v>2002</v>
      </c>
      <c r="B430" s="1" t="s">
        <v>17</v>
      </c>
      <c r="C430" s="1" t="s">
        <v>24</v>
      </c>
      <c r="D430">
        <v>0</v>
      </c>
      <c r="E430">
        <v>1</v>
      </c>
      <c r="F430">
        <v>59596</v>
      </c>
      <c r="G430">
        <v>61500</v>
      </c>
      <c r="H430">
        <v>76607</v>
      </c>
      <c r="I430">
        <v>112114</v>
      </c>
      <c r="J430">
        <v>75.7</v>
      </c>
    </row>
    <row r="431" spans="1:10" x14ac:dyDescent="0.2">
      <c r="A431">
        <v>2002</v>
      </c>
      <c r="B431" s="1" t="s">
        <v>18</v>
      </c>
      <c r="C431" s="1" t="s">
        <v>24</v>
      </c>
      <c r="D431">
        <v>0</v>
      </c>
      <c r="E431">
        <v>1</v>
      </c>
      <c r="F431">
        <v>168624</v>
      </c>
      <c r="G431">
        <v>71000</v>
      </c>
      <c r="H431">
        <v>89007</v>
      </c>
      <c r="I431">
        <v>129432</v>
      </c>
      <c r="J431">
        <v>75.7</v>
      </c>
    </row>
    <row r="432" spans="1:10" x14ac:dyDescent="0.2">
      <c r="A432">
        <v>2002</v>
      </c>
      <c r="B432" s="1" t="s">
        <v>19</v>
      </c>
      <c r="C432" s="1" t="s">
        <v>24</v>
      </c>
      <c r="D432">
        <v>0</v>
      </c>
      <c r="E432">
        <v>1</v>
      </c>
      <c r="F432">
        <v>225822</v>
      </c>
      <c r="G432">
        <v>148000</v>
      </c>
      <c r="H432">
        <v>181368</v>
      </c>
      <c r="I432">
        <v>269802</v>
      </c>
      <c r="J432">
        <v>75.7</v>
      </c>
    </row>
    <row r="433" spans="1:10" x14ac:dyDescent="0.2">
      <c r="A433">
        <v>2002</v>
      </c>
      <c r="B433" s="1" t="s">
        <v>20</v>
      </c>
      <c r="C433" s="1" t="s">
        <v>24</v>
      </c>
      <c r="D433">
        <v>0</v>
      </c>
      <c r="E433">
        <v>1</v>
      </c>
      <c r="F433">
        <v>139783</v>
      </c>
      <c r="G433">
        <v>123000</v>
      </c>
      <c r="H433">
        <v>144305</v>
      </c>
      <c r="I433">
        <v>224227</v>
      </c>
      <c r="J433">
        <v>75.7</v>
      </c>
    </row>
    <row r="434" spans="1:10" x14ac:dyDescent="0.2">
      <c r="A434">
        <v>2002</v>
      </c>
      <c r="B434" s="1" t="s">
        <v>21</v>
      </c>
      <c r="C434" s="1" t="s">
        <v>24</v>
      </c>
      <c r="D434">
        <v>0</v>
      </c>
      <c r="E434">
        <v>1</v>
      </c>
      <c r="F434">
        <v>67398</v>
      </c>
      <c r="G434">
        <v>71000</v>
      </c>
      <c r="H434">
        <v>86370</v>
      </c>
      <c r="I434">
        <v>129432</v>
      </c>
      <c r="J434">
        <v>75.7</v>
      </c>
    </row>
    <row r="435" spans="1:10" x14ac:dyDescent="0.2">
      <c r="A435">
        <v>2002</v>
      </c>
      <c r="B435" s="1" t="s">
        <v>22</v>
      </c>
      <c r="C435" s="1" t="s">
        <v>24</v>
      </c>
      <c r="D435">
        <v>0</v>
      </c>
      <c r="E435">
        <v>1</v>
      </c>
      <c r="F435">
        <v>120571</v>
      </c>
      <c r="G435">
        <v>89950</v>
      </c>
      <c r="H435">
        <v>111278</v>
      </c>
      <c r="I435">
        <v>163978</v>
      </c>
      <c r="J435">
        <v>75.7</v>
      </c>
    </row>
    <row r="436" spans="1:10" x14ac:dyDescent="0.2">
      <c r="A436">
        <v>2002</v>
      </c>
      <c r="B436" s="1" t="s">
        <v>23</v>
      </c>
      <c r="C436" s="1" t="s">
        <v>24</v>
      </c>
      <c r="D436">
        <v>0</v>
      </c>
      <c r="E436">
        <v>1</v>
      </c>
      <c r="F436">
        <v>125149</v>
      </c>
      <c r="G436">
        <v>70000</v>
      </c>
      <c r="H436">
        <v>87009</v>
      </c>
      <c r="I436">
        <v>127609</v>
      </c>
      <c r="J436">
        <v>75.7</v>
      </c>
    </row>
    <row r="437" spans="1:10" x14ac:dyDescent="0.2">
      <c r="A437">
        <v>2002</v>
      </c>
      <c r="B437" s="1" t="s">
        <v>25</v>
      </c>
      <c r="C437" s="1" t="s">
        <v>11</v>
      </c>
      <c r="D437">
        <v>1</v>
      </c>
      <c r="E437">
        <v>0</v>
      </c>
      <c r="F437">
        <v>313163</v>
      </c>
      <c r="G437">
        <v>169950</v>
      </c>
      <c r="H437">
        <v>207419</v>
      </c>
      <c r="I437">
        <v>309816</v>
      </c>
      <c r="J437">
        <v>75.7</v>
      </c>
    </row>
    <row r="438" spans="1:10" x14ac:dyDescent="0.2">
      <c r="A438">
        <v>2002</v>
      </c>
      <c r="B438" s="1" t="s">
        <v>25</v>
      </c>
      <c r="C438" s="1" t="s">
        <v>12</v>
      </c>
      <c r="D438">
        <v>1</v>
      </c>
      <c r="E438">
        <v>0</v>
      </c>
      <c r="F438">
        <v>230493</v>
      </c>
      <c r="G438">
        <v>111000</v>
      </c>
      <c r="H438">
        <v>138371</v>
      </c>
      <c r="I438">
        <v>202351</v>
      </c>
      <c r="J438">
        <v>75.7</v>
      </c>
    </row>
    <row r="439" spans="1:10" x14ac:dyDescent="0.2">
      <c r="A439">
        <v>2002</v>
      </c>
      <c r="B439" s="1" t="s">
        <v>25</v>
      </c>
      <c r="C439" s="1" t="s">
        <v>13</v>
      </c>
      <c r="D439">
        <v>1</v>
      </c>
      <c r="E439">
        <v>0</v>
      </c>
      <c r="F439">
        <v>373028</v>
      </c>
      <c r="G439">
        <v>97500</v>
      </c>
      <c r="H439">
        <v>119646</v>
      </c>
      <c r="I439">
        <v>177741</v>
      </c>
      <c r="J439">
        <v>75.7</v>
      </c>
    </row>
    <row r="440" spans="1:10" x14ac:dyDescent="0.2">
      <c r="A440">
        <v>2002</v>
      </c>
      <c r="B440" s="1" t="s">
        <v>25</v>
      </c>
      <c r="C440" s="1" t="s">
        <v>14</v>
      </c>
      <c r="D440">
        <v>1</v>
      </c>
      <c r="E440">
        <v>0</v>
      </c>
      <c r="F440">
        <v>433367</v>
      </c>
      <c r="G440">
        <v>81000</v>
      </c>
      <c r="H440">
        <v>103905</v>
      </c>
      <c r="I440">
        <v>147662</v>
      </c>
      <c r="J440">
        <v>75.7</v>
      </c>
    </row>
    <row r="441" spans="1:10" x14ac:dyDescent="0.2">
      <c r="A441">
        <v>2002</v>
      </c>
      <c r="B441" s="1" t="s">
        <v>25</v>
      </c>
      <c r="C441" s="1" t="s">
        <v>24</v>
      </c>
      <c r="D441">
        <v>1</v>
      </c>
      <c r="E441">
        <v>1</v>
      </c>
      <c r="F441">
        <v>1350051</v>
      </c>
      <c r="G441">
        <v>110000</v>
      </c>
      <c r="H441">
        <v>138150</v>
      </c>
      <c r="I441">
        <v>200528</v>
      </c>
      <c r="J441">
        <v>75.7</v>
      </c>
    </row>
    <row r="442" spans="1:10" x14ac:dyDescent="0.2">
      <c r="A442">
        <v>2003</v>
      </c>
      <c r="B442" s="1" t="s">
        <v>10</v>
      </c>
      <c r="C442" s="1" t="s">
        <v>11</v>
      </c>
      <c r="D442">
        <v>0</v>
      </c>
      <c r="E442">
        <v>0</v>
      </c>
      <c r="F442">
        <v>33374</v>
      </c>
      <c r="G442">
        <v>167000</v>
      </c>
      <c r="H442">
        <v>188113</v>
      </c>
      <c r="I442">
        <v>300469</v>
      </c>
      <c r="J442">
        <v>76.7</v>
      </c>
    </row>
    <row r="443" spans="1:10" x14ac:dyDescent="0.2">
      <c r="A443">
        <v>2003</v>
      </c>
      <c r="B443" s="1" t="s">
        <v>10</v>
      </c>
      <c r="C443" s="1" t="s">
        <v>12</v>
      </c>
      <c r="D443">
        <v>0</v>
      </c>
      <c r="E443">
        <v>0</v>
      </c>
      <c r="F443">
        <v>6535</v>
      </c>
      <c r="G443">
        <v>87000</v>
      </c>
      <c r="H443">
        <v>97074</v>
      </c>
      <c r="I443">
        <v>156532</v>
      </c>
      <c r="J443">
        <v>76.7</v>
      </c>
    </row>
    <row r="444" spans="1:10" x14ac:dyDescent="0.2">
      <c r="A444">
        <v>2003</v>
      </c>
      <c r="B444" s="1" t="s">
        <v>10</v>
      </c>
      <c r="C444" s="1" t="s">
        <v>13</v>
      </c>
      <c r="D444">
        <v>0</v>
      </c>
      <c r="E444">
        <v>0</v>
      </c>
      <c r="F444">
        <v>34133</v>
      </c>
      <c r="G444">
        <v>97000</v>
      </c>
      <c r="H444">
        <v>104887</v>
      </c>
      <c r="I444">
        <v>174524</v>
      </c>
      <c r="J444">
        <v>76.7</v>
      </c>
    </row>
    <row r="445" spans="1:10" x14ac:dyDescent="0.2">
      <c r="A445">
        <v>2003</v>
      </c>
      <c r="B445" s="1" t="s">
        <v>10</v>
      </c>
      <c r="C445" s="1" t="s">
        <v>14</v>
      </c>
      <c r="D445">
        <v>0</v>
      </c>
      <c r="E445">
        <v>0</v>
      </c>
      <c r="F445">
        <v>29974</v>
      </c>
      <c r="G445">
        <v>78000</v>
      </c>
      <c r="H445">
        <v>84632</v>
      </c>
      <c r="I445">
        <v>140339</v>
      </c>
      <c r="J445">
        <v>76.7</v>
      </c>
    </row>
    <row r="446" spans="1:10" x14ac:dyDescent="0.2">
      <c r="A446">
        <v>2003</v>
      </c>
      <c r="B446" s="1" t="s">
        <v>15</v>
      </c>
      <c r="C446" s="1" t="s">
        <v>11</v>
      </c>
      <c r="D446">
        <v>0</v>
      </c>
      <c r="E446">
        <v>0</v>
      </c>
      <c r="F446">
        <v>36703</v>
      </c>
      <c r="G446">
        <v>215000</v>
      </c>
      <c r="H446">
        <v>253245</v>
      </c>
      <c r="I446">
        <v>386832</v>
      </c>
      <c r="J446">
        <v>76.7</v>
      </c>
    </row>
    <row r="447" spans="1:10" x14ac:dyDescent="0.2">
      <c r="A447">
        <v>2003</v>
      </c>
      <c r="B447" s="1" t="s">
        <v>15</v>
      </c>
      <c r="C447" s="1" t="s">
        <v>12</v>
      </c>
      <c r="D447">
        <v>0</v>
      </c>
      <c r="E447">
        <v>0</v>
      </c>
      <c r="F447">
        <v>21395</v>
      </c>
      <c r="G447">
        <v>105000</v>
      </c>
      <c r="H447">
        <v>115550</v>
      </c>
      <c r="I447">
        <v>188918</v>
      </c>
      <c r="J447">
        <v>76.7</v>
      </c>
    </row>
    <row r="448" spans="1:10" x14ac:dyDescent="0.2">
      <c r="A448">
        <v>2003</v>
      </c>
      <c r="B448" s="1" t="s">
        <v>15</v>
      </c>
      <c r="C448" s="1" t="s">
        <v>13</v>
      </c>
      <c r="D448">
        <v>0</v>
      </c>
      <c r="E448">
        <v>0</v>
      </c>
      <c r="F448">
        <v>36302</v>
      </c>
      <c r="G448">
        <v>148000</v>
      </c>
      <c r="H448">
        <v>161738</v>
      </c>
      <c r="I448">
        <v>266284</v>
      </c>
      <c r="J448">
        <v>76.7</v>
      </c>
    </row>
    <row r="449" spans="1:10" x14ac:dyDescent="0.2">
      <c r="A449">
        <v>2003</v>
      </c>
      <c r="B449" s="1" t="s">
        <v>15</v>
      </c>
      <c r="C449" s="1" t="s">
        <v>14</v>
      </c>
      <c r="D449">
        <v>0</v>
      </c>
      <c r="E449">
        <v>0</v>
      </c>
      <c r="F449">
        <v>39076</v>
      </c>
      <c r="G449">
        <v>126000</v>
      </c>
      <c r="H449">
        <v>136179</v>
      </c>
      <c r="I449">
        <v>226701</v>
      </c>
      <c r="J449">
        <v>76.7</v>
      </c>
    </row>
    <row r="450" spans="1:10" x14ac:dyDescent="0.2">
      <c r="A450">
        <v>2003</v>
      </c>
      <c r="B450" s="1" t="s">
        <v>16</v>
      </c>
      <c r="C450" s="1" t="s">
        <v>11</v>
      </c>
      <c r="D450">
        <v>0</v>
      </c>
      <c r="E450">
        <v>0</v>
      </c>
      <c r="F450">
        <v>5985</v>
      </c>
      <c r="G450">
        <v>390000</v>
      </c>
      <c r="H450">
        <v>508883</v>
      </c>
      <c r="I450">
        <v>701695</v>
      </c>
      <c r="J450">
        <v>76.7</v>
      </c>
    </row>
    <row r="451" spans="1:10" x14ac:dyDescent="0.2">
      <c r="A451">
        <v>2003</v>
      </c>
      <c r="B451" s="1" t="s">
        <v>16</v>
      </c>
      <c r="C451" s="1" t="s">
        <v>12</v>
      </c>
      <c r="D451">
        <v>0</v>
      </c>
      <c r="E451">
        <v>0</v>
      </c>
      <c r="F451">
        <v>74896</v>
      </c>
      <c r="G451">
        <v>173000</v>
      </c>
      <c r="H451">
        <v>216498</v>
      </c>
      <c r="I451">
        <v>311265</v>
      </c>
      <c r="J451">
        <v>76.7</v>
      </c>
    </row>
    <row r="452" spans="1:10" x14ac:dyDescent="0.2">
      <c r="A452">
        <v>2003</v>
      </c>
      <c r="B452" s="1" t="s">
        <v>16</v>
      </c>
      <c r="C452" s="1" t="s">
        <v>13</v>
      </c>
      <c r="D452">
        <v>0</v>
      </c>
      <c r="E452">
        <v>0</v>
      </c>
      <c r="F452">
        <v>23716</v>
      </c>
      <c r="G452">
        <v>244997</v>
      </c>
      <c r="H452">
        <v>283746</v>
      </c>
      <c r="I452">
        <v>440803</v>
      </c>
      <c r="J452">
        <v>76.7</v>
      </c>
    </row>
    <row r="453" spans="1:10" x14ac:dyDescent="0.2">
      <c r="A453">
        <v>2003</v>
      </c>
      <c r="B453" s="1" t="s">
        <v>16</v>
      </c>
      <c r="C453" s="1" t="s">
        <v>14</v>
      </c>
      <c r="D453">
        <v>0</v>
      </c>
      <c r="E453">
        <v>0</v>
      </c>
      <c r="F453">
        <v>47844</v>
      </c>
      <c r="G453">
        <v>204950</v>
      </c>
      <c r="H453">
        <v>257889</v>
      </c>
      <c r="I453">
        <v>368750</v>
      </c>
      <c r="J453">
        <v>76.7</v>
      </c>
    </row>
    <row r="454" spans="1:10" x14ac:dyDescent="0.2">
      <c r="A454">
        <v>2003</v>
      </c>
      <c r="B454" s="1" t="s">
        <v>17</v>
      </c>
      <c r="C454" s="1" t="s">
        <v>11</v>
      </c>
      <c r="D454">
        <v>0</v>
      </c>
      <c r="E454">
        <v>0</v>
      </c>
      <c r="F454">
        <v>10775</v>
      </c>
      <c r="G454">
        <v>155000</v>
      </c>
      <c r="H454">
        <v>174521</v>
      </c>
      <c r="I454">
        <v>278879</v>
      </c>
      <c r="J454">
        <v>76.7</v>
      </c>
    </row>
    <row r="455" spans="1:10" x14ac:dyDescent="0.2">
      <c r="A455">
        <v>2003</v>
      </c>
      <c r="B455" s="1" t="s">
        <v>17</v>
      </c>
      <c r="C455" s="1" t="s">
        <v>12</v>
      </c>
      <c r="D455">
        <v>0</v>
      </c>
      <c r="E455">
        <v>0</v>
      </c>
      <c r="F455">
        <v>8703</v>
      </c>
      <c r="G455">
        <v>64000</v>
      </c>
      <c r="H455">
        <v>81092</v>
      </c>
      <c r="I455">
        <v>115150</v>
      </c>
      <c r="J455">
        <v>76.7</v>
      </c>
    </row>
    <row r="456" spans="1:10" x14ac:dyDescent="0.2">
      <c r="A456">
        <v>2003</v>
      </c>
      <c r="B456" s="1" t="s">
        <v>17</v>
      </c>
      <c r="C456" s="1" t="s">
        <v>13</v>
      </c>
      <c r="D456">
        <v>0</v>
      </c>
      <c r="E456">
        <v>0</v>
      </c>
      <c r="F456">
        <v>16964</v>
      </c>
      <c r="G456">
        <v>85000</v>
      </c>
      <c r="H456">
        <v>92730</v>
      </c>
      <c r="I456">
        <v>152934</v>
      </c>
      <c r="J456">
        <v>76.7</v>
      </c>
    </row>
    <row r="457" spans="1:10" x14ac:dyDescent="0.2">
      <c r="A457">
        <v>2003</v>
      </c>
      <c r="B457" s="1" t="s">
        <v>17</v>
      </c>
      <c r="C457" s="1" t="s">
        <v>14</v>
      </c>
      <c r="D457">
        <v>0</v>
      </c>
      <c r="E457">
        <v>0</v>
      </c>
      <c r="F457">
        <v>24038</v>
      </c>
      <c r="G457">
        <v>53500</v>
      </c>
      <c r="H457">
        <v>65223</v>
      </c>
      <c r="I457">
        <v>96258</v>
      </c>
      <c r="J457">
        <v>76.7</v>
      </c>
    </row>
    <row r="458" spans="1:10" x14ac:dyDescent="0.2">
      <c r="A458">
        <v>2003</v>
      </c>
      <c r="B458" s="1" t="s">
        <v>18</v>
      </c>
      <c r="C458" s="1" t="s">
        <v>11</v>
      </c>
      <c r="D458">
        <v>0</v>
      </c>
      <c r="E458">
        <v>0</v>
      </c>
      <c r="F458">
        <v>28740</v>
      </c>
      <c r="G458">
        <v>171000</v>
      </c>
      <c r="H458">
        <v>200196</v>
      </c>
      <c r="I458">
        <v>307666</v>
      </c>
      <c r="J458">
        <v>76.7</v>
      </c>
    </row>
    <row r="459" spans="1:10" x14ac:dyDescent="0.2">
      <c r="A459">
        <v>2003</v>
      </c>
      <c r="B459" s="1" t="s">
        <v>18</v>
      </c>
      <c r="C459" s="1" t="s">
        <v>12</v>
      </c>
      <c r="D459">
        <v>0</v>
      </c>
      <c r="E459">
        <v>0</v>
      </c>
      <c r="F459">
        <v>17798</v>
      </c>
      <c r="G459">
        <v>93500</v>
      </c>
      <c r="H459">
        <v>105426</v>
      </c>
      <c r="I459">
        <v>168227</v>
      </c>
      <c r="J459">
        <v>76.7</v>
      </c>
    </row>
    <row r="460" spans="1:10" x14ac:dyDescent="0.2">
      <c r="A460">
        <v>2003</v>
      </c>
      <c r="B460" s="1" t="s">
        <v>18</v>
      </c>
      <c r="C460" s="1" t="s">
        <v>13</v>
      </c>
      <c r="D460">
        <v>0</v>
      </c>
      <c r="E460">
        <v>0</v>
      </c>
      <c r="F460">
        <v>53384</v>
      </c>
      <c r="G460">
        <v>94950</v>
      </c>
      <c r="H460">
        <v>105383</v>
      </c>
      <c r="I460">
        <v>170836</v>
      </c>
      <c r="J460">
        <v>76.7</v>
      </c>
    </row>
    <row r="461" spans="1:10" x14ac:dyDescent="0.2">
      <c r="A461">
        <v>2003</v>
      </c>
      <c r="B461" s="1" t="s">
        <v>18</v>
      </c>
      <c r="C461" s="1" t="s">
        <v>14</v>
      </c>
      <c r="D461">
        <v>0</v>
      </c>
      <c r="E461">
        <v>0</v>
      </c>
      <c r="F461">
        <v>67239</v>
      </c>
      <c r="G461">
        <v>55000</v>
      </c>
      <c r="H461">
        <v>63757</v>
      </c>
      <c r="I461">
        <v>98957</v>
      </c>
      <c r="J461">
        <v>76.7</v>
      </c>
    </row>
    <row r="462" spans="1:10" x14ac:dyDescent="0.2">
      <c r="A462">
        <v>2003</v>
      </c>
      <c r="B462" s="1" t="s">
        <v>19</v>
      </c>
      <c r="C462" s="1" t="s">
        <v>11</v>
      </c>
      <c r="D462">
        <v>0</v>
      </c>
      <c r="E462">
        <v>0</v>
      </c>
      <c r="F462">
        <v>47997</v>
      </c>
      <c r="G462">
        <v>279950</v>
      </c>
      <c r="H462">
        <v>332258</v>
      </c>
      <c r="I462">
        <v>503691</v>
      </c>
      <c r="J462">
        <v>76.7</v>
      </c>
    </row>
    <row r="463" spans="1:10" x14ac:dyDescent="0.2">
      <c r="A463">
        <v>2003</v>
      </c>
      <c r="B463" s="1" t="s">
        <v>19</v>
      </c>
      <c r="C463" s="1" t="s">
        <v>12</v>
      </c>
      <c r="D463">
        <v>0</v>
      </c>
      <c r="E463">
        <v>0</v>
      </c>
      <c r="F463">
        <v>40830</v>
      </c>
      <c r="G463">
        <v>120000</v>
      </c>
      <c r="H463">
        <v>132532</v>
      </c>
      <c r="I463">
        <v>215906</v>
      </c>
      <c r="J463">
        <v>76.7</v>
      </c>
    </row>
    <row r="464" spans="1:10" x14ac:dyDescent="0.2">
      <c r="A464">
        <v>2003</v>
      </c>
      <c r="B464" s="1" t="s">
        <v>19</v>
      </c>
      <c r="C464" s="1" t="s">
        <v>13</v>
      </c>
      <c r="D464">
        <v>0</v>
      </c>
      <c r="E464">
        <v>0</v>
      </c>
      <c r="F464">
        <v>51940</v>
      </c>
      <c r="G464">
        <v>177500</v>
      </c>
      <c r="H464">
        <v>190462</v>
      </c>
      <c r="I464">
        <v>319361</v>
      </c>
      <c r="J464">
        <v>76.7</v>
      </c>
    </row>
    <row r="465" spans="1:10" x14ac:dyDescent="0.2">
      <c r="A465">
        <v>2003</v>
      </c>
      <c r="B465" s="1" t="s">
        <v>19</v>
      </c>
      <c r="C465" s="1" t="s">
        <v>14</v>
      </c>
      <c r="D465">
        <v>0</v>
      </c>
      <c r="E465">
        <v>0</v>
      </c>
      <c r="F465">
        <v>54970</v>
      </c>
      <c r="G465">
        <v>144000</v>
      </c>
      <c r="H465">
        <v>155206</v>
      </c>
      <c r="I465">
        <v>259087</v>
      </c>
      <c r="J465">
        <v>76.7</v>
      </c>
    </row>
    <row r="466" spans="1:10" x14ac:dyDescent="0.2">
      <c r="A466">
        <v>2003</v>
      </c>
      <c r="B466" s="1" t="s">
        <v>20</v>
      </c>
      <c r="C466" s="1" t="s">
        <v>11</v>
      </c>
      <c r="D466">
        <v>0</v>
      </c>
      <c r="E466">
        <v>0</v>
      </c>
      <c r="F466">
        <v>34593</v>
      </c>
      <c r="G466">
        <v>225000</v>
      </c>
      <c r="H466">
        <v>252796</v>
      </c>
      <c r="I466">
        <v>404824</v>
      </c>
      <c r="J466">
        <v>76.7</v>
      </c>
    </row>
    <row r="467" spans="1:10" x14ac:dyDescent="0.2">
      <c r="A467">
        <v>2003</v>
      </c>
      <c r="B467" s="1" t="s">
        <v>20</v>
      </c>
      <c r="C467" s="1" t="s">
        <v>12</v>
      </c>
      <c r="D467">
        <v>0</v>
      </c>
      <c r="E467">
        <v>0</v>
      </c>
      <c r="F467">
        <v>21317</v>
      </c>
      <c r="G467">
        <v>108000</v>
      </c>
      <c r="H467">
        <v>124753</v>
      </c>
      <c r="I467">
        <v>194316</v>
      </c>
      <c r="J467">
        <v>76.7</v>
      </c>
    </row>
    <row r="468" spans="1:10" x14ac:dyDescent="0.2">
      <c r="A468">
        <v>2003</v>
      </c>
      <c r="B468" s="1" t="s">
        <v>20</v>
      </c>
      <c r="C468" s="1" t="s">
        <v>13</v>
      </c>
      <c r="D468">
        <v>0</v>
      </c>
      <c r="E468">
        <v>0</v>
      </c>
      <c r="F468">
        <v>29582</v>
      </c>
      <c r="G468">
        <v>141000</v>
      </c>
      <c r="H468">
        <v>152319</v>
      </c>
      <c r="I468">
        <v>253690</v>
      </c>
      <c r="J468">
        <v>76.7</v>
      </c>
    </row>
    <row r="469" spans="1:10" x14ac:dyDescent="0.2">
      <c r="A469">
        <v>2003</v>
      </c>
      <c r="B469" s="1" t="s">
        <v>20</v>
      </c>
      <c r="C469" s="1" t="s">
        <v>14</v>
      </c>
      <c r="D469">
        <v>0</v>
      </c>
      <c r="E469">
        <v>0</v>
      </c>
      <c r="F469">
        <v>38727</v>
      </c>
      <c r="G469">
        <v>120000</v>
      </c>
      <c r="H469">
        <v>131276</v>
      </c>
      <c r="I469">
        <v>215906</v>
      </c>
      <c r="J469">
        <v>76.7</v>
      </c>
    </row>
    <row r="470" spans="1:10" x14ac:dyDescent="0.2">
      <c r="A470">
        <v>2003</v>
      </c>
      <c r="B470" s="1" t="s">
        <v>21</v>
      </c>
      <c r="C470" s="1" t="s">
        <v>11</v>
      </c>
      <c r="D470">
        <v>0</v>
      </c>
      <c r="E470">
        <v>0</v>
      </c>
      <c r="F470">
        <v>18432</v>
      </c>
      <c r="G470">
        <v>146858</v>
      </c>
      <c r="H470">
        <v>160230</v>
      </c>
      <c r="I470">
        <v>264229</v>
      </c>
      <c r="J470">
        <v>76.7</v>
      </c>
    </row>
    <row r="471" spans="1:10" x14ac:dyDescent="0.2">
      <c r="A471">
        <v>2003</v>
      </c>
      <c r="B471" s="1" t="s">
        <v>21</v>
      </c>
      <c r="C471" s="1" t="s">
        <v>12</v>
      </c>
      <c r="D471">
        <v>0</v>
      </c>
      <c r="E471">
        <v>0</v>
      </c>
      <c r="F471">
        <v>4023</v>
      </c>
      <c r="G471">
        <v>86000</v>
      </c>
      <c r="H471">
        <v>97680</v>
      </c>
      <c r="I471">
        <v>154733</v>
      </c>
      <c r="J471">
        <v>76.7</v>
      </c>
    </row>
    <row r="472" spans="1:10" x14ac:dyDescent="0.2">
      <c r="A472">
        <v>2003</v>
      </c>
      <c r="B472" s="1" t="s">
        <v>21</v>
      </c>
      <c r="C472" s="1" t="s">
        <v>13</v>
      </c>
      <c r="D472">
        <v>0</v>
      </c>
      <c r="E472">
        <v>0</v>
      </c>
      <c r="F472">
        <v>18058</v>
      </c>
      <c r="G472">
        <v>85000</v>
      </c>
      <c r="H472">
        <v>91972</v>
      </c>
      <c r="I472">
        <v>152934</v>
      </c>
      <c r="J472">
        <v>76.7</v>
      </c>
    </row>
    <row r="473" spans="1:10" x14ac:dyDescent="0.2">
      <c r="A473">
        <v>2003</v>
      </c>
      <c r="B473" s="1" t="s">
        <v>21</v>
      </c>
      <c r="C473" s="1" t="s">
        <v>14</v>
      </c>
      <c r="D473">
        <v>0</v>
      </c>
      <c r="E473">
        <v>0</v>
      </c>
      <c r="F473">
        <v>23477</v>
      </c>
      <c r="G473">
        <v>63000</v>
      </c>
      <c r="H473">
        <v>71619</v>
      </c>
      <c r="I473">
        <v>113351</v>
      </c>
      <c r="J473">
        <v>76.7</v>
      </c>
    </row>
    <row r="474" spans="1:10" x14ac:dyDescent="0.2">
      <c r="A474">
        <v>2003</v>
      </c>
      <c r="B474" s="1" t="s">
        <v>22</v>
      </c>
      <c r="C474" s="1" t="s">
        <v>11</v>
      </c>
      <c r="D474">
        <v>0</v>
      </c>
      <c r="E474">
        <v>0</v>
      </c>
      <c r="F474">
        <v>25915</v>
      </c>
      <c r="G474">
        <v>192495</v>
      </c>
      <c r="H474">
        <v>220286</v>
      </c>
      <c r="I474">
        <v>346340</v>
      </c>
      <c r="J474">
        <v>76.7</v>
      </c>
    </row>
    <row r="475" spans="1:10" x14ac:dyDescent="0.2">
      <c r="A475">
        <v>2003</v>
      </c>
      <c r="B475" s="1" t="s">
        <v>22</v>
      </c>
      <c r="C475" s="1" t="s">
        <v>12</v>
      </c>
      <c r="D475">
        <v>0</v>
      </c>
      <c r="E475">
        <v>0</v>
      </c>
      <c r="F475">
        <v>12327</v>
      </c>
      <c r="G475">
        <v>88750</v>
      </c>
      <c r="H475">
        <v>102868</v>
      </c>
      <c r="I475">
        <v>159681</v>
      </c>
      <c r="J475">
        <v>76.7</v>
      </c>
    </row>
    <row r="476" spans="1:10" x14ac:dyDescent="0.2">
      <c r="A476">
        <v>2003</v>
      </c>
      <c r="B476" s="1" t="s">
        <v>22</v>
      </c>
      <c r="C476" s="1" t="s">
        <v>13</v>
      </c>
      <c r="D476">
        <v>0</v>
      </c>
      <c r="E476">
        <v>0</v>
      </c>
      <c r="F476">
        <v>36821</v>
      </c>
      <c r="G476">
        <v>108000</v>
      </c>
      <c r="H476">
        <v>116401</v>
      </c>
      <c r="I476">
        <v>194316</v>
      </c>
      <c r="J476">
        <v>76.7</v>
      </c>
    </row>
    <row r="477" spans="1:10" x14ac:dyDescent="0.2">
      <c r="A477">
        <v>2003</v>
      </c>
      <c r="B477" s="1" t="s">
        <v>22</v>
      </c>
      <c r="C477" s="1" t="s">
        <v>14</v>
      </c>
      <c r="D477">
        <v>0</v>
      </c>
      <c r="E477">
        <v>0</v>
      </c>
      <c r="F477">
        <v>35517</v>
      </c>
      <c r="G477">
        <v>83500</v>
      </c>
      <c r="H477">
        <v>90835</v>
      </c>
      <c r="I477">
        <v>150235</v>
      </c>
      <c r="J477">
        <v>76.7</v>
      </c>
    </row>
    <row r="478" spans="1:10" x14ac:dyDescent="0.2">
      <c r="A478">
        <v>2003</v>
      </c>
      <c r="B478" s="1" t="s">
        <v>23</v>
      </c>
      <c r="C478" s="1" t="s">
        <v>11</v>
      </c>
      <c r="D478">
        <v>0</v>
      </c>
      <c r="E478">
        <v>0</v>
      </c>
      <c r="F478">
        <v>25305</v>
      </c>
      <c r="G478">
        <v>161950</v>
      </c>
      <c r="H478">
        <v>184742</v>
      </c>
      <c r="I478">
        <v>291383</v>
      </c>
      <c r="J478">
        <v>76.7</v>
      </c>
    </row>
    <row r="479" spans="1:10" x14ac:dyDescent="0.2">
      <c r="A479">
        <v>2003</v>
      </c>
      <c r="B479" s="1" t="s">
        <v>23</v>
      </c>
      <c r="C479" s="1" t="s">
        <v>12</v>
      </c>
      <c r="D479">
        <v>0</v>
      </c>
      <c r="E479">
        <v>0</v>
      </c>
      <c r="F479">
        <v>10283</v>
      </c>
      <c r="G479">
        <v>94000</v>
      </c>
      <c r="H479">
        <v>104845</v>
      </c>
      <c r="I479">
        <v>169126</v>
      </c>
      <c r="J479">
        <v>76.7</v>
      </c>
    </row>
    <row r="480" spans="1:10" x14ac:dyDescent="0.2">
      <c r="A480">
        <v>2003</v>
      </c>
      <c r="B480" s="1" t="s">
        <v>23</v>
      </c>
      <c r="C480" s="1" t="s">
        <v>13</v>
      </c>
      <c r="D480">
        <v>0</v>
      </c>
      <c r="E480">
        <v>0</v>
      </c>
      <c r="F480">
        <v>38950</v>
      </c>
      <c r="G480">
        <v>89500</v>
      </c>
      <c r="H480">
        <v>98481</v>
      </c>
      <c r="I480">
        <v>161030</v>
      </c>
      <c r="J480">
        <v>76.7</v>
      </c>
    </row>
    <row r="481" spans="1:10" x14ac:dyDescent="0.2">
      <c r="A481">
        <v>2003</v>
      </c>
      <c r="B481" s="1" t="s">
        <v>23</v>
      </c>
      <c r="C481" s="1" t="s">
        <v>14</v>
      </c>
      <c r="D481">
        <v>0</v>
      </c>
      <c r="E481">
        <v>0</v>
      </c>
      <c r="F481">
        <v>47079</v>
      </c>
      <c r="G481">
        <v>59950</v>
      </c>
      <c r="H481">
        <v>70061</v>
      </c>
      <c r="I481">
        <v>107863</v>
      </c>
      <c r="J481">
        <v>76.7</v>
      </c>
    </row>
    <row r="482" spans="1:10" x14ac:dyDescent="0.2">
      <c r="A482">
        <v>2003</v>
      </c>
      <c r="B482" s="1" t="s">
        <v>10</v>
      </c>
      <c r="C482" s="1" t="s">
        <v>24</v>
      </c>
      <c r="D482">
        <v>0</v>
      </c>
      <c r="E482">
        <v>1</v>
      </c>
      <c r="F482">
        <v>104016</v>
      </c>
      <c r="G482">
        <v>107000</v>
      </c>
      <c r="H482">
        <v>125263</v>
      </c>
      <c r="I482">
        <v>192516</v>
      </c>
      <c r="J482">
        <v>76.7</v>
      </c>
    </row>
    <row r="483" spans="1:10" x14ac:dyDescent="0.2">
      <c r="A483">
        <v>2003</v>
      </c>
      <c r="B483" s="1" t="s">
        <v>15</v>
      </c>
      <c r="C483" s="1" t="s">
        <v>24</v>
      </c>
      <c r="D483">
        <v>0</v>
      </c>
      <c r="E483">
        <v>1</v>
      </c>
      <c r="F483">
        <v>133476</v>
      </c>
      <c r="G483">
        <v>145500</v>
      </c>
      <c r="H483">
        <v>172015</v>
      </c>
      <c r="I483">
        <v>261786</v>
      </c>
      <c r="J483">
        <v>76.7</v>
      </c>
    </row>
    <row r="484" spans="1:10" x14ac:dyDescent="0.2">
      <c r="A484">
        <v>2003</v>
      </c>
      <c r="B484" s="1" t="s">
        <v>16</v>
      </c>
      <c r="C484" s="1" t="s">
        <v>24</v>
      </c>
      <c r="D484">
        <v>0</v>
      </c>
      <c r="E484">
        <v>1</v>
      </c>
      <c r="F484">
        <v>152441</v>
      </c>
      <c r="G484">
        <v>200000</v>
      </c>
      <c r="H484">
        <v>251430</v>
      </c>
      <c r="I484">
        <v>359844</v>
      </c>
      <c r="J484">
        <v>76.7</v>
      </c>
    </row>
    <row r="485" spans="1:10" x14ac:dyDescent="0.2">
      <c r="A485">
        <v>2003</v>
      </c>
      <c r="B485" s="1" t="s">
        <v>17</v>
      </c>
      <c r="C485" s="1" t="s">
        <v>24</v>
      </c>
      <c r="D485">
        <v>0</v>
      </c>
      <c r="E485">
        <v>1</v>
      </c>
      <c r="F485">
        <v>60480</v>
      </c>
      <c r="G485">
        <v>78000</v>
      </c>
      <c r="H485">
        <v>94694</v>
      </c>
      <c r="I485">
        <v>140339</v>
      </c>
      <c r="J485">
        <v>76.7</v>
      </c>
    </row>
    <row r="486" spans="1:10" x14ac:dyDescent="0.2">
      <c r="A486">
        <v>2003</v>
      </c>
      <c r="B486" s="1" t="s">
        <v>18</v>
      </c>
      <c r="C486" s="1" t="s">
        <v>24</v>
      </c>
      <c r="D486">
        <v>0</v>
      </c>
      <c r="E486">
        <v>1</v>
      </c>
      <c r="F486">
        <v>167161</v>
      </c>
      <c r="G486">
        <v>85000</v>
      </c>
      <c r="H486">
        <v>104945</v>
      </c>
      <c r="I486">
        <v>152934</v>
      </c>
      <c r="J486">
        <v>76.7</v>
      </c>
    </row>
    <row r="487" spans="1:10" x14ac:dyDescent="0.2">
      <c r="A487">
        <v>2003</v>
      </c>
      <c r="B487" s="1" t="s">
        <v>19</v>
      </c>
      <c r="C487" s="1" t="s">
        <v>24</v>
      </c>
      <c r="D487">
        <v>0</v>
      </c>
      <c r="E487">
        <v>1</v>
      </c>
      <c r="F487">
        <v>195737</v>
      </c>
      <c r="G487">
        <v>169950</v>
      </c>
      <c r="H487">
        <v>203247</v>
      </c>
      <c r="I487">
        <v>305777</v>
      </c>
      <c r="J487">
        <v>76.7</v>
      </c>
    </row>
    <row r="488" spans="1:10" x14ac:dyDescent="0.2">
      <c r="A488">
        <v>2003</v>
      </c>
      <c r="B488" s="1" t="s">
        <v>20</v>
      </c>
      <c r="C488" s="1" t="s">
        <v>24</v>
      </c>
      <c r="D488">
        <v>0</v>
      </c>
      <c r="E488">
        <v>1</v>
      </c>
      <c r="F488">
        <v>124219</v>
      </c>
      <c r="G488">
        <v>145000</v>
      </c>
      <c r="H488">
        <v>169009</v>
      </c>
      <c r="I488">
        <v>260887</v>
      </c>
      <c r="J488">
        <v>76.7</v>
      </c>
    </row>
    <row r="489" spans="1:10" x14ac:dyDescent="0.2">
      <c r="A489">
        <v>2003</v>
      </c>
      <c r="B489" s="1" t="s">
        <v>21</v>
      </c>
      <c r="C489" s="1" t="s">
        <v>24</v>
      </c>
      <c r="D489">
        <v>0</v>
      </c>
      <c r="E489">
        <v>1</v>
      </c>
      <c r="F489">
        <v>63990</v>
      </c>
      <c r="G489">
        <v>88000</v>
      </c>
      <c r="H489">
        <v>104525</v>
      </c>
      <c r="I489">
        <v>158331</v>
      </c>
      <c r="J489">
        <v>76.7</v>
      </c>
    </row>
    <row r="490" spans="1:10" x14ac:dyDescent="0.2">
      <c r="A490">
        <v>2003</v>
      </c>
      <c r="B490" s="1" t="s">
        <v>22</v>
      </c>
      <c r="C490" s="1" t="s">
        <v>24</v>
      </c>
      <c r="D490">
        <v>0</v>
      </c>
      <c r="E490">
        <v>1</v>
      </c>
      <c r="F490">
        <v>110580</v>
      </c>
      <c r="G490">
        <v>110000</v>
      </c>
      <c r="H490">
        <v>131027</v>
      </c>
      <c r="I490">
        <v>197914</v>
      </c>
      <c r="J490">
        <v>76.7</v>
      </c>
    </row>
    <row r="491" spans="1:10" x14ac:dyDescent="0.2">
      <c r="A491">
        <v>2003</v>
      </c>
      <c r="B491" s="1" t="s">
        <v>23</v>
      </c>
      <c r="C491" s="1" t="s">
        <v>24</v>
      </c>
      <c r="D491">
        <v>0</v>
      </c>
      <c r="E491">
        <v>1</v>
      </c>
      <c r="F491">
        <v>121617</v>
      </c>
      <c r="G491">
        <v>87995</v>
      </c>
      <c r="H491">
        <v>105966</v>
      </c>
      <c r="I491">
        <v>158322</v>
      </c>
      <c r="J491">
        <v>76.7</v>
      </c>
    </row>
    <row r="492" spans="1:10" x14ac:dyDescent="0.2">
      <c r="A492">
        <v>2003</v>
      </c>
      <c r="B492" s="1" t="s">
        <v>25</v>
      </c>
      <c r="C492" s="1" t="s">
        <v>11</v>
      </c>
      <c r="D492">
        <v>1</v>
      </c>
      <c r="E492">
        <v>0</v>
      </c>
      <c r="F492">
        <v>268297</v>
      </c>
      <c r="G492">
        <v>199950</v>
      </c>
      <c r="H492">
        <v>239972</v>
      </c>
      <c r="I492">
        <v>359754</v>
      </c>
      <c r="J492">
        <v>76.7</v>
      </c>
    </row>
    <row r="493" spans="1:10" x14ac:dyDescent="0.2">
      <c r="A493">
        <v>2003</v>
      </c>
      <c r="B493" s="1" t="s">
        <v>25</v>
      </c>
      <c r="C493" s="1" t="s">
        <v>12</v>
      </c>
      <c r="D493">
        <v>1</v>
      </c>
      <c r="E493">
        <v>0</v>
      </c>
      <c r="F493">
        <v>218499</v>
      </c>
      <c r="G493">
        <v>126950</v>
      </c>
      <c r="H493">
        <v>150003</v>
      </c>
      <c r="I493">
        <v>228411</v>
      </c>
      <c r="J493">
        <v>76.7</v>
      </c>
    </row>
    <row r="494" spans="1:10" x14ac:dyDescent="0.2">
      <c r="A494">
        <v>2003</v>
      </c>
      <c r="B494" s="1" t="s">
        <v>25</v>
      </c>
      <c r="C494" s="1" t="s">
        <v>13</v>
      </c>
      <c r="D494">
        <v>1</v>
      </c>
      <c r="E494">
        <v>0</v>
      </c>
      <c r="F494">
        <v>339982</v>
      </c>
      <c r="G494">
        <v>123000</v>
      </c>
      <c r="H494">
        <v>139952</v>
      </c>
      <c r="I494">
        <v>221304</v>
      </c>
      <c r="J494">
        <v>76.7</v>
      </c>
    </row>
    <row r="495" spans="1:10" x14ac:dyDescent="0.2">
      <c r="A495">
        <v>2003</v>
      </c>
      <c r="B495" s="1" t="s">
        <v>25</v>
      </c>
      <c r="C495" s="1" t="s">
        <v>14</v>
      </c>
      <c r="D495">
        <v>1</v>
      </c>
      <c r="E495">
        <v>0</v>
      </c>
      <c r="F495">
        <v>408095</v>
      </c>
      <c r="G495">
        <v>95000</v>
      </c>
      <c r="H495">
        <v>117354</v>
      </c>
      <c r="I495">
        <v>170926</v>
      </c>
      <c r="J495">
        <v>76.7</v>
      </c>
    </row>
    <row r="496" spans="1:10" x14ac:dyDescent="0.2">
      <c r="A496">
        <v>2003</v>
      </c>
      <c r="B496" s="1" t="s">
        <v>25</v>
      </c>
      <c r="C496" s="1" t="s">
        <v>24</v>
      </c>
      <c r="D496">
        <v>1</v>
      </c>
      <c r="E496">
        <v>1</v>
      </c>
      <c r="F496">
        <v>1234873</v>
      </c>
      <c r="G496">
        <v>130000</v>
      </c>
      <c r="H496">
        <v>155994</v>
      </c>
      <c r="I496">
        <v>233898</v>
      </c>
      <c r="J496">
        <v>76.7</v>
      </c>
    </row>
    <row r="497" spans="1:10" x14ac:dyDescent="0.2">
      <c r="A497">
        <v>2004</v>
      </c>
      <c r="B497" s="1" t="s">
        <v>10</v>
      </c>
      <c r="C497" s="1" t="s">
        <v>11</v>
      </c>
      <c r="D497">
        <v>0</v>
      </c>
      <c r="E497">
        <v>0</v>
      </c>
      <c r="F497">
        <v>33067</v>
      </c>
      <c r="G497">
        <v>187000</v>
      </c>
      <c r="H497">
        <v>211278</v>
      </c>
      <c r="I497">
        <v>331697</v>
      </c>
      <c r="J497">
        <v>77.8</v>
      </c>
    </row>
    <row r="498" spans="1:10" x14ac:dyDescent="0.2">
      <c r="A498">
        <v>2004</v>
      </c>
      <c r="B498" s="1" t="s">
        <v>10</v>
      </c>
      <c r="C498" s="1" t="s">
        <v>12</v>
      </c>
      <c r="D498">
        <v>0</v>
      </c>
      <c r="E498">
        <v>0</v>
      </c>
      <c r="F498">
        <v>6820</v>
      </c>
      <c r="G498">
        <v>102000</v>
      </c>
      <c r="H498">
        <v>109553</v>
      </c>
      <c r="I498">
        <v>180925</v>
      </c>
      <c r="J498">
        <v>77.8</v>
      </c>
    </row>
    <row r="499" spans="1:10" x14ac:dyDescent="0.2">
      <c r="A499">
        <v>2004</v>
      </c>
      <c r="B499" s="1" t="s">
        <v>10</v>
      </c>
      <c r="C499" s="1" t="s">
        <v>13</v>
      </c>
      <c r="D499">
        <v>0</v>
      </c>
      <c r="E499">
        <v>0</v>
      </c>
      <c r="F499">
        <v>34254</v>
      </c>
      <c r="G499">
        <v>118000</v>
      </c>
      <c r="H499">
        <v>123008</v>
      </c>
      <c r="I499">
        <v>209306</v>
      </c>
      <c r="J499">
        <v>77.8</v>
      </c>
    </row>
    <row r="500" spans="1:10" x14ac:dyDescent="0.2">
      <c r="A500">
        <v>2004</v>
      </c>
      <c r="B500" s="1" t="s">
        <v>10</v>
      </c>
      <c r="C500" s="1" t="s">
        <v>14</v>
      </c>
      <c r="D500">
        <v>0</v>
      </c>
      <c r="E500">
        <v>0</v>
      </c>
      <c r="F500">
        <v>28426</v>
      </c>
      <c r="G500">
        <v>94000</v>
      </c>
      <c r="H500">
        <v>102093</v>
      </c>
      <c r="I500">
        <v>166735</v>
      </c>
      <c r="J500">
        <v>77.8</v>
      </c>
    </row>
    <row r="501" spans="1:10" x14ac:dyDescent="0.2">
      <c r="A501">
        <v>2004</v>
      </c>
      <c r="B501" s="1" t="s">
        <v>15</v>
      </c>
      <c r="C501" s="1" t="s">
        <v>11</v>
      </c>
      <c r="D501">
        <v>0</v>
      </c>
      <c r="E501">
        <v>0</v>
      </c>
      <c r="F501">
        <v>37876</v>
      </c>
      <c r="G501">
        <v>235000</v>
      </c>
      <c r="H501">
        <v>274807</v>
      </c>
      <c r="I501">
        <v>416838</v>
      </c>
      <c r="J501">
        <v>77.8</v>
      </c>
    </row>
    <row r="502" spans="1:10" x14ac:dyDescent="0.2">
      <c r="A502">
        <v>2004</v>
      </c>
      <c r="B502" s="1" t="s">
        <v>15</v>
      </c>
      <c r="C502" s="1" t="s">
        <v>12</v>
      </c>
      <c r="D502">
        <v>0</v>
      </c>
      <c r="E502">
        <v>0</v>
      </c>
      <c r="F502">
        <v>21271</v>
      </c>
      <c r="G502">
        <v>120000</v>
      </c>
      <c r="H502">
        <v>128844</v>
      </c>
      <c r="I502">
        <v>212853</v>
      </c>
      <c r="J502">
        <v>77.8</v>
      </c>
    </row>
    <row r="503" spans="1:10" x14ac:dyDescent="0.2">
      <c r="A503">
        <v>2004</v>
      </c>
      <c r="B503" s="1" t="s">
        <v>15</v>
      </c>
      <c r="C503" s="1" t="s">
        <v>13</v>
      </c>
      <c r="D503">
        <v>0</v>
      </c>
      <c r="E503">
        <v>0</v>
      </c>
      <c r="F503">
        <v>37703</v>
      </c>
      <c r="G503">
        <v>165000</v>
      </c>
      <c r="H503">
        <v>179743</v>
      </c>
      <c r="I503">
        <v>292674</v>
      </c>
      <c r="J503">
        <v>77.8</v>
      </c>
    </row>
    <row r="504" spans="1:10" x14ac:dyDescent="0.2">
      <c r="A504">
        <v>2004</v>
      </c>
      <c r="B504" s="1" t="s">
        <v>15</v>
      </c>
      <c r="C504" s="1" t="s">
        <v>14</v>
      </c>
      <c r="D504">
        <v>0</v>
      </c>
      <c r="E504">
        <v>0</v>
      </c>
      <c r="F504">
        <v>39727</v>
      </c>
      <c r="G504">
        <v>142000</v>
      </c>
      <c r="H504">
        <v>153080</v>
      </c>
      <c r="I504">
        <v>251877</v>
      </c>
      <c r="J504">
        <v>77.8</v>
      </c>
    </row>
    <row r="505" spans="1:10" x14ac:dyDescent="0.2">
      <c r="A505">
        <v>2004</v>
      </c>
      <c r="B505" s="1" t="s">
        <v>16</v>
      </c>
      <c r="C505" s="1" t="s">
        <v>11</v>
      </c>
      <c r="D505">
        <v>0</v>
      </c>
      <c r="E505">
        <v>0</v>
      </c>
      <c r="F505">
        <v>6101</v>
      </c>
      <c r="G505">
        <v>430000</v>
      </c>
      <c r="H505">
        <v>558916</v>
      </c>
      <c r="I505">
        <v>762725</v>
      </c>
      <c r="J505">
        <v>77.8</v>
      </c>
    </row>
    <row r="506" spans="1:10" x14ac:dyDescent="0.2">
      <c r="A506">
        <v>2004</v>
      </c>
      <c r="B506" s="1" t="s">
        <v>16</v>
      </c>
      <c r="C506" s="1" t="s">
        <v>12</v>
      </c>
      <c r="D506">
        <v>0</v>
      </c>
      <c r="E506">
        <v>0</v>
      </c>
      <c r="F506">
        <v>80951</v>
      </c>
      <c r="G506">
        <v>191000</v>
      </c>
      <c r="H506">
        <v>237976</v>
      </c>
      <c r="I506">
        <v>338792</v>
      </c>
      <c r="J506">
        <v>77.8</v>
      </c>
    </row>
    <row r="507" spans="1:10" x14ac:dyDescent="0.2">
      <c r="A507">
        <v>2004</v>
      </c>
      <c r="B507" s="1" t="s">
        <v>16</v>
      </c>
      <c r="C507" s="1" t="s">
        <v>13</v>
      </c>
      <c r="D507">
        <v>0</v>
      </c>
      <c r="E507">
        <v>0</v>
      </c>
      <c r="F507">
        <v>24059</v>
      </c>
      <c r="G507">
        <v>250000</v>
      </c>
      <c r="H507">
        <v>311305</v>
      </c>
      <c r="I507">
        <v>443445</v>
      </c>
      <c r="J507">
        <v>77.8</v>
      </c>
    </row>
    <row r="508" spans="1:10" x14ac:dyDescent="0.2">
      <c r="A508">
        <v>2004</v>
      </c>
      <c r="B508" s="1" t="s">
        <v>16</v>
      </c>
      <c r="C508" s="1" t="s">
        <v>14</v>
      </c>
      <c r="D508">
        <v>0</v>
      </c>
      <c r="E508">
        <v>0</v>
      </c>
      <c r="F508">
        <v>48400</v>
      </c>
      <c r="G508">
        <v>225000</v>
      </c>
      <c r="H508">
        <v>285308</v>
      </c>
      <c r="I508">
        <v>399100</v>
      </c>
      <c r="J508">
        <v>77.8</v>
      </c>
    </row>
    <row r="509" spans="1:10" x14ac:dyDescent="0.2">
      <c r="A509">
        <v>2004</v>
      </c>
      <c r="B509" s="1" t="s">
        <v>17</v>
      </c>
      <c r="C509" s="1" t="s">
        <v>11</v>
      </c>
      <c r="D509">
        <v>0</v>
      </c>
      <c r="E509">
        <v>0</v>
      </c>
      <c r="F509">
        <v>10300</v>
      </c>
      <c r="G509">
        <v>183500</v>
      </c>
      <c r="H509">
        <v>205011</v>
      </c>
      <c r="I509">
        <v>325488</v>
      </c>
      <c r="J509">
        <v>77.8</v>
      </c>
    </row>
    <row r="510" spans="1:10" x14ac:dyDescent="0.2">
      <c r="A510">
        <v>2004</v>
      </c>
      <c r="B510" s="1" t="s">
        <v>17</v>
      </c>
      <c r="C510" s="1" t="s">
        <v>12</v>
      </c>
      <c r="D510">
        <v>0</v>
      </c>
      <c r="E510">
        <v>0</v>
      </c>
      <c r="F510">
        <v>8489</v>
      </c>
      <c r="G510">
        <v>82000</v>
      </c>
      <c r="H510">
        <v>97578</v>
      </c>
      <c r="I510">
        <v>145450</v>
      </c>
      <c r="J510">
        <v>77.8</v>
      </c>
    </row>
    <row r="511" spans="1:10" x14ac:dyDescent="0.2">
      <c r="A511">
        <v>2004</v>
      </c>
      <c r="B511" s="1" t="s">
        <v>17</v>
      </c>
      <c r="C511" s="1" t="s">
        <v>13</v>
      </c>
      <c r="D511">
        <v>0</v>
      </c>
      <c r="E511">
        <v>0</v>
      </c>
      <c r="F511">
        <v>15688</v>
      </c>
      <c r="G511">
        <v>110000</v>
      </c>
      <c r="H511">
        <v>116090</v>
      </c>
      <c r="I511">
        <v>195116</v>
      </c>
      <c r="J511">
        <v>77.8</v>
      </c>
    </row>
    <row r="512" spans="1:10" x14ac:dyDescent="0.2">
      <c r="A512">
        <v>2004</v>
      </c>
      <c r="B512" s="1" t="s">
        <v>17</v>
      </c>
      <c r="C512" s="1" t="s">
        <v>14</v>
      </c>
      <c r="D512">
        <v>0</v>
      </c>
      <c r="E512">
        <v>0</v>
      </c>
      <c r="F512">
        <v>23659</v>
      </c>
      <c r="G512">
        <v>70000</v>
      </c>
      <c r="H512">
        <v>83125</v>
      </c>
      <c r="I512">
        <v>124165</v>
      </c>
      <c r="J512">
        <v>77.8</v>
      </c>
    </row>
    <row r="513" spans="1:10" x14ac:dyDescent="0.2">
      <c r="A513">
        <v>2004</v>
      </c>
      <c r="B513" s="1" t="s">
        <v>18</v>
      </c>
      <c r="C513" s="1" t="s">
        <v>11</v>
      </c>
      <c r="D513">
        <v>0</v>
      </c>
      <c r="E513">
        <v>0</v>
      </c>
      <c r="F513">
        <v>26618</v>
      </c>
      <c r="G513">
        <v>200500</v>
      </c>
      <c r="H513">
        <v>236793</v>
      </c>
      <c r="I513">
        <v>355643</v>
      </c>
      <c r="J513">
        <v>77.8</v>
      </c>
    </row>
    <row r="514" spans="1:10" x14ac:dyDescent="0.2">
      <c r="A514">
        <v>2004</v>
      </c>
      <c r="B514" s="1" t="s">
        <v>18</v>
      </c>
      <c r="C514" s="1" t="s">
        <v>12</v>
      </c>
      <c r="D514">
        <v>0</v>
      </c>
      <c r="E514">
        <v>0</v>
      </c>
      <c r="F514">
        <v>19212</v>
      </c>
      <c r="G514">
        <v>114000</v>
      </c>
      <c r="H514">
        <v>124402</v>
      </c>
      <c r="I514">
        <v>202211</v>
      </c>
      <c r="J514">
        <v>77.8</v>
      </c>
    </row>
    <row r="515" spans="1:10" x14ac:dyDescent="0.2">
      <c r="A515">
        <v>2004</v>
      </c>
      <c r="B515" s="1" t="s">
        <v>18</v>
      </c>
      <c r="C515" s="1" t="s">
        <v>13</v>
      </c>
      <c r="D515">
        <v>0</v>
      </c>
      <c r="E515">
        <v>0</v>
      </c>
      <c r="F515">
        <v>50174</v>
      </c>
      <c r="G515">
        <v>122000</v>
      </c>
      <c r="H515">
        <v>130377</v>
      </c>
      <c r="I515">
        <v>216401</v>
      </c>
      <c r="J515">
        <v>77.8</v>
      </c>
    </row>
    <row r="516" spans="1:10" x14ac:dyDescent="0.2">
      <c r="A516">
        <v>2004</v>
      </c>
      <c r="B516" s="1" t="s">
        <v>18</v>
      </c>
      <c r="C516" s="1" t="s">
        <v>14</v>
      </c>
      <c r="D516">
        <v>0</v>
      </c>
      <c r="E516">
        <v>0</v>
      </c>
      <c r="F516">
        <v>66939</v>
      </c>
      <c r="G516">
        <v>72950</v>
      </c>
      <c r="H516">
        <v>81597</v>
      </c>
      <c r="I516">
        <v>129397</v>
      </c>
      <c r="J516">
        <v>77.8</v>
      </c>
    </row>
    <row r="517" spans="1:10" x14ac:dyDescent="0.2">
      <c r="A517">
        <v>2004</v>
      </c>
      <c r="B517" s="1" t="s">
        <v>19</v>
      </c>
      <c r="C517" s="1" t="s">
        <v>11</v>
      </c>
      <c r="D517">
        <v>0</v>
      </c>
      <c r="E517">
        <v>0</v>
      </c>
      <c r="F517">
        <v>51154</v>
      </c>
      <c r="G517">
        <v>300000</v>
      </c>
      <c r="H517">
        <v>358320</v>
      </c>
      <c r="I517">
        <v>532134</v>
      </c>
      <c r="J517">
        <v>77.8</v>
      </c>
    </row>
    <row r="518" spans="1:10" x14ac:dyDescent="0.2">
      <c r="A518">
        <v>2004</v>
      </c>
      <c r="B518" s="1" t="s">
        <v>19</v>
      </c>
      <c r="C518" s="1" t="s">
        <v>12</v>
      </c>
      <c r="D518">
        <v>0</v>
      </c>
      <c r="E518">
        <v>0</v>
      </c>
      <c r="F518">
        <v>43071</v>
      </c>
      <c r="G518">
        <v>134950</v>
      </c>
      <c r="H518">
        <v>147162</v>
      </c>
      <c r="I518">
        <v>239371</v>
      </c>
      <c r="J518">
        <v>77.8</v>
      </c>
    </row>
    <row r="519" spans="1:10" x14ac:dyDescent="0.2">
      <c r="A519">
        <v>2004</v>
      </c>
      <c r="B519" s="1" t="s">
        <v>19</v>
      </c>
      <c r="C519" s="1" t="s">
        <v>13</v>
      </c>
      <c r="D519">
        <v>0</v>
      </c>
      <c r="E519">
        <v>0</v>
      </c>
      <c r="F519">
        <v>53552</v>
      </c>
      <c r="G519">
        <v>192000</v>
      </c>
      <c r="H519">
        <v>207716</v>
      </c>
      <c r="I519">
        <v>340566</v>
      </c>
      <c r="J519">
        <v>77.8</v>
      </c>
    </row>
    <row r="520" spans="1:10" x14ac:dyDescent="0.2">
      <c r="A520">
        <v>2004</v>
      </c>
      <c r="B520" s="1" t="s">
        <v>19</v>
      </c>
      <c r="C520" s="1" t="s">
        <v>14</v>
      </c>
      <c r="D520">
        <v>0</v>
      </c>
      <c r="E520">
        <v>0</v>
      </c>
      <c r="F520">
        <v>55000</v>
      </c>
      <c r="G520">
        <v>158500</v>
      </c>
      <c r="H520">
        <v>171124</v>
      </c>
      <c r="I520">
        <v>281144</v>
      </c>
      <c r="J520">
        <v>77.8</v>
      </c>
    </row>
    <row r="521" spans="1:10" x14ac:dyDescent="0.2">
      <c r="A521">
        <v>2004</v>
      </c>
      <c r="B521" s="1" t="s">
        <v>20</v>
      </c>
      <c r="C521" s="1" t="s">
        <v>11</v>
      </c>
      <c r="D521">
        <v>0</v>
      </c>
      <c r="E521">
        <v>0</v>
      </c>
      <c r="F521">
        <v>34587</v>
      </c>
      <c r="G521">
        <v>247000</v>
      </c>
      <c r="H521">
        <v>280794</v>
      </c>
      <c r="I521">
        <v>438123</v>
      </c>
      <c r="J521">
        <v>77.8</v>
      </c>
    </row>
    <row r="522" spans="1:10" x14ac:dyDescent="0.2">
      <c r="A522">
        <v>2004</v>
      </c>
      <c r="B522" s="1" t="s">
        <v>20</v>
      </c>
      <c r="C522" s="1" t="s">
        <v>12</v>
      </c>
      <c r="D522">
        <v>0</v>
      </c>
      <c r="E522">
        <v>0</v>
      </c>
      <c r="F522">
        <v>22148</v>
      </c>
      <c r="G522">
        <v>124950</v>
      </c>
      <c r="H522">
        <v>141002</v>
      </c>
      <c r="I522">
        <v>221634</v>
      </c>
      <c r="J522">
        <v>77.8</v>
      </c>
    </row>
    <row r="523" spans="1:10" x14ac:dyDescent="0.2">
      <c r="A523">
        <v>2004</v>
      </c>
      <c r="B523" s="1" t="s">
        <v>20</v>
      </c>
      <c r="C523" s="1" t="s">
        <v>13</v>
      </c>
      <c r="D523">
        <v>0</v>
      </c>
      <c r="E523">
        <v>0</v>
      </c>
      <c r="F523">
        <v>29248</v>
      </c>
      <c r="G523">
        <v>160000</v>
      </c>
      <c r="H523">
        <v>173683</v>
      </c>
      <c r="I523">
        <v>283805</v>
      </c>
      <c r="J523">
        <v>77.8</v>
      </c>
    </row>
    <row r="524" spans="1:10" x14ac:dyDescent="0.2">
      <c r="A524">
        <v>2004</v>
      </c>
      <c r="B524" s="1" t="s">
        <v>20</v>
      </c>
      <c r="C524" s="1" t="s">
        <v>14</v>
      </c>
      <c r="D524">
        <v>0</v>
      </c>
      <c r="E524">
        <v>0</v>
      </c>
      <c r="F524">
        <v>37325</v>
      </c>
      <c r="G524">
        <v>137500</v>
      </c>
      <c r="H524">
        <v>151372</v>
      </c>
      <c r="I524">
        <v>243895</v>
      </c>
      <c r="J524">
        <v>77.8</v>
      </c>
    </row>
    <row r="525" spans="1:10" x14ac:dyDescent="0.2">
      <c r="A525">
        <v>2004</v>
      </c>
      <c r="B525" s="1" t="s">
        <v>21</v>
      </c>
      <c r="C525" s="1" t="s">
        <v>11</v>
      </c>
      <c r="D525">
        <v>0</v>
      </c>
      <c r="E525">
        <v>0</v>
      </c>
      <c r="F525">
        <v>16208</v>
      </c>
      <c r="G525">
        <v>177000</v>
      </c>
      <c r="H525">
        <v>192663</v>
      </c>
      <c r="I525">
        <v>313959</v>
      </c>
      <c r="J525">
        <v>77.8</v>
      </c>
    </row>
    <row r="526" spans="1:10" x14ac:dyDescent="0.2">
      <c r="A526">
        <v>2004</v>
      </c>
      <c r="B526" s="1" t="s">
        <v>21</v>
      </c>
      <c r="C526" s="1" t="s">
        <v>12</v>
      </c>
      <c r="D526">
        <v>0</v>
      </c>
      <c r="E526">
        <v>0</v>
      </c>
      <c r="F526">
        <v>4128</v>
      </c>
      <c r="G526">
        <v>110000</v>
      </c>
      <c r="H526">
        <v>117114</v>
      </c>
      <c r="I526">
        <v>195116</v>
      </c>
      <c r="J526">
        <v>77.8</v>
      </c>
    </row>
    <row r="527" spans="1:10" x14ac:dyDescent="0.2">
      <c r="A527">
        <v>2004</v>
      </c>
      <c r="B527" s="1" t="s">
        <v>21</v>
      </c>
      <c r="C527" s="1" t="s">
        <v>13</v>
      </c>
      <c r="D527">
        <v>0</v>
      </c>
      <c r="E527">
        <v>0</v>
      </c>
      <c r="F527">
        <v>16004</v>
      </c>
      <c r="G527">
        <v>111950</v>
      </c>
      <c r="H527">
        <v>118731</v>
      </c>
      <c r="I527">
        <v>198575</v>
      </c>
      <c r="J527">
        <v>77.8</v>
      </c>
    </row>
    <row r="528" spans="1:10" x14ac:dyDescent="0.2">
      <c r="A528">
        <v>2004</v>
      </c>
      <c r="B528" s="1" t="s">
        <v>21</v>
      </c>
      <c r="C528" s="1" t="s">
        <v>14</v>
      </c>
      <c r="D528">
        <v>0</v>
      </c>
      <c r="E528">
        <v>0</v>
      </c>
      <c r="F528">
        <v>20881</v>
      </c>
      <c r="G528">
        <v>83000</v>
      </c>
      <c r="H528">
        <v>92179</v>
      </c>
      <c r="I528">
        <v>147224</v>
      </c>
      <c r="J528">
        <v>77.8</v>
      </c>
    </row>
    <row r="529" spans="1:10" x14ac:dyDescent="0.2">
      <c r="A529">
        <v>2004</v>
      </c>
      <c r="B529" s="1" t="s">
        <v>22</v>
      </c>
      <c r="C529" s="1" t="s">
        <v>11</v>
      </c>
      <c r="D529">
        <v>0</v>
      </c>
      <c r="E529">
        <v>0</v>
      </c>
      <c r="F529">
        <v>25312</v>
      </c>
      <c r="G529">
        <v>220000</v>
      </c>
      <c r="H529">
        <v>247669</v>
      </c>
      <c r="I529">
        <v>390231</v>
      </c>
      <c r="J529">
        <v>77.8</v>
      </c>
    </row>
    <row r="530" spans="1:10" x14ac:dyDescent="0.2">
      <c r="A530">
        <v>2004</v>
      </c>
      <c r="B530" s="1" t="s">
        <v>22</v>
      </c>
      <c r="C530" s="1" t="s">
        <v>12</v>
      </c>
      <c r="D530">
        <v>0</v>
      </c>
      <c r="E530">
        <v>0</v>
      </c>
      <c r="F530">
        <v>12889</v>
      </c>
      <c r="G530">
        <v>105000</v>
      </c>
      <c r="H530">
        <v>117323</v>
      </c>
      <c r="I530">
        <v>186247</v>
      </c>
      <c r="J530">
        <v>77.8</v>
      </c>
    </row>
    <row r="531" spans="1:10" x14ac:dyDescent="0.2">
      <c r="A531">
        <v>2004</v>
      </c>
      <c r="B531" s="1" t="s">
        <v>22</v>
      </c>
      <c r="C531" s="1" t="s">
        <v>13</v>
      </c>
      <c r="D531">
        <v>0</v>
      </c>
      <c r="E531">
        <v>0</v>
      </c>
      <c r="F531">
        <v>37135</v>
      </c>
      <c r="G531">
        <v>127500</v>
      </c>
      <c r="H531">
        <v>136520</v>
      </c>
      <c r="I531">
        <v>226157</v>
      </c>
      <c r="J531">
        <v>77.8</v>
      </c>
    </row>
    <row r="532" spans="1:10" x14ac:dyDescent="0.2">
      <c r="A532">
        <v>2004</v>
      </c>
      <c r="B532" s="1" t="s">
        <v>22</v>
      </c>
      <c r="C532" s="1" t="s">
        <v>14</v>
      </c>
      <c r="D532">
        <v>0</v>
      </c>
      <c r="E532">
        <v>0</v>
      </c>
      <c r="F532">
        <v>34752</v>
      </c>
      <c r="G532">
        <v>100000</v>
      </c>
      <c r="H532">
        <v>109436</v>
      </c>
      <c r="I532">
        <v>177378</v>
      </c>
      <c r="J532">
        <v>77.8</v>
      </c>
    </row>
    <row r="533" spans="1:10" x14ac:dyDescent="0.2">
      <c r="A533">
        <v>2004</v>
      </c>
      <c r="B533" s="1" t="s">
        <v>23</v>
      </c>
      <c r="C533" s="1" t="s">
        <v>11</v>
      </c>
      <c r="D533">
        <v>0</v>
      </c>
      <c r="E533">
        <v>0</v>
      </c>
      <c r="F533">
        <v>23913</v>
      </c>
      <c r="G533">
        <v>189950</v>
      </c>
      <c r="H533">
        <v>216376</v>
      </c>
      <c r="I533">
        <v>336929</v>
      </c>
      <c r="J533">
        <v>77.8</v>
      </c>
    </row>
    <row r="534" spans="1:10" x14ac:dyDescent="0.2">
      <c r="A534">
        <v>2004</v>
      </c>
      <c r="B534" s="1" t="s">
        <v>23</v>
      </c>
      <c r="C534" s="1" t="s">
        <v>12</v>
      </c>
      <c r="D534">
        <v>0</v>
      </c>
      <c r="E534">
        <v>0</v>
      </c>
      <c r="F534">
        <v>11083</v>
      </c>
      <c r="G534">
        <v>115000</v>
      </c>
      <c r="H534">
        <v>121964</v>
      </c>
      <c r="I534">
        <v>203985</v>
      </c>
      <c r="J534">
        <v>77.8</v>
      </c>
    </row>
    <row r="535" spans="1:10" x14ac:dyDescent="0.2">
      <c r="A535">
        <v>2004</v>
      </c>
      <c r="B535" s="1" t="s">
        <v>23</v>
      </c>
      <c r="C535" s="1" t="s">
        <v>13</v>
      </c>
      <c r="D535">
        <v>0</v>
      </c>
      <c r="E535">
        <v>0</v>
      </c>
      <c r="F535">
        <v>37882</v>
      </c>
      <c r="G535">
        <v>115000</v>
      </c>
      <c r="H535">
        <v>120734</v>
      </c>
      <c r="I535">
        <v>203985</v>
      </c>
      <c r="J535">
        <v>77.8</v>
      </c>
    </row>
    <row r="536" spans="1:10" x14ac:dyDescent="0.2">
      <c r="A536">
        <v>2004</v>
      </c>
      <c r="B536" s="1" t="s">
        <v>23</v>
      </c>
      <c r="C536" s="1" t="s">
        <v>14</v>
      </c>
      <c r="D536">
        <v>0</v>
      </c>
      <c r="E536">
        <v>0</v>
      </c>
      <c r="F536">
        <v>44986</v>
      </c>
      <c r="G536">
        <v>77000</v>
      </c>
      <c r="H536">
        <v>87849</v>
      </c>
      <c r="I536">
        <v>136581</v>
      </c>
      <c r="J536">
        <v>77.8</v>
      </c>
    </row>
    <row r="537" spans="1:10" x14ac:dyDescent="0.2">
      <c r="A537">
        <v>2004</v>
      </c>
      <c r="B537" s="1" t="s">
        <v>10</v>
      </c>
      <c r="C537" s="1" t="s">
        <v>24</v>
      </c>
      <c r="D537">
        <v>0</v>
      </c>
      <c r="E537">
        <v>1</v>
      </c>
      <c r="F537">
        <v>102567</v>
      </c>
      <c r="G537">
        <v>126500</v>
      </c>
      <c r="H537">
        <v>144775</v>
      </c>
      <c r="I537">
        <v>224383</v>
      </c>
      <c r="J537">
        <v>77.8</v>
      </c>
    </row>
    <row r="538" spans="1:10" x14ac:dyDescent="0.2">
      <c r="A538">
        <v>2004</v>
      </c>
      <c r="B538" s="1" t="s">
        <v>15</v>
      </c>
      <c r="C538" s="1" t="s">
        <v>24</v>
      </c>
      <c r="D538">
        <v>0</v>
      </c>
      <c r="E538">
        <v>1</v>
      </c>
      <c r="F538">
        <v>136577</v>
      </c>
      <c r="G538">
        <v>164000</v>
      </c>
      <c r="H538">
        <v>190424</v>
      </c>
      <c r="I538">
        <v>290900</v>
      </c>
      <c r="J538">
        <v>77.8</v>
      </c>
    </row>
    <row r="539" spans="1:10" x14ac:dyDescent="0.2">
      <c r="A539">
        <v>2004</v>
      </c>
      <c r="B539" s="1" t="s">
        <v>16</v>
      </c>
      <c r="C539" s="1" t="s">
        <v>24</v>
      </c>
      <c r="D539">
        <v>0</v>
      </c>
      <c r="E539">
        <v>1</v>
      </c>
      <c r="F539">
        <v>159511</v>
      </c>
      <c r="G539">
        <v>220000</v>
      </c>
      <c r="H539">
        <v>275673</v>
      </c>
      <c r="I539">
        <v>390231</v>
      </c>
      <c r="J539">
        <v>77.8</v>
      </c>
    </row>
    <row r="540" spans="1:10" x14ac:dyDescent="0.2">
      <c r="A540">
        <v>2004</v>
      </c>
      <c r="B540" s="1" t="s">
        <v>17</v>
      </c>
      <c r="C540" s="1" t="s">
        <v>24</v>
      </c>
      <c r="D540">
        <v>0</v>
      </c>
      <c r="E540">
        <v>1</v>
      </c>
      <c r="F540">
        <v>58136</v>
      </c>
      <c r="G540">
        <v>96000</v>
      </c>
      <c r="H540">
        <v>115726</v>
      </c>
      <c r="I540">
        <v>170283</v>
      </c>
      <c r="J540">
        <v>77.8</v>
      </c>
    </row>
    <row r="541" spans="1:10" x14ac:dyDescent="0.2">
      <c r="A541">
        <v>2004</v>
      </c>
      <c r="B541" s="1" t="s">
        <v>18</v>
      </c>
      <c r="C541" s="1" t="s">
        <v>24</v>
      </c>
      <c r="D541">
        <v>0</v>
      </c>
      <c r="E541">
        <v>1</v>
      </c>
      <c r="F541">
        <v>162943</v>
      </c>
      <c r="G541">
        <v>108000</v>
      </c>
      <c r="H541">
        <v>127017</v>
      </c>
      <c r="I541">
        <v>191568</v>
      </c>
      <c r="J541">
        <v>77.8</v>
      </c>
    </row>
    <row r="542" spans="1:10" x14ac:dyDescent="0.2">
      <c r="A542">
        <v>2004</v>
      </c>
      <c r="B542" s="1" t="s">
        <v>19</v>
      </c>
      <c r="C542" s="1" t="s">
        <v>24</v>
      </c>
      <c r="D542">
        <v>0</v>
      </c>
      <c r="E542">
        <v>1</v>
      </c>
      <c r="F542">
        <v>202777</v>
      </c>
      <c r="G542">
        <v>185000</v>
      </c>
      <c r="H542">
        <v>222921</v>
      </c>
      <c r="I542">
        <v>328149</v>
      </c>
      <c r="J542">
        <v>77.8</v>
      </c>
    </row>
    <row r="543" spans="1:10" x14ac:dyDescent="0.2">
      <c r="A543">
        <v>2004</v>
      </c>
      <c r="B543" s="1" t="s">
        <v>20</v>
      </c>
      <c r="C543" s="1" t="s">
        <v>24</v>
      </c>
      <c r="D543">
        <v>0</v>
      </c>
      <c r="E543">
        <v>1</v>
      </c>
      <c r="F543">
        <v>123308</v>
      </c>
      <c r="G543">
        <v>164995</v>
      </c>
      <c r="H543">
        <v>191103</v>
      </c>
      <c r="I543">
        <v>292665</v>
      </c>
      <c r="J543">
        <v>77.8</v>
      </c>
    </row>
    <row r="544" spans="1:10" x14ac:dyDescent="0.2">
      <c r="A544">
        <v>2004</v>
      </c>
      <c r="B544" s="1" t="s">
        <v>21</v>
      </c>
      <c r="C544" s="1" t="s">
        <v>24</v>
      </c>
      <c r="D544">
        <v>0</v>
      </c>
      <c r="E544">
        <v>1</v>
      </c>
      <c r="F544">
        <v>57221</v>
      </c>
      <c r="G544">
        <v>115000</v>
      </c>
      <c r="H544">
        <v>129866</v>
      </c>
      <c r="I544">
        <v>203985</v>
      </c>
      <c r="J544">
        <v>77.8</v>
      </c>
    </row>
    <row r="545" spans="1:10" x14ac:dyDescent="0.2">
      <c r="A545">
        <v>2004</v>
      </c>
      <c r="B545" s="1" t="s">
        <v>22</v>
      </c>
      <c r="C545" s="1" t="s">
        <v>24</v>
      </c>
      <c r="D545">
        <v>0</v>
      </c>
      <c r="E545">
        <v>1</v>
      </c>
      <c r="F545">
        <v>110088</v>
      </c>
      <c r="G545">
        <v>128500</v>
      </c>
      <c r="H545">
        <v>151278</v>
      </c>
      <c r="I545">
        <v>227931</v>
      </c>
      <c r="J545">
        <v>77.8</v>
      </c>
    </row>
    <row r="546" spans="1:10" x14ac:dyDescent="0.2">
      <c r="A546">
        <v>2004</v>
      </c>
      <c r="B546" s="1" t="s">
        <v>23</v>
      </c>
      <c r="C546" s="1" t="s">
        <v>24</v>
      </c>
      <c r="D546">
        <v>0</v>
      </c>
      <c r="E546">
        <v>1</v>
      </c>
      <c r="F546">
        <v>117864</v>
      </c>
      <c r="G546">
        <v>110000</v>
      </c>
      <c r="H546">
        <v>127703</v>
      </c>
      <c r="I546">
        <v>195116</v>
      </c>
      <c r="J546">
        <v>77.8</v>
      </c>
    </row>
    <row r="547" spans="1:10" x14ac:dyDescent="0.2">
      <c r="A547">
        <v>2004</v>
      </c>
      <c r="B547" s="1" t="s">
        <v>25</v>
      </c>
      <c r="C547" s="1" t="s">
        <v>11</v>
      </c>
      <c r="D547">
        <v>1</v>
      </c>
      <c r="E547">
        <v>0</v>
      </c>
      <c r="F547">
        <v>265493</v>
      </c>
      <c r="G547">
        <v>230000</v>
      </c>
      <c r="H547">
        <v>270880</v>
      </c>
      <c r="I547">
        <v>407969</v>
      </c>
      <c r="J547">
        <v>77.8</v>
      </c>
    </row>
    <row r="548" spans="1:10" x14ac:dyDescent="0.2">
      <c r="A548">
        <v>2004</v>
      </c>
      <c r="B548" s="1" t="s">
        <v>25</v>
      </c>
      <c r="C548" s="1" t="s">
        <v>12</v>
      </c>
      <c r="D548">
        <v>1</v>
      </c>
      <c r="E548">
        <v>0</v>
      </c>
      <c r="F548">
        <v>230376</v>
      </c>
      <c r="G548">
        <v>142000</v>
      </c>
      <c r="H548">
        <v>168604</v>
      </c>
      <c r="I548">
        <v>251877</v>
      </c>
      <c r="J548">
        <v>77.8</v>
      </c>
    </row>
    <row r="549" spans="1:10" x14ac:dyDescent="0.2">
      <c r="A549">
        <v>2004</v>
      </c>
      <c r="B549" s="1" t="s">
        <v>25</v>
      </c>
      <c r="C549" s="1" t="s">
        <v>13</v>
      </c>
      <c r="D549">
        <v>1</v>
      </c>
      <c r="E549">
        <v>0</v>
      </c>
      <c r="F549">
        <v>335806</v>
      </c>
      <c r="G549">
        <v>144500</v>
      </c>
      <c r="H549">
        <v>162613</v>
      </c>
      <c r="I549">
        <v>256311</v>
      </c>
      <c r="J549">
        <v>77.8</v>
      </c>
    </row>
    <row r="550" spans="1:10" x14ac:dyDescent="0.2">
      <c r="A550">
        <v>2004</v>
      </c>
      <c r="B550" s="1" t="s">
        <v>25</v>
      </c>
      <c r="C550" s="1" t="s">
        <v>14</v>
      </c>
      <c r="D550">
        <v>1</v>
      </c>
      <c r="E550">
        <v>0</v>
      </c>
      <c r="F550">
        <v>400245</v>
      </c>
      <c r="G550">
        <v>118000</v>
      </c>
      <c r="H550">
        <v>137375</v>
      </c>
      <c r="I550">
        <v>209306</v>
      </c>
      <c r="J550">
        <v>77.8</v>
      </c>
    </row>
    <row r="551" spans="1:10" x14ac:dyDescent="0.2">
      <c r="A551">
        <v>2004</v>
      </c>
      <c r="B551" s="1" t="s">
        <v>25</v>
      </c>
      <c r="C551" s="1" t="s">
        <v>24</v>
      </c>
      <c r="D551">
        <v>1</v>
      </c>
      <c r="E551">
        <v>1</v>
      </c>
      <c r="F551">
        <v>1231920</v>
      </c>
      <c r="G551">
        <v>150000</v>
      </c>
      <c r="H551">
        <v>178866</v>
      </c>
      <c r="I551">
        <v>266067</v>
      </c>
      <c r="J551">
        <v>77.8</v>
      </c>
    </row>
    <row r="552" spans="1:10" x14ac:dyDescent="0.2">
      <c r="A552">
        <v>2005</v>
      </c>
      <c r="B552" s="1" t="s">
        <v>10</v>
      </c>
      <c r="C552" s="1" t="s">
        <v>11</v>
      </c>
      <c r="D552">
        <v>0</v>
      </c>
      <c r="E552">
        <v>0</v>
      </c>
      <c r="F552">
        <v>26282</v>
      </c>
      <c r="G552">
        <v>199950</v>
      </c>
      <c r="H552">
        <v>226467</v>
      </c>
      <c r="I552">
        <v>347520</v>
      </c>
      <c r="J552">
        <v>79.400000000000006</v>
      </c>
    </row>
    <row r="553" spans="1:10" x14ac:dyDescent="0.2">
      <c r="A553">
        <v>2005</v>
      </c>
      <c r="B553" s="1" t="s">
        <v>10</v>
      </c>
      <c r="C553" s="1" t="s">
        <v>12</v>
      </c>
      <c r="D553">
        <v>0</v>
      </c>
      <c r="E553">
        <v>0</v>
      </c>
      <c r="F553">
        <v>6713</v>
      </c>
      <c r="G553">
        <v>110000</v>
      </c>
      <c r="H553">
        <v>116764</v>
      </c>
      <c r="I553">
        <v>191184</v>
      </c>
      <c r="J553">
        <v>79.400000000000006</v>
      </c>
    </row>
    <row r="554" spans="1:10" x14ac:dyDescent="0.2">
      <c r="A554">
        <v>2005</v>
      </c>
      <c r="B554" s="1" t="s">
        <v>10</v>
      </c>
      <c r="C554" s="1" t="s">
        <v>13</v>
      </c>
      <c r="D554">
        <v>0</v>
      </c>
      <c r="E554">
        <v>0</v>
      </c>
      <c r="F554">
        <v>29744</v>
      </c>
      <c r="G554">
        <v>125000</v>
      </c>
      <c r="H554">
        <v>131882</v>
      </c>
      <c r="I554">
        <v>217254</v>
      </c>
      <c r="J554">
        <v>79.400000000000006</v>
      </c>
    </row>
    <row r="555" spans="1:10" x14ac:dyDescent="0.2">
      <c r="A555">
        <v>2005</v>
      </c>
      <c r="B555" s="1" t="s">
        <v>10</v>
      </c>
      <c r="C555" s="1" t="s">
        <v>14</v>
      </c>
      <c r="D555">
        <v>0</v>
      </c>
      <c r="E555">
        <v>0</v>
      </c>
      <c r="F555">
        <v>24760</v>
      </c>
      <c r="G555">
        <v>104000</v>
      </c>
      <c r="H555">
        <v>111481</v>
      </c>
      <c r="I555">
        <v>180756</v>
      </c>
      <c r="J555">
        <v>79.400000000000006</v>
      </c>
    </row>
    <row r="556" spans="1:10" x14ac:dyDescent="0.2">
      <c r="A556">
        <v>2005</v>
      </c>
      <c r="B556" s="1" t="s">
        <v>15</v>
      </c>
      <c r="C556" s="1" t="s">
        <v>11</v>
      </c>
      <c r="D556">
        <v>0</v>
      </c>
      <c r="E556">
        <v>0</v>
      </c>
      <c r="F556">
        <v>31482</v>
      </c>
      <c r="G556">
        <v>247000</v>
      </c>
      <c r="H556">
        <v>295261</v>
      </c>
      <c r="I556">
        <v>429295</v>
      </c>
      <c r="J556">
        <v>79.400000000000006</v>
      </c>
    </row>
    <row r="557" spans="1:10" x14ac:dyDescent="0.2">
      <c r="A557">
        <v>2005</v>
      </c>
      <c r="B557" s="1" t="s">
        <v>15</v>
      </c>
      <c r="C557" s="1" t="s">
        <v>12</v>
      </c>
      <c r="D557">
        <v>0</v>
      </c>
      <c r="E557">
        <v>0</v>
      </c>
      <c r="F557">
        <v>20104</v>
      </c>
      <c r="G557">
        <v>128500</v>
      </c>
      <c r="H557">
        <v>139653</v>
      </c>
      <c r="I557">
        <v>223338</v>
      </c>
      <c r="J557">
        <v>79.400000000000006</v>
      </c>
    </row>
    <row r="558" spans="1:10" x14ac:dyDescent="0.2">
      <c r="A558">
        <v>2005</v>
      </c>
      <c r="B558" s="1" t="s">
        <v>15</v>
      </c>
      <c r="C558" s="1" t="s">
        <v>13</v>
      </c>
      <c r="D558">
        <v>0</v>
      </c>
      <c r="E558">
        <v>0</v>
      </c>
      <c r="F558">
        <v>32945</v>
      </c>
      <c r="G558">
        <v>170500</v>
      </c>
      <c r="H558">
        <v>187310</v>
      </c>
      <c r="I558">
        <v>296335</v>
      </c>
      <c r="J558">
        <v>79.400000000000006</v>
      </c>
    </row>
    <row r="559" spans="1:10" x14ac:dyDescent="0.2">
      <c r="A559">
        <v>2005</v>
      </c>
      <c r="B559" s="1" t="s">
        <v>15</v>
      </c>
      <c r="C559" s="1" t="s">
        <v>14</v>
      </c>
      <c r="D559">
        <v>0</v>
      </c>
      <c r="E559">
        <v>0</v>
      </c>
      <c r="F559">
        <v>34034</v>
      </c>
      <c r="G559">
        <v>148000</v>
      </c>
      <c r="H559">
        <v>159668</v>
      </c>
      <c r="I559">
        <v>257229</v>
      </c>
      <c r="J559">
        <v>79.400000000000006</v>
      </c>
    </row>
    <row r="560" spans="1:10" x14ac:dyDescent="0.2">
      <c r="A560">
        <v>2005</v>
      </c>
      <c r="B560" s="1" t="s">
        <v>16</v>
      </c>
      <c r="C560" s="1" t="s">
        <v>11</v>
      </c>
      <c r="D560">
        <v>0</v>
      </c>
      <c r="E560">
        <v>0</v>
      </c>
      <c r="F560">
        <v>5333</v>
      </c>
      <c r="G560">
        <v>450000</v>
      </c>
      <c r="H560">
        <v>582844</v>
      </c>
      <c r="I560">
        <v>782116</v>
      </c>
      <c r="J560">
        <v>79.400000000000006</v>
      </c>
    </row>
    <row r="561" spans="1:10" x14ac:dyDescent="0.2">
      <c r="A561">
        <v>2005</v>
      </c>
      <c r="B561" s="1" t="s">
        <v>16</v>
      </c>
      <c r="C561" s="1" t="s">
        <v>12</v>
      </c>
      <c r="D561">
        <v>0</v>
      </c>
      <c r="E561">
        <v>0</v>
      </c>
      <c r="F561">
        <v>70553</v>
      </c>
      <c r="G561">
        <v>200000</v>
      </c>
      <c r="H561">
        <v>248539</v>
      </c>
      <c r="I561">
        <v>347607</v>
      </c>
      <c r="J561">
        <v>79.400000000000006</v>
      </c>
    </row>
    <row r="562" spans="1:10" x14ac:dyDescent="0.2">
      <c r="A562">
        <v>2005</v>
      </c>
      <c r="B562" s="1" t="s">
        <v>16</v>
      </c>
      <c r="C562" s="1" t="s">
        <v>13</v>
      </c>
      <c r="D562">
        <v>0</v>
      </c>
      <c r="E562">
        <v>0</v>
      </c>
      <c r="F562">
        <v>20806</v>
      </c>
      <c r="G562">
        <v>266000</v>
      </c>
      <c r="H562">
        <v>330520</v>
      </c>
      <c r="I562">
        <v>462317</v>
      </c>
      <c r="J562">
        <v>79.400000000000006</v>
      </c>
    </row>
    <row r="563" spans="1:10" x14ac:dyDescent="0.2">
      <c r="A563">
        <v>2005</v>
      </c>
      <c r="B563" s="1" t="s">
        <v>16</v>
      </c>
      <c r="C563" s="1" t="s">
        <v>14</v>
      </c>
      <c r="D563">
        <v>0</v>
      </c>
      <c r="E563">
        <v>0</v>
      </c>
      <c r="F563">
        <v>41912</v>
      </c>
      <c r="G563">
        <v>235000</v>
      </c>
      <c r="H563">
        <v>304152</v>
      </c>
      <c r="I563">
        <v>408438</v>
      </c>
      <c r="J563">
        <v>79.400000000000006</v>
      </c>
    </row>
    <row r="564" spans="1:10" x14ac:dyDescent="0.2">
      <c r="A564">
        <v>2005</v>
      </c>
      <c r="B564" s="1" t="s">
        <v>17</v>
      </c>
      <c r="C564" s="1" t="s">
        <v>11</v>
      </c>
      <c r="D564">
        <v>0</v>
      </c>
      <c r="E564">
        <v>0</v>
      </c>
      <c r="F564">
        <v>7693</v>
      </c>
      <c r="G564">
        <v>199950</v>
      </c>
      <c r="H564">
        <v>227043</v>
      </c>
      <c r="I564">
        <v>347520</v>
      </c>
      <c r="J564">
        <v>79.400000000000006</v>
      </c>
    </row>
    <row r="565" spans="1:10" x14ac:dyDescent="0.2">
      <c r="A565">
        <v>2005</v>
      </c>
      <c r="B565" s="1" t="s">
        <v>17</v>
      </c>
      <c r="C565" s="1" t="s">
        <v>12</v>
      </c>
      <c r="D565">
        <v>0</v>
      </c>
      <c r="E565">
        <v>0</v>
      </c>
      <c r="F565">
        <v>8357</v>
      </c>
      <c r="G565">
        <v>91950</v>
      </c>
      <c r="H565">
        <v>104846</v>
      </c>
      <c r="I565">
        <v>159812</v>
      </c>
      <c r="J565">
        <v>79.400000000000006</v>
      </c>
    </row>
    <row r="566" spans="1:10" x14ac:dyDescent="0.2">
      <c r="A566">
        <v>2005</v>
      </c>
      <c r="B566" s="1" t="s">
        <v>17</v>
      </c>
      <c r="C566" s="1" t="s">
        <v>13</v>
      </c>
      <c r="D566">
        <v>0</v>
      </c>
      <c r="E566">
        <v>0</v>
      </c>
      <c r="F566">
        <v>13958</v>
      </c>
      <c r="G566">
        <v>120000</v>
      </c>
      <c r="H566">
        <v>127625</v>
      </c>
      <c r="I566">
        <v>208564</v>
      </c>
      <c r="J566">
        <v>79.400000000000006</v>
      </c>
    </row>
    <row r="567" spans="1:10" x14ac:dyDescent="0.2">
      <c r="A567">
        <v>2005</v>
      </c>
      <c r="B567" s="1" t="s">
        <v>17</v>
      </c>
      <c r="C567" s="1" t="s">
        <v>14</v>
      </c>
      <c r="D567">
        <v>0</v>
      </c>
      <c r="E567">
        <v>0</v>
      </c>
      <c r="F567">
        <v>20159</v>
      </c>
      <c r="G567">
        <v>82950</v>
      </c>
      <c r="H567">
        <v>95588</v>
      </c>
      <c r="I567">
        <v>144170</v>
      </c>
      <c r="J567">
        <v>79.400000000000006</v>
      </c>
    </row>
    <row r="568" spans="1:10" x14ac:dyDescent="0.2">
      <c r="A568">
        <v>2005</v>
      </c>
      <c r="B568" s="1" t="s">
        <v>18</v>
      </c>
      <c r="C568" s="1" t="s">
        <v>11</v>
      </c>
      <c r="D568">
        <v>0</v>
      </c>
      <c r="E568">
        <v>0</v>
      </c>
      <c r="F568">
        <v>19720</v>
      </c>
      <c r="G568">
        <v>224000</v>
      </c>
      <c r="H568">
        <v>261109</v>
      </c>
      <c r="I568">
        <v>389320</v>
      </c>
      <c r="J568">
        <v>79.400000000000006</v>
      </c>
    </row>
    <row r="569" spans="1:10" x14ac:dyDescent="0.2">
      <c r="A569">
        <v>2005</v>
      </c>
      <c r="B569" s="1" t="s">
        <v>18</v>
      </c>
      <c r="C569" s="1" t="s">
        <v>12</v>
      </c>
      <c r="D569">
        <v>0</v>
      </c>
      <c r="E569">
        <v>0</v>
      </c>
      <c r="F569">
        <v>19197</v>
      </c>
      <c r="G569">
        <v>121035</v>
      </c>
      <c r="H569">
        <v>133081</v>
      </c>
      <c r="I569">
        <v>210363</v>
      </c>
      <c r="J569">
        <v>79.400000000000006</v>
      </c>
    </row>
    <row r="570" spans="1:10" x14ac:dyDescent="0.2">
      <c r="A570">
        <v>2005</v>
      </c>
      <c r="B570" s="1" t="s">
        <v>18</v>
      </c>
      <c r="C570" s="1" t="s">
        <v>13</v>
      </c>
      <c r="D570">
        <v>0</v>
      </c>
      <c r="E570">
        <v>0</v>
      </c>
      <c r="F570">
        <v>40290</v>
      </c>
      <c r="G570">
        <v>133000</v>
      </c>
      <c r="H570">
        <v>143454</v>
      </c>
      <c r="I570">
        <v>231159</v>
      </c>
      <c r="J570">
        <v>79.400000000000006</v>
      </c>
    </row>
    <row r="571" spans="1:10" x14ac:dyDescent="0.2">
      <c r="A571">
        <v>2005</v>
      </c>
      <c r="B571" s="1" t="s">
        <v>18</v>
      </c>
      <c r="C571" s="1" t="s">
        <v>14</v>
      </c>
      <c r="D571">
        <v>0</v>
      </c>
      <c r="E571">
        <v>0</v>
      </c>
      <c r="F571">
        <v>55608</v>
      </c>
      <c r="G571">
        <v>84000</v>
      </c>
      <c r="H571">
        <v>93059</v>
      </c>
      <c r="I571">
        <v>145995</v>
      </c>
      <c r="J571">
        <v>79.400000000000006</v>
      </c>
    </row>
    <row r="572" spans="1:10" x14ac:dyDescent="0.2">
      <c r="A572">
        <v>2005</v>
      </c>
      <c r="B572" s="1" t="s">
        <v>19</v>
      </c>
      <c r="C572" s="1" t="s">
        <v>11</v>
      </c>
      <c r="D572">
        <v>0</v>
      </c>
      <c r="E572">
        <v>0</v>
      </c>
      <c r="F572">
        <v>42499</v>
      </c>
      <c r="G572">
        <v>315000</v>
      </c>
      <c r="H572">
        <v>377151</v>
      </c>
      <c r="I572">
        <v>547481</v>
      </c>
      <c r="J572">
        <v>79.400000000000006</v>
      </c>
    </row>
    <row r="573" spans="1:10" x14ac:dyDescent="0.2">
      <c r="A573">
        <v>2005</v>
      </c>
      <c r="B573" s="1" t="s">
        <v>19</v>
      </c>
      <c r="C573" s="1" t="s">
        <v>12</v>
      </c>
      <c r="D573">
        <v>0</v>
      </c>
      <c r="E573">
        <v>0</v>
      </c>
      <c r="F573">
        <v>39158</v>
      </c>
      <c r="G573">
        <v>141500</v>
      </c>
      <c r="H573">
        <v>155572</v>
      </c>
      <c r="I573">
        <v>245932</v>
      </c>
      <c r="J573">
        <v>79.400000000000006</v>
      </c>
    </row>
    <row r="574" spans="1:10" x14ac:dyDescent="0.2">
      <c r="A574">
        <v>2005</v>
      </c>
      <c r="B574" s="1" t="s">
        <v>19</v>
      </c>
      <c r="C574" s="1" t="s">
        <v>13</v>
      </c>
      <c r="D574">
        <v>0</v>
      </c>
      <c r="E574">
        <v>0</v>
      </c>
      <c r="F574">
        <v>45530</v>
      </c>
      <c r="G574">
        <v>200000</v>
      </c>
      <c r="H574">
        <v>216088</v>
      </c>
      <c r="I574">
        <v>347607</v>
      </c>
      <c r="J574">
        <v>79.400000000000006</v>
      </c>
    </row>
    <row r="575" spans="1:10" x14ac:dyDescent="0.2">
      <c r="A575">
        <v>2005</v>
      </c>
      <c r="B575" s="1" t="s">
        <v>19</v>
      </c>
      <c r="C575" s="1" t="s">
        <v>14</v>
      </c>
      <c r="D575">
        <v>0</v>
      </c>
      <c r="E575">
        <v>0</v>
      </c>
      <c r="F575">
        <v>48354</v>
      </c>
      <c r="G575">
        <v>165000</v>
      </c>
      <c r="H575">
        <v>179965</v>
      </c>
      <c r="I575">
        <v>286776</v>
      </c>
      <c r="J575">
        <v>79.400000000000006</v>
      </c>
    </row>
    <row r="576" spans="1:10" x14ac:dyDescent="0.2">
      <c r="A576">
        <v>2005</v>
      </c>
      <c r="B576" s="1" t="s">
        <v>20</v>
      </c>
      <c r="C576" s="1" t="s">
        <v>11</v>
      </c>
      <c r="D576">
        <v>0</v>
      </c>
      <c r="E576">
        <v>0</v>
      </c>
      <c r="F576">
        <v>28766</v>
      </c>
      <c r="G576">
        <v>250000</v>
      </c>
      <c r="H576">
        <v>295128</v>
      </c>
      <c r="I576">
        <v>434509</v>
      </c>
      <c r="J576">
        <v>79.400000000000006</v>
      </c>
    </row>
    <row r="577" spans="1:10" x14ac:dyDescent="0.2">
      <c r="A577">
        <v>2005</v>
      </c>
      <c r="B577" s="1" t="s">
        <v>20</v>
      </c>
      <c r="C577" s="1" t="s">
        <v>12</v>
      </c>
      <c r="D577">
        <v>0</v>
      </c>
      <c r="E577">
        <v>0</v>
      </c>
      <c r="F577">
        <v>20014</v>
      </c>
      <c r="G577">
        <v>128500</v>
      </c>
      <c r="H577">
        <v>145386</v>
      </c>
      <c r="I577">
        <v>223338</v>
      </c>
      <c r="J577">
        <v>79.400000000000006</v>
      </c>
    </row>
    <row r="578" spans="1:10" x14ac:dyDescent="0.2">
      <c r="A578">
        <v>2005</v>
      </c>
      <c r="B578" s="1" t="s">
        <v>20</v>
      </c>
      <c r="C578" s="1" t="s">
        <v>13</v>
      </c>
      <c r="D578">
        <v>0</v>
      </c>
      <c r="E578">
        <v>0</v>
      </c>
      <c r="F578">
        <v>25898</v>
      </c>
      <c r="G578">
        <v>168500</v>
      </c>
      <c r="H578">
        <v>183318</v>
      </c>
      <c r="I578">
        <v>292859</v>
      </c>
      <c r="J578">
        <v>79.400000000000006</v>
      </c>
    </row>
    <row r="579" spans="1:10" x14ac:dyDescent="0.2">
      <c r="A579">
        <v>2005</v>
      </c>
      <c r="B579" s="1" t="s">
        <v>20</v>
      </c>
      <c r="C579" s="1" t="s">
        <v>14</v>
      </c>
      <c r="D579">
        <v>0</v>
      </c>
      <c r="E579">
        <v>0</v>
      </c>
      <c r="F579">
        <v>33909</v>
      </c>
      <c r="G579">
        <v>145000</v>
      </c>
      <c r="H579">
        <v>158682</v>
      </c>
      <c r="I579">
        <v>252015</v>
      </c>
      <c r="J579">
        <v>79.400000000000006</v>
      </c>
    </row>
    <row r="580" spans="1:10" x14ac:dyDescent="0.2">
      <c r="A580">
        <v>2005</v>
      </c>
      <c r="B580" s="1" t="s">
        <v>21</v>
      </c>
      <c r="C580" s="1" t="s">
        <v>11</v>
      </c>
      <c r="D580">
        <v>0</v>
      </c>
      <c r="E580">
        <v>0</v>
      </c>
      <c r="F580">
        <v>12557</v>
      </c>
      <c r="G580">
        <v>195000</v>
      </c>
      <c r="H580">
        <v>213475</v>
      </c>
      <c r="I580">
        <v>338917</v>
      </c>
      <c r="J580">
        <v>79.400000000000006</v>
      </c>
    </row>
    <row r="581" spans="1:10" x14ac:dyDescent="0.2">
      <c r="A581">
        <v>2005</v>
      </c>
      <c r="B581" s="1" t="s">
        <v>21</v>
      </c>
      <c r="C581" s="1" t="s">
        <v>12</v>
      </c>
      <c r="D581">
        <v>0</v>
      </c>
      <c r="E581">
        <v>0</v>
      </c>
      <c r="F581">
        <v>3966</v>
      </c>
      <c r="G581">
        <v>124125</v>
      </c>
      <c r="H581">
        <v>131638</v>
      </c>
      <c r="I581">
        <v>215734</v>
      </c>
      <c r="J581">
        <v>79.400000000000006</v>
      </c>
    </row>
    <row r="582" spans="1:10" x14ac:dyDescent="0.2">
      <c r="A582">
        <v>2005</v>
      </c>
      <c r="B582" s="1" t="s">
        <v>21</v>
      </c>
      <c r="C582" s="1" t="s">
        <v>13</v>
      </c>
      <c r="D582">
        <v>0</v>
      </c>
      <c r="E582">
        <v>0</v>
      </c>
      <c r="F582">
        <v>13762</v>
      </c>
      <c r="G582">
        <v>123000</v>
      </c>
      <c r="H582">
        <v>130442</v>
      </c>
      <c r="I582">
        <v>213778</v>
      </c>
      <c r="J582">
        <v>79.400000000000006</v>
      </c>
    </row>
    <row r="583" spans="1:10" x14ac:dyDescent="0.2">
      <c r="A583">
        <v>2005</v>
      </c>
      <c r="B583" s="1" t="s">
        <v>21</v>
      </c>
      <c r="C583" s="1" t="s">
        <v>14</v>
      </c>
      <c r="D583">
        <v>0</v>
      </c>
      <c r="E583">
        <v>0</v>
      </c>
      <c r="F583">
        <v>18019</v>
      </c>
      <c r="G583">
        <v>94000</v>
      </c>
      <c r="H583">
        <v>104133</v>
      </c>
      <c r="I583">
        <v>163375</v>
      </c>
      <c r="J583">
        <v>79.400000000000006</v>
      </c>
    </row>
    <row r="584" spans="1:10" x14ac:dyDescent="0.2">
      <c r="A584">
        <v>2005</v>
      </c>
      <c r="B584" s="1" t="s">
        <v>22</v>
      </c>
      <c r="C584" s="1" t="s">
        <v>11</v>
      </c>
      <c r="D584">
        <v>0</v>
      </c>
      <c r="E584">
        <v>0</v>
      </c>
      <c r="F584">
        <v>19710</v>
      </c>
      <c r="G584">
        <v>235000</v>
      </c>
      <c r="H584">
        <v>265043</v>
      </c>
      <c r="I584">
        <v>408438</v>
      </c>
      <c r="J584">
        <v>79.400000000000006</v>
      </c>
    </row>
    <row r="585" spans="1:10" x14ac:dyDescent="0.2">
      <c r="A585">
        <v>2005</v>
      </c>
      <c r="B585" s="1" t="s">
        <v>22</v>
      </c>
      <c r="C585" s="1" t="s">
        <v>12</v>
      </c>
      <c r="D585">
        <v>0</v>
      </c>
      <c r="E585">
        <v>0</v>
      </c>
      <c r="F585">
        <v>13129</v>
      </c>
      <c r="G585">
        <v>116000</v>
      </c>
      <c r="H585">
        <v>124969</v>
      </c>
      <c r="I585">
        <v>201612</v>
      </c>
      <c r="J585">
        <v>79.400000000000006</v>
      </c>
    </row>
    <row r="586" spans="1:10" x14ac:dyDescent="0.2">
      <c r="A586">
        <v>2005</v>
      </c>
      <c r="B586" s="1" t="s">
        <v>22</v>
      </c>
      <c r="C586" s="1" t="s">
        <v>13</v>
      </c>
      <c r="D586">
        <v>0</v>
      </c>
      <c r="E586">
        <v>0</v>
      </c>
      <c r="F586">
        <v>32029</v>
      </c>
      <c r="G586">
        <v>135000</v>
      </c>
      <c r="H586">
        <v>145749</v>
      </c>
      <c r="I586">
        <v>234635</v>
      </c>
      <c r="J586">
        <v>79.400000000000006</v>
      </c>
    </row>
    <row r="587" spans="1:10" x14ac:dyDescent="0.2">
      <c r="A587">
        <v>2005</v>
      </c>
      <c r="B587" s="1" t="s">
        <v>22</v>
      </c>
      <c r="C587" s="1" t="s">
        <v>14</v>
      </c>
      <c r="D587">
        <v>0</v>
      </c>
      <c r="E587">
        <v>0</v>
      </c>
      <c r="F587">
        <v>31124</v>
      </c>
      <c r="G587">
        <v>110000</v>
      </c>
      <c r="H587">
        <v>118022</v>
      </c>
      <c r="I587">
        <v>191184</v>
      </c>
      <c r="J587">
        <v>79.400000000000006</v>
      </c>
    </row>
    <row r="588" spans="1:10" x14ac:dyDescent="0.2">
      <c r="A588">
        <v>2005</v>
      </c>
      <c r="B588" s="1" t="s">
        <v>23</v>
      </c>
      <c r="C588" s="1" t="s">
        <v>11</v>
      </c>
      <c r="D588">
        <v>0</v>
      </c>
      <c r="E588">
        <v>0</v>
      </c>
      <c r="F588">
        <v>18936</v>
      </c>
      <c r="G588">
        <v>208500</v>
      </c>
      <c r="H588">
        <v>236640</v>
      </c>
      <c r="I588">
        <v>362380</v>
      </c>
      <c r="J588">
        <v>79.400000000000006</v>
      </c>
    </row>
    <row r="589" spans="1:10" x14ac:dyDescent="0.2">
      <c r="A589">
        <v>2005</v>
      </c>
      <c r="B589" s="1" t="s">
        <v>23</v>
      </c>
      <c r="C589" s="1" t="s">
        <v>12</v>
      </c>
      <c r="D589">
        <v>0</v>
      </c>
      <c r="E589">
        <v>0</v>
      </c>
      <c r="F589">
        <v>10567</v>
      </c>
      <c r="G589">
        <v>119500</v>
      </c>
      <c r="H589">
        <v>127814</v>
      </c>
      <c r="I589">
        <v>207695</v>
      </c>
      <c r="J589">
        <v>79.400000000000006</v>
      </c>
    </row>
    <row r="590" spans="1:10" x14ac:dyDescent="0.2">
      <c r="A590">
        <v>2005</v>
      </c>
      <c r="B590" s="1" t="s">
        <v>23</v>
      </c>
      <c r="C590" s="1" t="s">
        <v>13</v>
      </c>
      <c r="D590">
        <v>0</v>
      </c>
      <c r="E590">
        <v>0</v>
      </c>
      <c r="F590">
        <v>32890</v>
      </c>
      <c r="G590">
        <v>124950</v>
      </c>
      <c r="H590">
        <v>133226</v>
      </c>
      <c r="I590">
        <v>217168</v>
      </c>
      <c r="J590">
        <v>79.400000000000006</v>
      </c>
    </row>
    <row r="591" spans="1:10" x14ac:dyDescent="0.2">
      <c r="A591">
        <v>2005</v>
      </c>
      <c r="B591" s="1" t="s">
        <v>23</v>
      </c>
      <c r="C591" s="1" t="s">
        <v>14</v>
      </c>
      <c r="D591">
        <v>0</v>
      </c>
      <c r="E591">
        <v>0</v>
      </c>
      <c r="F591">
        <v>40459</v>
      </c>
      <c r="G591">
        <v>89000</v>
      </c>
      <c r="H591">
        <v>100678</v>
      </c>
      <c r="I591">
        <v>154685</v>
      </c>
      <c r="J591">
        <v>79.400000000000006</v>
      </c>
    </row>
    <row r="592" spans="1:10" x14ac:dyDescent="0.2">
      <c r="A592">
        <v>2005</v>
      </c>
      <c r="B592" s="1" t="s">
        <v>10</v>
      </c>
      <c r="C592" s="1" t="s">
        <v>24</v>
      </c>
      <c r="D592">
        <v>0</v>
      </c>
      <c r="E592">
        <v>1</v>
      </c>
      <c r="F592">
        <v>87499</v>
      </c>
      <c r="G592">
        <v>132000</v>
      </c>
      <c r="H592">
        <v>153359</v>
      </c>
      <c r="I592">
        <v>229421</v>
      </c>
      <c r="J592">
        <v>79.400000000000006</v>
      </c>
    </row>
    <row r="593" spans="1:10" x14ac:dyDescent="0.2">
      <c r="A593">
        <v>2005</v>
      </c>
      <c r="B593" s="1" t="s">
        <v>15</v>
      </c>
      <c r="C593" s="1" t="s">
        <v>24</v>
      </c>
      <c r="D593">
        <v>0</v>
      </c>
      <c r="E593">
        <v>1</v>
      </c>
      <c r="F593">
        <v>118565</v>
      </c>
      <c r="G593">
        <v>169995</v>
      </c>
      <c r="H593">
        <v>199958</v>
      </c>
      <c r="I593">
        <v>295457</v>
      </c>
      <c r="J593">
        <v>79.400000000000006</v>
      </c>
    </row>
    <row r="594" spans="1:10" x14ac:dyDescent="0.2">
      <c r="A594">
        <v>2005</v>
      </c>
      <c r="B594" s="1" t="s">
        <v>16</v>
      </c>
      <c r="C594" s="1" t="s">
        <v>24</v>
      </c>
      <c r="D594">
        <v>0</v>
      </c>
      <c r="E594">
        <v>1</v>
      </c>
      <c r="F594">
        <v>138604</v>
      </c>
      <c r="G594">
        <v>230000</v>
      </c>
      <c r="H594">
        <v>290525</v>
      </c>
      <c r="I594">
        <v>399748</v>
      </c>
      <c r="J594">
        <v>79.400000000000006</v>
      </c>
    </row>
    <row r="595" spans="1:10" x14ac:dyDescent="0.2">
      <c r="A595">
        <v>2005</v>
      </c>
      <c r="B595" s="1" t="s">
        <v>17</v>
      </c>
      <c r="C595" s="1" t="s">
        <v>24</v>
      </c>
      <c r="D595">
        <v>0</v>
      </c>
      <c r="E595">
        <v>1</v>
      </c>
      <c r="F595">
        <v>50167</v>
      </c>
      <c r="G595">
        <v>108995</v>
      </c>
      <c r="H595">
        <v>126202</v>
      </c>
      <c r="I595">
        <v>189437</v>
      </c>
      <c r="J595">
        <v>79.400000000000006</v>
      </c>
    </row>
    <row r="596" spans="1:10" x14ac:dyDescent="0.2">
      <c r="A596">
        <v>2005</v>
      </c>
      <c r="B596" s="1" t="s">
        <v>18</v>
      </c>
      <c r="C596" s="1" t="s">
        <v>24</v>
      </c>
      <c r="D596">
        <v>0</v>
      </c>
      <c r="E596">
        <v>1</v>
      </c>
      <c r="F596">
        <v>134815</v>
      </c>
      <c r="G596">
        <v>119000</v>
      </c>
      <c r="H596">
        <v>138400</v>
      </c>
      <c r="I596">
        <v>206826</v>
      </c>
      <c r="J596">
        <v>79.400000000000006</v>
      </c>
    </row>
    <row r="597" spans="1:10" x14ac:dyDescent="0.2">
      <c r="A597">
        <v>2005</v>
      </c>
      <c r="B597" s="1" t="s">
        <v>19</v>
      </c>
      <c r="C597" s="1" t="s">
        <v>24</v>
      </c>
      <c r="D597">
        <v>0</v>
      </c>
      <c r="E597">
        <v>1</v>
      </c>
      <c r="F597">
        <v>175541</v>
      </c>
      <c r="G597">
        <v>192000</v>
      </c>
      <c r="H597">
        <v>231632</v>
      </c>
      <c r="I597">
        <v>333703</v>
      </c>
      <c r="J597">
        <v>79.400000000000006</v>
      </c>
    </row>
    <row r="598" spans="1:10" x14ac:dyDescent="0.2">
      <c r="A598">
        <v>2005</v>
      </c>
      <c r="B598" s="1" t="s">
        <v>20</v>
      </c>
      <c r="C598" s="1" t="s">
        <v>24</v>
      </c>
      <c r="D598">
        <v>0</v>
      </c>
      <c r="E598">
        <v>1</v>
      </c>
      <c r="F598">
        <v>108587</v>
      </c>
      <c r="G598">
        <v>169950</v>
      </c>
      <c r="H598">
        <v>198253</v>
      </c>
      <c r="I598">
        <v>295379</v>
      </c>
      <c r="J598">
        <v>79.400000000000006</v>
      </c>
    </row>
    <row r="599" spans="1:10" x14ac:dyDescent="0.2">
      <c r="A599">
        <v>2005</v>
      </c>
      <c r="B599" s="1" t="s">
        <v>21</v>
      </c>
      <c r="C599" s="1" t="s">
        <v>24</v>
      </c>
      <c r="D599">
        <v>0</v>
      </c>
      <c r="E599">
        <v>1</v>
      </c>
      <c r="F599">
        <v>48304</v>
      </c>
      <c r="G599">
        <v>125000</v>
      </c>
      <c r="H599">
        <v>142311</v>
      </c>
      <c r="I599">
        <v>217254</v>
      </c>
      <c r="J599">
        <v>79.400000000000006</v>
      </c>
    </row>
    <row r="600" spans="1:10" x14ac:dyDescent="0.2">
      <c r="A600">
        <v>2005</v>
      </c>
      <c r="B600" s="1" t="s">
        <v>22</v>
      </c>
      <c r="C600" s="1" t="s">
        <v>24</v>
      </c>
      <c r="D600">
        <v>0</v>
      </c>
      <c r="E600">
        <v>1</v>
      </c>
      <c r="F600">
        <v>95992</v>
      </c>
      <c r="G600">
        <v>134000</v>
      </c>
      <c r="H600">
        <v>158411</v>
      </c>
      <c r="I600">
        <v>232897</v>
      </c>
      <c r="J600">
        <v>79.400000000000006</v>
      </c>
    </row>
    <row r="601" spans="1:10" x14ac:dyDescent="0.2">
      <c r="A601">
        <v>2005</v>
      </c>
      <c r="B601" s="1" t="s">
        <v>23</v>
      </c>
      <c r="C601" s="1" t="s">
        <v>24</v>
      </c>
      <c r="D601">
        <v>0</v>
      </c>
      <c r="E601">
        <v>1</v>
      </c>
      <c r="F601">
        <v>102852</v>
      </c>
      <c r="G601">
        <v>119995</v>
      </c>
      <c r="H601">
        <v>138906</v>
      </c>
      <c r="I601">
        <v>208556</v>
      </c>
      <c r="J601">
        <v>79.400000000000006</v>
      </c>
    </row>
    <row r="602" spans="1:10" x14ac:dyDescent="0.2">
      <c r="A602">
        <v>2005</v>
      </c>
      <c r="B602" s="1" t="s">
        <v>25</v>
      </c>
      <c r="C602" s="1" t="s">
        <v>11</v>
      </c>
      <c r="D602">
        <v>1</v>
      </c>
      <c r="E602">
        <v>0</v>
      </c>
      <c r="F602">
        <v>213269</v>
      </c>
      <c r="G602">
        <v>245000</v>
      </c>
      <c r="H602">
        <v>291827</v>
      </c>
      <c r="I602">
        <v>425819</v>
      </c>
      <c r="J602">
        <v>79.400000000000006</v>
      </c>
    </row>
    <row r="603" spans="1:10" x14ac:dyDescent="0.2">
      <c r="A603">
        <v>2005</v>
      </c>
      <c r="B603" s="1" t="s">
        <v>25</v>
      </c>
      <c r="C603" s="1" t="s">
        <v>12</v>
      </c>
      <c r="D603">
        <v>1</v>
      </c>
      <c r="E603">
        <v>0</v>
      </c>
      <c r="F603">
        <v>212006</v>
      </c>
      <c r="G603">
        <v>147245</v>
      </c>
      <c r="H603">
        <v>175101</v>
      </c>
      <c r="I603">
        <v>255917</v>
      </c>
      <c r="J603">
        <v>79.400000000000006</v>
      </c>
    </row>
    <row r="604" spans="1:10" x14ac:dyDescent="0.2">
      <c r="A604">
        <v>2005</v>
      </c>
      <c r="B604" s="1" t="s">
        <v>25</v>
      </c>
      <c r="C604" s="1" t="s">
        <v>13</v>
      </c>
      <c r="D604">
        <v>1</v>
      </c>
      <c r="E604">
        <v>0</v>
      </c>
      <c r="F604">
        <v>287944</v>
      </c>
      <c r="G604">
        <v>153000</v>
      </c>
      <c r="H604">
        <v>173577</v>
      </c>
      <c r="I604">
        <v>265919</v>
      </c>
      <c r="J604">
        <v>79.400000000000006</v>
      </c>
    </row>
    <row r="605" spans="1:10" x14ac:dyDescent="0.2">
      <c r="A605">
        <v>2005</v>
      </c>
      <c r="B605" s="1" t="s">
        <v>25</v>
      </c>
      <c r="C605" s="1" t="s">
        <v>14</v>
      </c>
      <c r="D605">
        <v>1</v>
      </c>
      <c r="E605">
        <v>0</v>
      </c>
      <c r="F605">
        <v>348457</v>
      </c>
      <c r="G605">
        <v>125600</v>
      </c>
      <c r="H605">
        <v>148561</v>
      </c>
      <c r="I605">
        <v>218297</v>
      </c>
      <c r="J605">
        <v>79.400000000000006</v>
      </c>
    </row>
    <row r="606" spans="1:10" x14ac:dyDescent="0.2">
      <c r="A606">
        <v>2005</v>
      </c>
      <c r="B606" s="1" t="s">
        <v>25</v>
      </c>
      <c r="C606" s="1" t="s">
        <v>24</v>
      </c>
      <c r="D606">
        <v>1</v>
      </c>
      <c r="E606">
        <v>1</v>
      </c>
      <c r="F606">
        <v>1061676</v>
      </c>
      <c r="G606">
        <v>157500</v>
      </c>
      <c r="H606">
        <v>189425</v>
      </c>
      <c r="I606">
        <v>273741</v>
      </c>
      <c r="J606">
        <v>79.400000000000006</v>
      </c>
    </row>
    <row r="607" spans="1:10" x14ac:dyDescent="0.2">
      <c r="A607">
        <v>2006</v>
      </c>
      <c r="B607" s="1" t="s">
        <v>10</v>
      </c>
      <c r="C607" s="1" t="s">
        <v>11</v>
      </c>
      <c r="D607">
        <v>0</v>
      </c>
      <c r="E607">
        <v>0</v>
      </c>
      <c r="F607">
        <v>33083</v>
      </c>
      <c r="G607">
        <v>205000</v>
      </c>
      <c r="H607">
        <v>232597</v>
      </c>
      <c r="I607">
        <v>347543</v>
      </c>
      <c r="J607">
        <v>81.400000000000006</v>
      </c>
    </row>
    <row r="608" spans="1:10" x14ac:dyDescent="0.2">
      <c r="A608">
        <v>2006</v>
      </c>
      <c r="B608" s="1" t="s">
        <v>10</v>
      </c>
      <c r="C608" s="1" t="s">
        <v>12</v>
      </c>
      <c r="D608">
        <v>0</v>
      </c>
      <c r="E608">
        <v>0</v>
      </c>
      <c r="F608">
        <v>9390</v>
      </c>
      <c r="G608">
        <v>115000</v>
      </c>
      <c r="H608">
        <v>118787</v>
      </c>
      <c r="I608">
        <v>194963</v>
      </c>
      <c r="J608">
        <v>81.400000000000006</v>
      </c>
    </row>
    <row r="609" spans="1:10" x14ac:dyDescent="0.2">
      <c r="A609">
        <v>2006</v>
      </c>
      <c r="B609" s="1" t="s">
        <v>10</v>
      </c>
      <c r="C609" s="1" t="s">
        <v>13</v>
      </c>
      <c r="D609">
        <v>0</v>
      </c>
      <c r="E609">
        <v>0</v>
      </c>
      <c r="F609">
        <v>36545</v>
      </c>
      <c r="G609">
        <v>130000</v>
      </c>
      <c r="H609">
        <v>138626</v>
      </c>
      <c r="I609">
        <v>220393</v>
      </c>
      <c r="J609">
        <v>81.400000000000006</v>
      </c>
    </row>
    <row r="610" spans="1:10" x14ac:dyDescent="0.2">
      <c r="A610">
        <v>2006</v>
      </c>
      <c r="B610" s="1" t="s">
        <v>10</v>
      </c>
      <c r="C610" s="1" t="s">
        <v>14</v>
      </c>
      <c r="D610">
        <v>0</v>
      </c>
      <c r="E610">
        <v>0</v>
      </c>
      <c r="F610">
        <v>29792</v>
      </c>
      <c r="G610">
        <v>110000</v>
      </c>
      <c r="H610">
        <v>117082</v>
      </c>
      <c r="I610">
        <v>186486</v>
      </c>
      <c r="J610">
        <v>81.400000000000006</v>
      </c>
    </row>
    <row r="611" spans="1:10" x14ac:dyDescent="0.2">
      <c r="A611">
        <v>2006</v>
      </c>
      <c r="B611" s="1" t="s">
        <v>15</v>
      </c>
      <c r="C611" s="1" t="s">
        <v>11</v>
      </c>
      <c r="D611">
        <v>0</v>
      </c>
      <c r="E611">
        <v>0</v>
      </c>
      <c r="F611">
        <v>40498</v>
      </c>
      <c r="G611">
        <v>250000</v>
      </c>
      <c r="H611">
        <v>309130</v>
      </c>
      <c r="I611">
        <v>423833</v>
      </c>
      <c r="J611">
        <v>81.400000000000006</v>
      </c>
    </row>
    <row r="612" spans="1:10" x14ac:dyDescent="0.2">
      <c r="A612">
        <v>2006</v>
      </c>
      <c r="B612" s="1" t="s">
        <v>15</v>
      </c>
      <c r="C612" s="1" t="s">
        <v>12</v>
      </c>
      <c r="D612">
        <v>0</v>
      </c>
      <c r="E612">
        <v>0</v>
      </c>
      <c r="F612">
        <v>25661</v>
      </c>
      <c r="G612">
        <v>135000</v>
      </c>
      <c r="H612">
        <v>148323</v>
      </c>
      <c r="I612">
        <v>228870</v>
      </c>
      <c r="J612">
        <v>81.400000000000006</v>
      </c>
    </row>
    <row r="613" spans="1:10" x14ac:dyDescent="0.2">
      <c r="A613">
        <v>2006</v>
      </c>
      <c r="B613" s="1" t="s">
        <v>15</v>
      </c>
      <c r="C613" s="1" t="s">
        <v>13</v>
      </c>
      <c r="D613">
        <v>0</v>
      </c>
      <c r="E613">
        <v>0</v>
      </c>
      <c r="F613">
        <v>41073</v>
      </c>
      <c r="G613">
        <v>178500</v>
      </c>
      <c r="H613">
        <v>197914</v>
      </c>
      <c r="I613">
        <v>302617</v>
      </c>
      <c r="J613">
        <v>81.400000000000006</v>
      </c>
    </row>
    <row r="614" spans="1:10" x14ac:dyDescent="0.2">
      <c r="A614">
        <v>2006</v>
      </c>
      <c r="B614" s="1" t="s">
        <v>15</v>
      </c>
      <c r="C614" s="1" t="s">
        <v>14</v>
      </c>
      <c r="D614">
        <v>0</v>
      </c>
      <c r="E614">
        <v>0</v>
      </c>
      <c r="F614">
        <v>41887</v>
      </c>
      <c r="G614">
        <v>155500</v>
      </c>
      <c r="H614">
        <v>170338</v>
      </c>
      <c r="I614">
        <v>263624</v>
      </c>
      <c r="J614">
        <v>81.400000000000006</v>
      </c>
    </row>
    <row r="615" spans="1:10" x14ac:dyDescent="0.2">
      <c r="A615">
        <v>2006</v>
      </c>
      <c r="B615" s="1" t="s">
        <v>16</v>
      </c>
      <c r="C615" s="1" t="s">
        <v>11</v>
      </c>
      <c r="D615">
        <v>0</v>
      </c>
      <c r="E615">
        <v>0</v>
      </c>
      <c r="F615">
        <v>7352</v>
      </c>
      <c r="G615">
        <v>480000</v>
      </c>
      <c r="H615">
        <v>634931</v>
      </c>
      <c r="I615">
        <v>813759</v>
      </c>
      <c r="J615">
        <v>81.400000000000006</v>
      </c>
    </row>
    <row r="616" spans="1:10" x14ac:dyDescent="0.2">
      <c r="A616">
        <v>2006</v>
      </c>
      <c r="B616" s="1" t="s">
        <v>16</v>
      </c>
      <c r="C616" s="1" t="s">
        <v>12</v>
      </c>
      <c r="D616">
        <v>0</v>
      </c>
      <c r="E616">
        <v>0</v>
      </c>
      <c r="F616">
        <v>88402</v>
      </c>
      <c r="G616">
        <v>217500</v>
      </c>
      <c r="H616">
        <v>267697</v>
      </c>
      <c r="I616">
        <v>368735</v>
      </c>
      <c r="J616">
        <v>81.400000000000006</v>
      </c>
    </row>
    <row r="617" spans="1:10" x14ac:dyDescent="0.2">
      <c r="A617">
        <v>2006</v>
      </c>
      <c r="B617" s="1" t="s">
        <v>16</v>
      </c>
      <c r="C617" s="1" t="s">
        <v>13</v>
      </c>
      <c r="D617">
        <v>0</v>
      </c>
      <c r="E617">
        <v>0</v>
      </c>
      <c r="F617">
        <v>26260</v>
      </c>
      <c r="G617">
        <v>285000</v>
      </c>
      <c r="H617">
        <v>355975</v>
      </c>
      <c r="I617">
        <v>483170</v>
      </c>
      <c r="J617">
        <v>81.400000000000006</v>
      </c>
    </row>
    <row r="618" spans="1:10" x14ac:dyDescent="0.2">
      <c r="A618">
        <v>2006</v>
      </c>
      <c r="B618" s="1" t="s">
        <v>16</v>
      </c>
      <c r="C618" s="1" t="s">
        <v>14</v>
      </c>
      <c r="D618">
        <v>0</v>
      </c>
      <c r="E618">
        <v>0</v>
      </c>
      <c r="F618">
        <v>51557</v>
      </c>
      <c r="G618">
        <v>245500</v>
      </c>
      <c r="H618">
        <v>333611</v>
      </c>
      <c r="I618">
        <v>416204</v>
      </c>
      <c r="J618">
        <v>81.400000000000006</v>
      </c>
    </row>
    <row r="619" spans="1:10" x14ac:dyDescent="0.2">
      <c r="A619">
        <v>2006</v>
      </c>
      <c r="B619" s="1" t="s">
        <v>17</v>
      </c>
      <c r="C619" s="1" t="s">
        <v>11</v>
      </c>
      <c r="D619">
        <v>0</v>
      </c>
      <c r="E619">
        <v>0</v>
      </c>
      <c r="F619">
        <v>9623</v>
      </c>
      <c r="G619">
        <v>205000</v>
      </c>
      <c r="H619">
        <v>233584</v>
      </c>
      <c r="I619">
        <v>347543</v>
      </c>
      <c r="J619">
        <v>81.400000000000006</v>
      </c>
    </row>
    <row r="620" spans="1:10" x14ac:dyDescent="0.2">
      <c r="A620">
        <v>2006</v>
      </c>
      <c r="B620" s="1" t="s">
        <v>17</v>
      </c>
      <c r="C620" s="1" t="s">
        <v>12</v>
      </c>
      <c r="D620">
        <v>0</v>
      </c>
      <c r="E620">
        <v>0</v>
      </c>
      <c r="F620">
        <v>9433</v>
      </c>
      <c r="G620">
        <v>102500</v>
      </c>
      <c r="H620">
        <v>112243</v>
      </c>
      <c r="I620">
        <v>173771</v>
      </c>
      <c r="J620">
        <v>81.400000000000006</v>
      </c>
    </row>
    <row r="621" spans="1:10" x14ac:dyDescent="0.2">
      <c r="A621">
        <v>2006</v>
      </c>
      <c r="B621" s="1" t="s">
        <v>17</v>
      </c>
      <c r="C621" s="1" t="s">
        <v>13</v>
      </c>
      <c r="D621">
        <v>0</v>
      </c>
      <c r="E621">
        <v>0</v>
      </c>
      <c r="F621">
        <v>17999</v>
      </c>
      <c r="G621">
        <v>127000</v>
      </c>
      <c r="H621">
        <v>136485</v>
      </c>
      <c r="I621">
        <v>215307</v>
      </c>
      <c r="J621">
        <v>81.400000000000006</v>
      </c>
    </row>
    <row r="622" spans="1:10" x14ac:dyDescent="0.2">
      <c r="A622">
        <v>2006</v>
      </c>
      <c r="B622" s="1" t="s">
        <v>17</v>
      </c>
      <c r="C622" s="1" t="s">
        <v>14</v>
      </c>
      <c r="D622">
        <v>0</v>
      </c>
      <c r="E622">
        <v>0</v>
      </c>
      <c r="F622">
        <v>23337</v>
      </c>
      <c r="G622">
        <v>90000</v>
      </c>
      <c r="H622">
        <v>106286</v>
      </c>
      <c r="I622">
        <v>152580</v>
      </c>
      <c r="J622">
        <v>81.400000000000006</v>
      </c>
    </row>
    <row r="623" spans="1:10" x14ac:dyDescent="0.2">
      <c r="A623">
        <v>2006</v>
      </c>
      <c r="B623" s="1" t="s">
        <v>18</v>
      </c>
      <c r="C623" s="1" t="s">
        <v>11</v>
      </c>
      <c r="D623">
        <v>0</v>
      </c>
      <c r="E623">
        <v>0</v>
      </c>
      <c r="F623">
        <v>24919</v>
      </c>
      <c r="G623">
        <v>232500</v>
      </c>
      <c r="H623">
        <v>272977</v>
      </c>
      <c r="I623">
        <v>394165</v>
      </c>
      <c r="J623">
        <v>81.400000000000006</v>
      </c>
    </row>
    <row r="624" spans="1:10" x14ac:dyDescent="0.2">
      <c r="A624">
        <v>2006</v>
      </c>
      <c r="B624" s="1" t="s">
        <v>18</v>
      </c>
      <c r="C624" s="1" t="s">
        <v>12</v>
      </c>
      <c r="D624">
        <v>0</v>
      </c>
      <c r="E624">
        <v>0</v>
      </c>
      <c r="F624">
        <v>23699</v>
      </c>
      <c r="G624">
        <v>127000</v>
      </c>
      <c r="H624">
        <v>139244</v>
      </c>
      <c r="I624">
        <v>215307</v>
      </c>
      <c r="J624">
        <v>81.400000000000006</v>
      </c>
    </row>
    <row r="625" spans="1:10" x14ac:dyDescent="0.2">
      <c r="A625">
        <v>2006</v>
      </c>
      <c r="B625" s="1" t="s">
        <v>18</v>
      </c>
      <c r="C625" s="1" t="s">
        <v>13</v>
      </c>
      <c r="D625">
        <v>0</v>
      </c>
      <c r="E625">
        <v>0</v>
      </c>
      <c r="F625">
        <v>51553</v>
      </c>
      <c r="G625">
        <v>140000</v>
      </c>
      <c r="H625">
        <v>153164</v>
      </c>
      <c r="I625">
        <v>237346</v>
      </c>
      <c r="J625">
        <v>81.400000000000006</v>
      </c>
    </row>
    <row r="626" spans="1:10" x14ac:dyDescent="0.2">
      <c r="A626">
        <v>2006</v>
      </c>
      <c r="B626" s="1" t="s">
        <v>18</v>
      </c>
      <c r="C626" s="1" t="s">
        <v>14</v>
      </c>
      <c r="D626">
        <v>0</v>
      </c>
      <c r="E626">
        <v>0</v>
      </c>
      <c r="F626">
        <v>64050</v>
      </c>
      <c r="G626">
        <v>93000</v>
      </c>
      <c r="H626">
        <v>104516</v>
      </c>
      <c r="I626">
        <v>157666</v>
      </c>
      <c r="J626">
        <v>81.400000000000006</v>
      </c>
    </row>
    <row r="627" spans="1:10" x14ac:dyDescent="0.2">
      <c r="A627">
        <v>2006</v>
      </c>
      <c r="B627" s="1" t="s">
        <v>19</v>
      </c>
      <c r="C627" s="1" t="s">
        <v>11</v>
      </c>
      <c r="D627">
        <v>0</v>
      </c>
      <c r="E627">
        <v>0</v>
      </c>
      <c r="F627">
        <v>55947</v>
      </c>
      <c r="G627">
        <v>334000</v>
      </c>
      <c r="H627">
        <v>402464</v>
      </c>
      <c r="I627">
        <v>566241</v>
      </c>
      <c r="J627">
        <v>81.400000000000006</v>
      </c>
    </row>
    <row r="628" spans="1:10" x14ac:dyDescent="0.2">
      <c r="A628">
        <v>2006</v>
      </c>
      <c r="B628" s="1" t="s">
        <v>19</v>
      </c>
      <c r="C628" s="1" t="s">
        <v>12</v>
      </c>
      <c r="D628">
        <v>0</v>
      </c>
      <c r="E628">
        <v>0</v>
      </c>
      <c r="F628">
        <v>50460</v>
      </c>
      <c r="G628">
        <v>148000</v>
      </c>
      <c r="H628">
        <v>162797</v>
      </c>
      <c r="I628">
        <v>250909</v>
      </c>
      <c r="J628">
        <v>81.400000000000006</v>
      </c>
    </row>
    <row r="629" spans="1:10" x14ac:dyDescent="0.2">
      <c r="A629">
        <v>2006</v>
      </c>
      <c r="B629" s="1" t="s">
        <v>19</v>
      </c>
      <c r="C629" s="1" t="s">
        <v>13</v>
      </c>
      <c r="D629">
        <v>0</v>
      </c>
      <c r="E629">
        <v>0</v>
      </c>
      <c r="F629">
        <v>58008</v>
      </c>
      <c r="G629">
        <v>213000</v>
      </c>
      <c r="H629">
        <v>228829</v>
      </c>
      <c r="I629">
        <v>361106</v>
      </c>
      <c r="J629">
        <v>81.400000000000006</v>
      </c>
    </row>
    <row r="630" spans="1:10" x14ac:dyDescent="0.2">
      <c r="A630">
        <v>2006</v>
      </c>
      <c r="B630" s="1" t="s">
        <v>19</v>
      </c>
      <c r="C630" s="1" t="s">
        <v>14</v>
      </c>
      <c r="D630">
        <v>0</v>
      </c>
      <c r="E630">
        <v>0</v>
      </c>
      <c r="F630">
        <v>60494</v>
      </c>
      <c r="G630">
        <v>173000</v>
      </c>
      <c r="H630">
        <v>190400</v>
      </c>
      <c r="I630">
        <v>293292</v>
      </c>
      <c r="J630">
        <v>81.400000000000006</v>
      </c>
    </row>
    <row r="631" spans="1:10" x14ac:dyDescent="0.2">
      <c r="A631">
        <v>2006</v>
      </c>
      <c r="B631" s="1" t="s">
        <v>20</v>
      </c>
      <c r="C631" s="1" t="s">
        <v>11</v>
      </c>
      <c r="D631">
        <v>0</v>
      </c>
      <c r="E631">
        <v>0</v>
      </c>
      <c r="F631">
        <v>38125</v>
      </c>
      <c r="G631">
        <v>267000</v>
      </c>
      <c r="H631">
        <v>308774</v>
      </c>
      <c r="I631">
        <v>452654</v>
      </c>
      <c r="J631">
        <v>81.400000000000006</v>
      </c>
    </row>
    <row r="632" spans="1:10" x14ac:dyDescent="0.2">
      <c r="A632">
        <v>2006</v>
      </c>
      <c r="B632" s="1" t="s">
        <v>20</v>
      </c>
      <c r="C632" s="1" t="s">
        <v>12</v>
      </c>
      <c r="D632">
        <v>0</v>
      </c>
      <c r="E632">
        <v>0</v>
      </c>
      <c r="F632">
        <v>26762</v>
      </c>
      <c r="G632">
        <v>136000</v>
      </c>
      <c r="H632">
        <v>153426</v>
      </c>
      <c r="I632">
        <v>230565</v>
      </c>
      <c r="J632">
        <v>81.400000000000006</v>
      </c>
    </row>
    <row r="633" spans="1:10" x14ac:dyDescent="0.2">
      <c r="A633">
        <v>2006</v>
      </c>
      <c r="B633" s="1" t="s">
        <v>20</v>
      </c>
      <c r="C633" s="1" t="s">
        <v>13</v>
      </c>
      <c r="D633">
        <v>0</v>
      </c>
      <c r="E633">
        <v>0</v>
      </c>
      <c r="F633">
        <v>33100</v>
      </c>
      <c r="G633">
        <v>176000</v>
      </c>
      <c r="H633">
        <v>192579</v>
      </c>
      <c r="I633">
        <v>298378</v>
      </c>
      <c r="J633">
        <v>81.400000000000006</v>
      </c>
    </row>
    <row r="634" spans="1:10" x14ac:dyDescent="0.2">
      <c r="A634">
        <v>2006</v>
      </c>
      <c r="B634" s="1" t="s">
        <v>20</v>
      </c>
      <c r="C634" s="1" t="s">
        <v>14</v>
      </c>
      <c r="D634">
        <v>0</v>
      </c>
      <c r="E634">
        <v>0</v>
      </c>
      <c r="F634">
        <v>43047</v>
      </c>
      <c r="G634">
        <v>154000</v>
      </c>
      <c r="H634">
        <v>170023</v>
      </c>
      <c r="I634">
        <v>261081</v>
      </c>
      <c r="J634">
        <v>81.400000000000006</v>
      </c>
    </row>
    <row r="635" spans="1:10" x14ac:dyDescent="0.2">
      <c r="A635">
        <v>2006</v>
      </c>
      <c r="B635" s="1" t="s">
        <v>21</v>
      </c>
      <c r="C635" s="1" t="s">
        <v>11</v>
      </c>
      <c r="D635">
        <v>0</v>
      </c>
      <c r="E635">
        <v>0</v>
      </c>
      <c r="F635">
        <v>15825</v>
      </c>
      <c r="G635">
        <v>202500</v>
      </c>
      <c r="H635">
        <v>226041</v>
      </c>
      <c r="I635">
        <v>343305</v>
      </c>
      <c r="J635">
        <v>81.400000000000006</v>
      </c>
    </row>
    <row r="636" spans="1:10" x14ac:dyDescent="0.2">
      <c r="A636">
        <v>2006</v>
      </c>
      <c r="B636" s="1" t="s">
        <v>21</v>
      </c>
      <c r="C636" s="1" t="s">
        <v>12</v>
      </c>
      <c r="D636">
        <v>0</v>
      </c>
      <c r="E636">
        <v>0</v>
      </c>
      <c r="F636">
        <v>4870</v>
      </c>
      <c r="G636">
        <v>120773</v>
      </c>
      <c r="H636">
        <v>132153</v>
      </c>
      <c r="I636">
        <v>204750</v>
      </c>
      <c r="J636">
        <v>81.400000000000006</v>
      </c>
    </row>
    <row r="637" spans="1:10" x14ac:dyDescent="0.2">
      <c r="A637">
        <v>2006</v>
      </c>
      <c r="B637" s="1" t="s">
        <v>21</v>
      </c>
      <c r="C637" s="1" t="s">
        <v>13</v>
      </c>
      <c r="D637">
        <v>0</v>
      </c>
      <c r="E637">
        <v>0</v>
      </c>
      <c r="F637">
        <v>17836</v>
      </c>
      <c r="G637">
        <v>131000</v>
      </c>
      <c r="H637">
        <v>141054</v>
      </c>
      <c r="I637">
        <v>222088</v>
      </c>
      <c r="J637">
        <v>81.400000000000006</v>
      </c>
    </row>
    <row r="638" spans="1:10" x14ac:dyDescent="0.2">
      <c r="A638">
        <v>2006</v>
      </c>
      <c r="B638" s="1" t="s">
        <v>21</v>
      </c>
      <c r="C638" s="1" t="s">
        <v>14</v>
      </c>
      <c r="D638">
        <v>0</v>
      </c>
      <c r="E638">
        <v>0</v>
      </c>
      <c r="F638">
        <v>21715</v>
      </c>
      <c r="G638">
        <v>104000</v>
      </c>
      <c r="H638">
        <v>112291</v>
      </c>
      <c r="I638">
        <v>176314</v>
      </c>
      <c r="J638">
        <v>81.400000000000006</v>
      </c>
    </row>
    <row r="639" spans="1:10" x14ac:dyDescent="0.2">
      <c r="A639">
        <v>2006</v>
      </c>
      <c r="B639" s="1" t="s">
        <v>22</v>
      </c>
      <c r="C639" s="1" t="s">
        <v>11</v>
      </c>
      <c r="D639">
        <v>0</v>
      </c>
      <c r="E639">
        <v>0</v>
      </c>
      <c r="F639">
        <v>25164</v>
      </c>
      <c r="G639">
        <v>245000</v>
      </c>
      <c r="H639">
        <v>278489</v>
      </c>
      <c r="I639">
        <v>415356</v>
      </c>
      <c r="J639">
        <v>81.400000000000006</v>
      </c>
    </row>
    <row r="640" spans="1:10" x14ac:dyDescent="0.2">
      <c r="A640">
        <v>2006</v>
      </c>
      <c r="B640" s="1" t="s">
        <v>22</v>
      </c>
      <c r="C640" s="1" t="s">
        <v>12</v>
      </c>
      <c r="D640">
        <v>0</v>
      </c>
      <c r="E640">
        <v>0</v>
      </c>
      <c r="F640">
        <v>16011</v>
      </c>
      <c r="G640">
        <v>119000</v>
      </c>
      <c r="H640">
        <v>128871</v>
      </c>
      <c r="I640">
        <v>201744</v>
      </c>
      <c r="J640">
        <v>81.400000000000006</v>
      </c>
    </row>
    <row r="641" spans="1:10" x14ac:dyDescent="0.2">
      <c r="A641">
        <v>2006</v>
      </c>
      <c r="B641" s="1" t="s">
        <v>22</v>
      </c>
      <c r="C641" s="1" t="s">
        <v>13</v>
      </c>
      <c r="D641">
        <v>0</v>
      </c>
      <c r="E641">
        <v>0</v>
      </c>
      <c r="F641">
        <v>39266</v>
      </c>
      <c r="G641">
        <v>143000</v>
      </c>
      <c r="H641">
        <v>153935</v>
      </c>
      <c r="I641">
        <v>242432</v>
      </c>
      <c r="J641">
        <v>81.400000000000006</v>
      </c>
    </row>
    <row r="642" spans="1:10" x14ac:dyDescent="0.2">
      <c r="A642">
        <v>2006</v>
      </c>
      <c r="B642" s="1" t="s">
        <v>22</v>
      </c>
      <c r="C642" s="1" t="s">
        <v>14</v>
      </c>
      <c r="D642">
        <v>0</v>
      </c>
      <c r="E642">
        <v>0</v>
      </c>
      <c r="F642">
        <v>36880</v>
      </c>
      <c r="G642">
        <v>118000</v>
      </c>
      <c r="H642">
        <v>126561</v>
      </c>
      <c r="I642">
        <v>200049</v>
      </c>
      <c r="J642">
        <v>81.400000000000006</v>
      </c>
    </row>
    <row r="643" spans="1:10" x14ac:dyDescent="0.2">
      <c r="A643">
        <v>2006</v>
      </c>
      <c r="B643" s="1" t="s">
        <v>23</v>
      </c>
      <c r="C643" s="1" t="s">
        <v>11</v>
      </c>
      <c r="D643">
        <v>0</v>
      </c>
      <c r="E643">
        <v>0</v>
      </c>
      <c r="F643">
        <v>23875</v>
      </c>
      <c r="G643">
        <v>220000</v>
      </c>
      <c r="H643">
        <v>250932</v>
      </c>
      <c r="I643">
        <v>372973</v>
      </c>
      <c r="J643">
        <v>81.400000000000006</v>
      </c>
    </row>
    <row r="644" spans="1:10" x14ac:dyDescent="0.2">
      <c r="A644">
        <v>2006</v>
      </c>
      <c r="B644" s="1" t="s">
        <v>23</v>
      </c>
      <c r="C644" s="1" t="s">
        <v>12</v>
      </c>
      <c r="D644">
        <v>0</v>
      </c>
      <c r="E644">
        <v>0</v>
      </c>
      <c r="F644">
        <v>13808</v>
      </c>
      <c r="G644">
        <v>123000</v>
      </c>
      <c r="H644">
        <v>133330</v>
      </c>
      <c r="I644">
        <v>208526</v>
      </c>
      <c r="J644">
        <v>81.400000000000006</v>
      </c>
    </row>
    <row r="645" spans="1:10" x14ac:dyDescent="0.2">
      <c r="A645">
        <v>2006</v>
      </c>
      <c r="B645" s="1" t="s">
        <v>23</v>
      </c>
      <c r="C645" s="1" t="s">
        <v>13</v>
      </c>
      <c r="D645">
        <v>0</v>
      </c>
      <c r="E645">
        <v>0</v>
      </c>
      <c r="F645">
        <v>41232</v>
      </c>
      <c r="G645">
        <v>132000</v>
      </c>
      <c r="H645">
        <v>142456</v>
      </c>
      <c r="I645">
        <v>223784</v>
      </c>
      <c r="J645">
        <v>81.400000000000006</v>
      </c>
    </row>
    <row r="646" spans="1:10" x14ac:dyDescent="0.2">
      <c r="A646">
        <v>2006</v>
      </c>
      <c r="B646" s="1" t="s">
        <v>23</v>
      </c>
      <c r="C646" s="1" t="s">
        <v>14</v>
      </c>
      <c r="D646">
        <v>0</v>
      </c>
      <c r="E646">
        <v>0</v>
      </c>
      <c r="F646">
        <v>46778</v>
      </c>
      <c r="G646">
        <v>99000</v>
      </c>
      <c r="H646">
        <v>111478</v>
      </c>
      <c r="I646">
        <v>167838</v>
      </c>
      <c r="J646">
        <v>81.400000000000006</v>
      </c>
    </row>
    <row r="647" spans="1:10" x14ac:dyDescent="0.2">
      <c r="A647">
        <v>2006</v>
      </c>
      <c r="B647" s="1" t="s">
        <v>10</v>
      </c>
      <c r="C647" s="1" t="s">
        <v>24</v>
      </c>
      <c r="D647">
        <v>0</v>
      </c>
      <c r="E647">
        <v>1</v>
      </c>
      <c r="F647">
        <v>108810</v>
      </c>
      <c r="G647">
        <v>137000</v>
      </c>
      <c r="H647">
        <v>159587</v>
      </c>
      <c r="I647">
        <v>232260</v>
      </c>
      <c r="J647">
        <v>81.400000000000006</v>
      </c>
    </row>
    <row r="648" spans="1:10" x14ac:dyDescent="0.2">
      <c r="A648">
        <v>2006</v>
      </c>
      <c r="B648" s="1" t="s">
        <v>15</v>
      </c>
      <c r="C648" s="1" t="s">
        <v>24</v>
      </c>
      <c r="D648">
        <v>0</v>
      </c>
      <c r="E648">
        <v>1</v>
      </c>
      <c r="F648">
        <v>149119</v>
      </c>
      <c r="G648">
        <v>178000</v>
      </c>
      <c r="H648">
        <v>211838</v>
      </c>
      <c r="I648">
        <v>301769</v>
      </c>
      <c r="J648">
        <v>81.400000000000006</v>
      </c>
    </row>
    <row r="649" spans="1:10" x14ac:dyDescent="0.2">
      <c r="A649">
        <v>2006</v>
      </c>
      <c r="B649" s="1" t="s">
        <v>16</v>
      </c>
      <c r="C649" s="1" t="s">
        <v>24</v>
      </c>
      <c r="D649">
        <v>0</v>
      </c>
      <c r="E649">
        <v>1</v>
      </c>
      <c r="F649">
        <v>173571</v>
      </c>
      <c r="G649">
        <v>245000</v>
      </c>
      <c r="H649">
        <v>316187</v>
      </c>
      <c r="I649">
        <v>415356</v>
      </c>
      <c r="J649">
        <v>81.400000000000006</v>
      </c>
    </row>
    <row r="650" spans="1:10" x14ac:dyDescent="0.2">
      <c r="A650">
        <v>2006</v>
      </c>
      <c r="B650" s="1" t="s">
        <v>17</v>
      </c>
      <c r="C650" s="1" t="s">
        <v>24</v>
      </c>
      <c r="D650">
        <v>0</v>
      </c>
      <c r="E650">
        <v>1</v>
      </c>
      <c r="F650">
        <v>60392</v>
      </c>
      <c r="G650">
        <v>119000</v>
      </c>
      <c r="H650">
        <v>136501</v>
      </c>
      <c r="I650">
        <v>201744</v>
      </c>
      <c r="J650">
        <v>81.400000000000006</v>
      </c>
    </row>
    <row r="651" spans="1:10" x14ac:dyDescent="0.2">
      <c r="A651">
        <v>2006</v>
      </c>
      <c r="B651" s="1" t="s">
        <v>18</v>
      </c>
      <c r="C651" s="1" t="s">
        <v>24</v>
      </c>
      <c r="D651">
        <v>0</v>
      </c>
      <c r="E651">
        <v>1</v>
      </c>
      <c r="F651">
        <v>164221</v>
      </c>
      <c r="G651">
        <v>127950</v>
      </c>
      <c r="H651">
        <v>150362</v>
      </c>
      <c r="I651">
        <v>216918</v>
      </c>
      <c r="J651">
        <v>81.400000000000006</v>
      </c>
    </row>
    <row r="652" spans="1:10" x14ac:dyDescent="0.2">
      <c r="A652">
        <v>2006</v>
      </c>
      <c r="B652" s="1" t="s">
        <v>19</v>
      </c>
      <c r="C652" s="1" t="s">
        <v>24</v>
      </c>
      <c r="D652">
        <v>0</v>
      </c>
      <c r="E652">
        <v>1</v>
      </c>
      <c r="F652">
        <v>224909</v>
      </c>
      <c r="G652">
        <v>202500</v>
      </c>
      <c r="H652">
        <v>246870</v>
      </c>
      <c r="I652">
        <v>343305</v>
      </c>
      <c r="J652">
        <v>81.400000000000006</v>
      </c>
    </row>
    <row r="653" spans="1:10" x14ac:dyDescent="0.2">
      <c r="A653">
        <v>2006</v>
      </c>
      <c r="B653" s="1" t="s">
        <v>20</v>
      </c>
      <c r="C653" s="1" t="s">
        <v>24</v>
      </c>
      <c r="D653">
        <v>0</v>
      </c>
      <c r="E653">
        <v>1</v>
      </c>
      <c r="F653">
        <v>141034</v>
      </c>
      <c r="G653">
        <v>178000</v>
      </c>
      <c r="H653">
        <v>209675</v>
      </c>
      <c r="I653">
        <v>301769</v>
      </c>
      <c r="J653">
        <v>81.400000000000006</v>
      </c>
    </row>
    <row r="654" spans="1:10" x14ac:dyDescent="0.2">
      <c r="A654">
        <v>2006</v>
      </c>
      <c r="B654" s="1" t="s">
        <v>21</v>
      </c>
      <c r="C654" s="1" t="s">
        <v>24</v>
      </c>
      <c r="D654">
        <v>0</v>
      </c>
      <c r="E654">
        <v>1</v>
      </c>
      <c r="F654">
        <v>60246</v>
      </c>
      <c r="G654">
        <v>133000</v>
      </c>
      <c r="H654">
        <v>152291</v>
      </c>
      <c r="I654">
        <v>225479</v>
      </c>
      <c r="J654">
        <v>81.400000000000006</v>
      </c>
    </row>
    <row r="655" spans="1:10" x14ac:dyDescent="0.2">
      <c r="A655">
        <v>2006</v>
      </c>
      <c r="B655" s="1" t="s">
        <v>22</v>
      </c>
      <c r="C655" s="1" t="s">
        <v>24</v>
      </c>
      <c r="D655">
        <v>0</v>
      </c>
      <c r="E655">
        <v>1</v>
      </c>
      <c r="F655">
        <v>117321</v>
      </c>
      <c r="G655">
        <v>142500</v>
      </c>
      <c r="H655">
        <v>168625</v>
      </c>
      <c r="I655">
        <v>241585</v>
      </c>
      <c r="J655">
        <v>81.400000000000006</v>
      </c>
    </row>
    <row r="656" spans="1:10" x14ac:dyDescent="0.2">
      <c r="A656">
        <v>2006</v>
      </c>
      <c r="B656" s="1" t="s">
        <v>23</v>
      </c>
      <c r="C656" s="1" t="s">
        <v>24</v>
      </c>
      <c r="D656">
        <v>0</v>
      </c>
      <c r="E656">
        <v>1</v>
      </c>
      <c r="F656">
        <v>125693</v>
      </c>
      <c r="G656">
        <v>128650</v>
      </c>
      <c r="H656">
        <v>150529</v>
      </c>
      <c r="I656">
        <v>218104</v>
      </c>
      <c r="J656">
        <v>81.400000000000006</v>
      </c>
    </row>
    <row r="657" spans="1:10" x14ac:dyDescent="0.2">
      <c r="A657">
        <v>2006</v>
      </c>
      <c r="B657" s="1" t="s">
        <v>25</v>
      </c>
      <c r="C657" s="1" t="s">
        <v>11</v>
      </c>
      <c r="D657">
        <v>1</v>
      </c>
      <c r="E657">
        <v>0</v>
      </c>
      <c r="F657">
        <v>274705</v>
      </c>
      <c r="G657">
        <v>250000</v>
      </c>
      <c r="H657">
        <v>308999</v>
      </c>
      <c r="I657">
        <v>423833</v>
      </c>
      <c r="J657">
        <v>81.400000000000006</v>
      </c>
    </row>
    <row r="658" spans="1:10" x14ac:dyDescent="0.2">
      <c r="A658">
        <v>2006</v>
      </c>
      <c r="B658" s="1" t="s">
        <v>25</v>
      </c>
      <c r="C658" s="1" t="s">
        <v>12</v>
      </c>
      <c r="D658">
        <v>1</v>
      </c>
      <c r="E658">
        <v>0</v>
      </c>
      <c r="F658">
        <v>268758</v>
      </c>
      <c r="G658">
        <v>153000</v>
      </c>
      <c r="H658">
        <v>185576</v>
      </c>
      <c r="I658">
        <v>259386</v>
      </c>
      <c r="J658">
        <v>81.400000000000006</v>
      </c>
    </row>
    <row r="659" spans="1:10" x14ac:dyDescent="0.2">
      <c r="A659">
        <v>2006</v>
      </c>
      <c r="B659" s="1" t="s">
        <v>25</v>
      </c>
      <c r="C659" s="1" t="s">
        <v>13</v>
      </c>
      <c r="D659">
        <v>1</v>
      </c>
      <c r="E659">
        <v>0</v>
      </c>
      <c r="F659">
        <v>362972</v>
      </c>
      <c r="G659">
        <v>160000</v>
      </c>
      <c r="H659">
        <v>184583</v>
      </c>
      <c r="I659">
        <v>271253</v>
      </c>
      <c r="J659">
        <v>81.400000000000006</v>
      </c>
    </row>
    <row r="660" spans="1:10" x14ac:dyDescent="0.2">
      <c r="A660">
        <v>2006</v>
      </c>
      <c r="B660" s="1" t="s">
        <v>25</v>
      </c>
      <c r="C660" s="1" t="s">
        <v>14</v>
      </c>
      <c r="D660">
        <v>1</v>
      </c>
      <c r="E660">
        <v>0</v>
      </c>
      <c r="F660">
        <v>419665</v>
      </c>
      <c r="G660">
        <v>135000</v>
      </c>
      <c r="H660">
        <v>162451</v>
      </c>
      <c r="I660">
        <v>228870</v>
      </c>
      <c r="J660">
        <v>81.400000000000006</v>
      </c>
    </row>
    <row r="661" spans="1:10" x14ac:dyDescent="0.2">
      <c r="A661">
        <v>2006</v>
      </c>
      <c r="B661" s="1" t="s">
        <v>25</v>
      </c>
      <c r="C661" s="1" t="s">
        <v>24</v>
      </c>
      <c r="D661">
        <v>1</v>
      </c>
      <c r="E661">
        <v>1</v>
      </c>
      <c r="F661">
        <v>1326100</v>
      </c>
      <c r="G661">
        <v>166000</v>
      </c>
      <c r="H661">
        <v>203553</v>
      </c>
      <c r="I661">
        <v>281425</v>
      </c>
      <c r="J661">
        <v>81.400000000000006</v>
      </c>
    </row>
    <row r="662" spans="1:10" x14ac:dyDescent="0.2">
      <c r="A662">
        <v>2007</v>
      </c>
      <c r="B662" s="1" t="s">
        <v>10</v>
      </c>
      <c r="C662" s="1" t="s">
        <v>11</v>
      </c>
      <c r="D662">
        <v>0</v>
      </c>
      <c r="E662">
        <v>0</v>
      </c>
      <c r="F662">
        <v>31257</v>
      </c>
      <c r="G662">
        <v>218000</v>
      </c>
      <c r="H662">
        <v>247990</v>
      </c>
      <c r="I662">
        <v>361152</v>
      </c>
      <c r="J662">
        <v>83.3</v>
      </c>
    </row>
    <row r="663" spans="1:10" x14ac:dyDescent="0.2">
      <c r="A663">
        <v>2007</v>
      </c>
      <c r="B663" s="1" t="s">
        <v>10</v>
      </c>
      <c r="C663" s="1" t="s">
        <v>12</v>
      </c>
      <c r="D663">
        <v>0</v>
      </c>
      <c r="E663">
        <v>0</v>
      </c>
      <c r="F663">
        <v>9353</v>
      </c>
      <c r="G663">
        <v>117000</v>
      </c>
      <c r="H663">
        <v>122194</v>
      </c>
      <c r="I663">
        <v>193830</v>
      </c>
      <c r="J663">
        <v>83.3</v>
      </c>
    </row>
    <row r="664" spans="1:10" x14ac:dyDescent="0.2">
      <c r="A664">
        <v>2007</v>
      </c>
      <c r="B664" s="1" t="s">
        <v>10</v>
      </c>
      <c r="C664" s="1" t="s">
        <v>13</v>
      </c>
      <c r="D664">
        <v>0</v>
      </c>
      <c r="E664">
        <v>0</v>
      </c>
      <c r="F664">
        <v>35279</v>
      </c>
      <c r="G664">
        <v>137000</v>
      </c>
      <c r="H664">
        <v>146274</v>
      </c>
      <c r="I664">
        <v>226963</v>
      </c>
      <c r="J664">
        <v>83.3</v>
      </c>
    </row>
    <row r="665" spans="1:10" x14ac:dyDescent="0.2">
      <c r="A665">
        <v>2007</v>
      </c>
      <c r="B665" s="1" t="s">
        <v>10</v>
      </c>
      <c r="C665" s="1" t="s">
        <v>14</v>
      </c>
      <c r="D665">
        <v>0</v>
      </c>
      <c r="E665">
        <v>0</v>
      </c>
      <c r="F665">
        <v>28361</v>
      </c>
      <c r="G665">
        <v>117000</v>
      </c>
      <c r="H665">
        <v>123965</v>
      </c>
      <c r="I665">
        <v>193830</v>
      </c>
      <c r="J665">
        <v>83.3</v>
      </c>
    </row>
    <row r="666" spans="1:10" x14ac:dyDescent="0.2">
      <c r="A666">
        <v>2007</v>
      </c>
      <c r="B666" s="1" t="s">
        <v>15</v>
      </c>
      <c r="C666" s="1" t="s">
        <v>11</v>
      </c>
      <c r="D666">
        <v>0</v>
      </c>
      <c r="E666">
        <v>0</v>
      </c>
      <c r="F666">
        <v>37315</v>
      </c>
      <c r="G666">
        <v>280000</v>
      </c>
      <c r="H666">
        <v>338952</v>
      </c>
      <c r="I666">
        <v>463866</v>
      </c>
      <c r="J666">
        <v>83.3</v>
      </c>
    </row>
    <row r="667" spans="1:10" x14ac:dyDescent="0.2">
      <c r="A667">
        <v>2007</v>
      </c>
      <c r="B667" s="1" t="s">
        <v>15</v>
      </c>
      <c r="C667" s="1" t="s">
        <v>12</v>
      </c>
      <c r="D667">
        <v>0</v>
      </c>
      <c r="E667">
        <v>0</v>
      </c>
      <c r="F667">
        <v>27034</v>
      </c>
      <c r="G667">
        <v>144500</v>
      </c>
      <c r="H667">
        <v>156734</v>
      </c>
      <c r="I667">
        <v>239388</v>
      </c>
      <c r="J667">
        <v>83.3</v>
      </c>
    </row>
    <row r="668" spans="1:10" x14ac:dyDescent="0.2">
      <c r="A668">
        <v>2007</v>
      </c>
      <c r="B668" s="1" t="s">
        <v>15</v>
      </c>
      <c r="C668" s="1" t="s">
        <v>13</v>
      </c>
      <c r="D668">
        <v>0</v>
      </c>
      <c r="E668">
        <v>0</v>
      </c>
      <c r="F668">
        <v>39306</v>
      </c>
      <c r="G668">
        <v>194000</v>
      </c>
      <c r="H668">
        <v>214646</v>
      </c>
      <c r="I668">
        <v>321393</v>
      </c>
      <c r="J668">
        <v>83.3</v>
      </c>
    </row>
    <row r="669" spans="1:10" x14ac:dyDescent="0.2">
      <c r="A669">
        <v>2007</v>
      </c>
      <c r="B669" s="1" t="s">
        <v>15</v>
      </c>
      <c r="C669" s="1" t="s">
        <v>14</v>
      </c>
      <c r="D669">
        <v>0</v>
      </c>
      <c r="E669">
        <v>0</v>
      </c>
      <c r="F669">
        <v>39372</v>
      </c>
      <c r="G669">
        <v>168000</v>
      </c>
      <c r="H669">
        <v>183645</v>
      </c>
      <c r="I669">
        <v>278319</v>
      </c>
      <c r="J669">
        <v>83.3</v>
      </c>
    </row>
    <row r="670" spans="1:10" x14ac:dyDescent="0.2">
      <c r="A670">
        <v>2007</v>
      </c>
      <c r="B670" s="1" t="s">
        <v>16</v>
      </c>
      <c r="C670" s="1" t="s">
        <v>11</v>
      </c>
      <c r="D670">
        <v>0</v>
      </c>
      <c r="E670">
        <v>0</v>
      </c>
      <c r="F670">
        <v>7137</v>
      </c>
      <c r="G670">
        <v>522000</v>
      </c>
      <c r="H670">
        <v>710836</v>
      </c>
      <c r="I670">
        <v>864778</v>
      </c>
      <c r="J670">
        <v>83.3</v>
      </c>
    </row>
    <row r="671" spans="1:10" x14ac:dyDescent="0.2">
      <c r="A671">
        <v>2007</v>
      </c>
      <c r="B671" s="1" t="s">
        <v>16</v>
      </c>
      <c r="C671" s="1" t="s">
        <v>12</v>
      </c>
      <c r="D671">
        <v>0</v>
      </c>
      <c r="E671">
        <v>0</v>
      </c>
      <c r="F671">
        <v>88241</v>
      </c>
      <c r="G671">
        <v>240000</v>
      </c>
      <c r="H671">
        <v>298623</v>
      </c>
      <c r="I671">
        <v>397599</v>
      </c>
      <c r="J671">
        <v>83.3</v>
      </c>
    </row>
    <row r="672" spans="1:10" x14ac:dyDescent="0.2">
      <c r="A672">
        <v>2007</v>
      </c>
      <c r="B672" s="1" t="s">
        <v>16</v>
      </c>
      <c r="C672" s="1" t="s">
        <v>13</v>
      </c>
      <c r="D672">
        <v>0</v>
      </c>
      <c r="E672">
        <v>0</v>
      </c>
      <c r="F672">
        <v>24298</v>
      </c>
      <c r="G672">
        <v>317000</v>
      </c>
      <c r="H672">
        <v>397524</v>
      </c>
      <c r="I672">
        <v>525162</v>
      </c>
      <c r="J672">
        <v>83.3</v>
      </c>
    </row>
    <row r="673" spans="1:10" x14ac:dyDescent="0.2">
      <c r="A673">
        <v>2007</v>
      </c>
      <c r="B673" s="1" t="s">
        <v>16</v>
      </c>
      <c r="C673" s="1" t="s">
        <v>14</v>
      </c>
      <c r="D673">
        <v>0</v>
      </c>
      <c r="E673">
        <v>0</v>
      </c>
      <c r="F673">
        <v>47906</v>
      </c>
      <c r="G673">
        <v>267000</v>
      </c>
      <c r="H673">
        <v>377104</v>
      </c>
      <c r="I673">
        <v>442329</v>
      </c>
      <c r="J673">
        <v>83.3</v>
      </c>
    </row>
    <row r="674" spans="1:10" x14ac:dyDescent="0.2">
      <c r="A674">
        <v>2007</v>
      </c>
      <c r="B674" s="1" t="s">
        <v>17</v>
      </c>
      <c r="C674" s="1" t="s">
        <v>11</v>
      </c>
      <c r="D674">
        <v>0</v>
      </c>
      <c r="E674">
        <v>0</v>
      </c>
      <c r="F674">
        <v>9395</v>
      </c>
      <c r="G674">
        <v>215000</v>
      </c>
      <c r="H674">
        <v>247371</v>
      </c>
      <c r="I674">
        <v>356182</v>
      </c>
      <c r="J674">
        <v>83.3</v>
      </c>
    </row>
    <row r="675" spans="1:10" x14ac:dyDescent="0.2">
      <c r="A675">
        <v>2007</v>
      </c>
      <c r="B675" s="1" t="s">
        <v>17</v>
      </c>
      <c r="C675" s="1" t="s">
        <v>12</v>
      </c>
      <c r="D675">
        <v>0</v>
      </c>
      <c r="E675">
        <v>0</v>
      </c>
      <c r="F675">
        <v>9538</v>
      </c>
      <c r="G675">
        <v>106207</v>
      </c>
      <c r="H675">
        <v>116258</v>
      </c>
      <c r="I675">
        <v>175949</v>
      </c>
      <c r="J675">
        <v>83.3</v>
      </c>
    </row>
    <row r="676" spans="1:10" x14ac:dyDescent="0.2">
      <c r="A676">
        <v>2007</v>
      </c>
      <c r="B676" s="1" t="s">
        <v>17</v>
      </c>
      <c r="C676" s="1" t="s">
        <v>13</v>
      </c>
      <c r="D676">
        <v>0</v>
      </c>
      <c r="E676">
        <v>0</v>
      </c>
      <c r="F676">
        <v>18475</v>
      </c>
      <c r="G676">
        <v>132000</v>
      </c>
      <c r="H676">
        <v>140765</v>
      </c>
      <c r="I676">
        <v>218679</v>
      </c>
      <c r="J676">
        <v>83.3</v>
      </c>
    </row>
    <row r="677" spans="1:10" x14ac:dyDescent="0.2">
      <c r="A677">
        <v>2007</v>
      </c>
      <c r="B677" s="1" t="s">
        <v>17</v>
      </c>
      <c r="C677" s="1" t="s">
        <v>14</v>
      </c>
      <c r="D677">
        <v>0</v>
      </c>
      <c r="E677">
        <v>0</v>
      </c>
      <c r="F677">
        <v>23908</v>
      </c>
      <c r="G677">
        <v>97000</v>
      </c>
      <c r="H677">
        <v>113125</v>
      </c>
      <c r="I677">
        <v>160696</v>
      </c>
      <c r="J677">
        <v>83.3</v>
      </c>
    </row>
    <row r="678" spans="1:10" x14ac:dyDescent="0.2">
      <c r="A678">
        <v>2007</v>
      </c>
      <c r="B678" s="1" t="s">
        <v>18</v>
      </c>
      <c r="C678" s="1" t="s">
        <v>11</v>
      </c>
      <c r="D678">
        <v>0</v>
      </c>
      <c r="E678">
        <v>0</v>
      </c>
      <c r="F678">
        <v>23650</v>
      </c>
      <c r="G678">
        <v>245000</v>
      </c>
      <c r="H678">
        <v>292628</v>
      </c>
      <c r="I678">
        <v>405882</v>
      </c>
      <c r="J678">
        <v>83.3</v>
      </c>
    </row>
    <row r="679" spans="1:10" x14ac:dyDescent="0.2">
      <c r="A679">
        <v>2007</v>
      </c>
      <c r="B679" s="1" t="s">
        <v>18</v>
      </c>
      <c r="C679" s="1" t="s">
        <v>12</v>
      </c>
      <c r="D679">
        <v>0</v>
      </c>
      <c r="E679">
        <v>0</v>
      </c>
      <c r="F679">
        <v>24966</v>
      </c>
      <c r="G679">
        <v>127995</v>
      </c>
      <c r="H679">
        <v>140909</v>
      </c>
      <c r="I679">
        <v>212045</v>
      </c>
      <c r="J679">
        <v>83.3</v>
      </c>
    </row>
    <row r="680" spans="1:10" x14ac:dyDescent="0.2">
      <c r="A680">
        <v>2007</v>
      </c>
      <c r="B680" s="1" t="s">
        <v>18</v>
      </c>
      <c r="C680" s="1" t="s">
        <v>13</v>
      </c>
      <c r="D680">
        <v>0</v>
      </c>
      <c r="E680">
        <v>0</v>
      </c>
      <c r="F680">
        <v>49631</v>
      </c>
      <c r="G680">
        <v>149000</v>
      </c>
      <c r="H680">
        <v>162664</v>
      </c>
      <c r="I680">
        <v>246843</v>
      </c>
      <c r="J680">
        <v>83.3</v>
      </c>
    </row>
    <row r="681" spans="1:10" x14ac:dyDescent="0.2">
      <c r="A681">
        <v>2007</v>
      </c>
      <c r="B681" s="1" t="s">
        <v>18</v>
      </c>
      <c r="C681" s="1" t="s">
        <v>14</v>
      </c>
      <c r="D681">
        <v>0</v>
      </c>
      <c r="E681">
        <v>0</v>
      </c>
      <c r="F681">
        <v>62072</v>
      </c>
      <c r="G681">
        <v>103000</v>
      </c>
      <c r="H681">
        <v>114335</v>
      </c>
      <c r="I681">
        <v>170636</v>
      </c>
      <c r="J681">
        <v>83.3</v>
      </c>
    </row>
    <row r="682" spans="1:10" x14ac:dyDescent="0.2">
      <c r="A682">
        <v>2007</v>
      </c>
      <c r="B682" s="1" t="s">
        <v>19</v>
      </c>
      <c r="C682" s="1" t="s">
        <v>11</v>
      </c>
      <c r="D682">
        <v>0</v>
      </c>
      <c r="E682">
        <v>0</v>
      </c>
      <c r="F682">
        <v>51443</v>
      </c>
      <c r="G682">
        <v>365000</v>
      </c>
      <c r="H682">
        <v>448556</v>
      </c>
      <c r="I682">
        <v>604682</v>
      </c>
      <c r="J682">
        <v>83.3</v>
      </c>
    </row>
    <row r="683" spans="1:10" x14ac:dyDescent="0.2">
      <c r="A683">
        <v>2007</v>
      </c>
      <c r="B683" s="1" t="s">
        <v>19</v>
      </c>
      <c r="C683" s="1" t="s">
        <v>12</v>
      </c>
      <c r="D683">
        <v>0</v>
      </c>
      <c r="E683">
        <v>0</v>
      </c>
      <c r="F683">
        <v>53098</v>
      </c>
      <c r="G683">
        <v>160000</v>
      </c>
      <c r="H683">
        <v>174044</v>
      </c>
      <c r="I683">
        <v>265066</v>
      </c>
      <c r="J683">
        <v>83.3</v>
      </c>
    </row>
    <row r="684" spans="1:10" x14ac:dyDescent="0.2">
      <c r="A684">
        <v>2007</v>
      </c>
      <c r="B684" s="1" t="s">
        <v>19</v>
      </c>
      <c r="C684" s="1" t="s">
        <v>13</v>
      </c>
      <c r="D684">
        <v>0</v>
      </c>
      <c r="E684">
        <v>0</v>
      </c>
      <c r="F684">
        <v>53539</v>
      </c>
      <c r="G684">
        <v>232995</v>
      </c>
      <c r="H684">
        <v>251358</v>
      </c>
      <c r="I684">
        <v>385994</v>
      </c>
      <c r="J684">
        <v>83.3</v>
      </c>
    </row>
    <row r="685" spans="1:10" x14ac:dyDescent="0.2">
      <c r="A685">
        <v>2007</v>
      </c>
      <c r="B685" s="1" t="s">
        <v>19</v>
      </c>
      <c r="C685" s="1" t="s">
        <v>14</v>
      </c>
      <c r="D685">
        <v>0</v>
      </c>
      <c r="E685">
        <v>0</v>
      </c>
      <c r="F685">
        <v>57074</v>
      </c>
      <c r="G685">
        <v>188000</v>
      </c>
      <c r="H685">
        <v>206872</v>
      </c>
      <c r="I685">
        <v>311453</v>
      </c>
      <c r="J685">
        <v>83.3</v>
      </c>
    </row>
    <row r="686" spans="1:10" x14ac:dyDescent="0.2">
      <c r="A686">
        <v>2007</v>
      </c>
      <c r="B686" s="1" t="s">
        <v>20</v>
      </c>
      <c r="C686" s="1" t="s">
        <v>11</v>
      </c>
      <c r="D686">
        <v>0</v>
      </c>
      <c r="E686">
        <v>0</v>
      </c>
      <c r="F686">
        <v>34817</v>
      </c>
      <c r="G686">
        <v>290500</v>
      </c>
      <c r="H686">
        <v>340772</v>
      </c>
      <c r="I686">
        <v>481261</v>
      </c>
      <c r="J686">
        <v>83.3</v>
      </c>
    </row>
    <row r="687" spans="1:10" x14ac:dyDescent="0.2">
      <c r="A687">
        <v>2007</v>
      </c>
      <c r="B687" s="1" t="s">
        <v>20</v>
      </c>
      <c r="C687" s="1" t="s">
        <v>12</v>
      </c>
      <c r="D687">
        <v>0</v>
      </c>
      <c r="E687">
        <v>0</v>
      </c>
      <c r="F687">
        <v>27434</v>
      </c>
      <c r="G687">
        <v>144105</v>
      </c>
      <c r="H687">
        <v>164275</v>
      </c>
      <c r="I687">
        <v>238733</v>
      </c>
      <c r="J687">
        <v>83.3</v>
      </c>
    </row>
    <row r="688" spans="1:10" x14ac:dyDescent="0.2">
      <c r="A688">
        <v>2007</v>
      </c>
      <c r="B688" s="1" t="s">
        <v>20</v>
      </c>
      <c r="C688" s="1" t="s">
        <v>13</v>
      </c>
      <c r="D688">
        <v>0</v>
      </c>
      <c r="E688">
        <v>0</v>
      </c>
      <c r="F688">
        <v>29876</v>
      </c>
      <c r="G688">
        <v>190000</v>
      </c>
      <c r="H688">
        <v>211678</v>
      </c>
      <c r="I688">
        <v>314766</v>
      </c>
      <c r="J688">
        <v>83.3</v>
      </c>
    </row>
    <row r="689" spans="1:10" x14ac:dyDescent="0.2">
      <c r="A689">
        <v>2007</v>
      </c>
      <c r="B689" s="1" t="s">
        <v>20</v>
      </c>
      <c r="C689" s="1" t="s">
        <v>14</v>
      </c>
      <c r="D689">
        <v>0</v>
      </c>
      <c r="E689">
        <v>0</v>
      </c>
      <c r="F689">
        <v>38621</v>
      </c>
      <c r="G689">
        <v>167500</v>
      </c>
      <c r="H689">
        <v>185185</v>
      </c>
      <c r="I689">
        <v>277491</v>
      </c>
      <c r="J689">
        <v>83.3</v>
      </c>
    </row>
    <row r="690" spans="1:10" x14ac:dyDescent="0.2">
      <c r="A690">
        <v>2007</v>
      </c>
      <c r="B690" s="1" t="s">
        <v>21</v>
      </c>
      <c r="C690" s="1" t="s">
        <v>11</v>
      </c>
      <c r="D690">
        <v>0</v>
      </c>
      <c r="E690">
        <v>0</v>
      </c>
      <c r="F690">
        <v>15287</v>
      </c>
      <c r="G690">
        <v>218000</v>
      </c>
      <c r="H690">
        <v>239630</v>
      </c>
      <c r="I690">
        <v>361152</v>
      </c>
      <c r="J690">
        <v>83.3</v>
      </c>
    </row>
    <row r="691" spans="1:10" x14ac:dyDescent="0.2">
      <c r="A691">
        <v>2007</v>
      </c>
      <c r="B691" s="1" t="s">
        <v>21</v>
      </c>
      <c r="C691" s="1" t="s">
        <v>12</v>
      </c>
      <c r="D691">
        <v>0</v>
      </c>
      <c r="E691">
        <v>0</v>
      </c>
      <c r="F691">
        <v>6104</v>
      </c>
      <c r="G691">
        <v>125000</v>
      </c>
      <c r="H691">
        <v>137285</v>
      </c>
      <c r="I691">
        <v>207083</v>
      </c>
      <c r="J691">
        <v>83.3</v>
      </c>
    </row>
    <row r="692" spans="1:10" x14ac:dyDescent="0.2">
      <c r="A692">
        <v>2007</v>
      </c>
      <c r="B692" s="1" t="s">
        <v>21</v>
      </c>
      <c r="C692" s="1" t="s">
        <v>13</v>
      </c>
      <c r="D692">
        <v>0</v>
      </c>
      <c r="E692">
        <v>0</v>
      </c>
      <c r="F692">
        <v>16979</v>
      </c>
      <c r="G692">
        <v>138000</v>
      </c>
      <c r="H692">
        <v>148528</v>
      </c>
      <c r="I692">
        <v>228619</v>
      </c>
      <c r="J692">
        <v>83.3</v>
      </c>
    </row>
    <row r="693" spans="1:10" x14ac:dyDescent="0.2">
      <c r="A693">
        <v>2007</v>
      </c>
      <c r="B693" s="1" t="s">
        <v>21</v>
      </c>
      <c r="C693" s="1" t="s">
        <v>14</v>
      </c>
      <c r="D693">
        <v>0</v>
      </c>
      <c r="E693">
        <v>0</v>
      </c>
      <c r="F693">
        <v>19977</v>
      </c>
      <c r="G693">
        <v>110000</v>
      </c>
      <c r="H693">
        <v>119374</v>
      </c>
      <c r="I693">
        <v>182233</v>
      </c>
      <c r="J693">
        <v>83.3</v>
      </c>
    </row>
    <row r="694" spans="1:10" x14ac:dyDescent="0.2">
      <c r="A694">
        <v>2007</v>
      </c>
      <c r="B694" s="1" t="s">
        <v>22</v>
      </c>
      <c r="C694" s="1" t="s">
        <v>11</v>
      </c>
      <c r="D694">
        <v>0</v>
      </c>
      <c r="E694">
        <v>0</v>
      </c>
      <c r="F694">
        <v>23004</v>
      </c>
      <c r="G694">
        <v>250000</v>
      </c>
      <c r="H694">
        <v>294212</v>
      </c>
      <c r="I694">
        <v>414166</v>
      </c>
      <c r="J694">
        <v>83.3</v>
      </c>
    </row>
    <row r="695" spans="1:10" x14ac:dyDescent="0.2">
      <c r="A695">
        <v>2007</v>
      </c>
      <c r="B695" s="1" t="s">
        <v>22</v>
      </c>
      <c r="C695" s="1" t="s">
        <v>12</v>
      </c>
      <c r="D695">
        <v>0</v>
      </c>
      <c r="E695">
        <v>0</v>
      </c>
      <c r="F695">
        <v>15622</v>
      </c>
      <c r="G695">
        <v>120835</v>
      </c>
      <c r="H695">
        <v>131180</v>
      </c>
      <c r="I695">
        <v>200183</v>
      </c>
      <c r="J695">
        <v>83.3</v>
      </c>
    </row>
    <row r="696" spans="1:10" x14ac:dyDescent="0.2">
      <c r="A696">
        <v>2007</v>
      </c>
      <c r="B696" s="1" t="s">
        <v>22</v>
      </c>
      <c r="C696" s="1" t="s">
        <v>13</v>
      </c>
      <c r="D696">
        <v>0</v>
      </c>
      <c r="E696">
        <v>0</v>
      </c>
      <c r="F696">
        <v>36755</v>
      </c>
      <c r="G696">
        <v>149000</v>
      </c>
      <c r="H696">
        <v>160958</v>
      </c>
      <c r="I696">
        <v>246843</v>
      </c>
      <c r="J696">
        <v>83.3</v>
      </c>
    </row>
    <row r="697" spans="1:10" x14ac:dyDescent="0.2">
      <c r="A697">
        <v>2007</v>
      </c>
      <c r="B697" s="1" t="s">
        <v>22</v>
      </c>
      <c r="C697" s="1" t="s">
        <v>14</v>
      </c>
      <c r="D697">
        <v>0</v>
      </c>
      <c r="E697">
        <v>0</v>
      </c>
      <c r="F697">
        <v>35451</v>
      </c>
      <c r="G697">
        <v>122950</v>
      </c>
      <c r="H697">
        <v>132284</v>
      </c>
      <c r="I697">
        <v>203687</v>
      </c>
      <c r="J697">
        <v>83.3</v>
      </c>
    </row>
    <row r="698" spans="1:10" x14ac:dyDescent="0.2">
      <c r="A698">
        <v>2007</v>
      </c>
      <c r="B698" s="1" t="s">
        <v>23</v>
      </c>
      <c r="C698" s="1" t="s">
        <v>11</v>
      </c>
      <c r="D698">
        <v>0</v>
      </c>
      <c r="E698">
        <v>0</v>
      </c>
      <c r="F698">
        <v>22192</v>
      </c>
      <c r="G698">
        <v>230000</v>
      </c>
      <c r="H698">
        <v>266360</v>
      </c>
      <c r="I698">
        <v>381032</v>
      </c>
      <c r="J698">
        <v>83.3</v>
      </c>
    </row>
    <row r="699" spans="1:10" x14ac:dyDescent="0.2">
      <c r="A699">
        <v>2007</v>
      </c>
      <c r="B699" s="1" t="s">
        <v>23</v>
      </c>
      <c r="C699" s="1" t="s">
        <v>12</v>
      </c>
      <c r="D699">
        <v>0</v>
      </c>
      <c r="E699">
        <v>0</v>
      </c>
      <c r="F699">
        <v>14910</v>
      </c>
      <c r="G699">
        <v>125000</v>
      </c>
      <c r="H699">
        <v>135608</v>
      </c>
      <c r="I699">
        <v>207083</v>
      </c>
      <c r="J699">
        <v>83.3</v>
      </c>
    </row>
    <row r="700" spans="1:10" x14ac:dyDescent="0.2">
      <c r="A700">
        <v>2007</v>
      </c>
      <c r="B700" s="1" t="s">
        <v>23</v>
      </c>
      <c r="C700" s="1" t="s">
        <v>13</v>
      </c>
      <c r="D700">
        <v>0</v>
      </c>
      <c r="E700">
        <v>0</v>
      </c>
      <c r="F700">
        <v>39587</v>
      </c>
      <c r="G700">
        <v>138500</v>
      </c>
      <c r="H700">
        <v>150354</v>
      </c>
      <c r="I700">
        <v>229448</v>
      </c>
      <c r="J700">
        <v>83.3</v>
      </c>
    </row>
    <row r="701" spans="1:10" x14ac:dyDescent="0.2">
      <c r="A701">
        <v>2007</v>
      </c>
      <c r="B701" s="1" t="s">
        <v>23</v>
      </c>
      <c r="C701" s="1" t="s">
        <v>14</v>
      </c>
      <c r="D701">
        <v>0</v>
      </c>
      <c r="E701">
        <v>0</v>
      </c>
      <c r="F701">
        <v>43285</v>
      </c>
      <c r="G701">
        <v>109000</v>
      </c>
      <c r="H701">
        <v>120113</v>
      </c>
      <c r="I701">
        <v>180576</v>
      </c>
      <c r="J701">
        <v>83.3</v>
      </c>
    </row>
    <row r="702" spans="1:10" x14ac:dyDescent="0.2">
      <c r="A702">
        <v>2007</v>
      </c>
      <c r="B702" s="1" t="s">
        <v>10</v>
      </c>
      <c r="C702" s="1" t="s">
        <v>24</v>
      </c>
      <c r="D702">
        <v>0</v>
      </c>
      <c r="E702">
        <v>1</v>
      </c>
      <c r="F702">
        <v>104250</v>
      </c>
      <c r="G702">
        <v>144500</v>
      </c>
      <c r="H702">
        <v>168542</v>
      </c>
      <c r="I702">
        <v>239388</v>
      </c>
      <c r="J702">
        <v>83.3</v>
      </c>
    </row>
    <row r="703" spans="1:10" x14ac:dyDescent="0.2">
      <c r="A703">
        <v>2007</v>
      </c>
      <c r="B703" s="1" t="s">
        <v>15</v>
      </c>
      <c r="C703" s="1" t="s">
        <v>24</v>
      </c>
      <c r="D703">
        <v>0</v>
      </c>
      <c r="E703">
        <v>1</v>
      </c>
      <c r="F703">
        <v>143027</v>
      </c>
      <c r="G703">
        <v>190000</v>
      </c>
      <c r="H703">
        <v>227597</v>
      </c>
      <c r="I703">
        <v>314766</v>
      </c>
      <c r="J703">
        <v>83.3</v>
      </c>
    </row>
    <row r="704" spans="1:10" x14ac:dyDescent="0.2">
      <c r="A704">
        <v>2007</v>
      </c>
      <c r="B704" s="1" t="s">
        <v>16</v>
      </c>
      <c r="C704" s="1" t="s">
        <v>24</v>
      </c>
      <c r="D704">
        <v>0</v>
      </c>
      <c r="E704">
        <v>1</v>
      </c>
      <c r="F704">
        <v>167582</v>
      </c>
      <c r="G704">
        <v>263000</v>
      </c>
      <c r="H704">
        <v>352954</v>
      </c>
      <c r="I704">
        <v>435702</v>
      </c>
      <c r="J704">
        <v>83.3</v>
      </c>
    </row>
    <row r="705" spans="1:10" x14ac:dyDescent="0.2">
      <c r="A705">
        <v>2007</v>
      </c>
      <c r="B705" s="1" t="s">
        <v>17</v>
      </c>
      <c r="C705" s="1" t="s">
        <v>24</v>
      </c>
      <c r="D705">
        <v>0</v>
      </c>
      <c r="E705">
        <v>1</v>
      </c>
      <c r="F705">
        <v>61316</v>
      </c>
      <c r="G705">
        <v>122500</v>
      </c>
      <c r="H705">
        <v>142510</v>
      </c>
      <c r="I705">
        <v>202941</v>
      </c>
      <c r="J705">
        <v>83.3</v>
      </c>
    </row>
    <row r="706" spans="1:10" x14ac:dyDescent="0.2">
      <c r="A706">
        <v>2007</v>
      </c>
      <c r="B706" s="1" t="s">
        <v>18</v>
      </c>
      <c r="C706" s="1" t="s">
        <v>24</v>
      </c>
      <c r="D706">
        <v>0</v>
      </c>
      <c r="E706">
        <v>1</v>
      </c>
      <c r="F706">
        <v>160319</v>
      </c>
      <c r="G706">
        <v>134950</v>
      </c>
      <c r="H706">
        <v>159736</v>
      </c>
      <c r="I706">
        <v>223567</v>
      </c>
      <c r="J706">
        <v>83.3</v>
      </c>
    </row>
    <row r="707" spans="1:10" x14ac:dyDescent="0.2">
      <c r="A707">
        <v>2007</v>
      </c>
      <c r="B707" s="1" t="s">
        <v>19</v>
      </c>
      <c r="C707" s="1" t="s">
        <v>24</v>
      </c>
      <c r="D707">
        <v>0</v>
      </c>
      <c r="E707">
        <v>1</v>
      </c>
      <c r="F707">
        <v>215154</v>
      </c>
      <c r="G707">
        <v>219950</v>
      </c>
      <c r="H707">
        <v>267627</v>
      </c>
      <c r="I707">
        <v>364383</v>
      </c>
      <c r="J707">
        <v>83.3</v>
      </c>
    </row>
    <row r="708" spans="1:10" x14ac:dyDescent="0.2">
      <c r="A708">
        <v>2007</v>
      </c>
      <c r="B708" s="1" t="s">
        <v>20</v>
      </c>
      <c r="C708" s="1" t="s">
        <v>24</v>
      </c>
      <c r="D708">
        <v>0</v>
      </c>
      <c r="E708">
        <v>1</v>
      </c>
      <c r="F708">
        <v>130748</v>
      </c>
      <c r="G708">
        <v>190000</v>
      </c>
      <c r="H708">
        <v>228283</v>
      </c>
      <c r="I708">
        <v>314766</v>
      </c>
      <c r="J708">
        <v>83.3</v>
      </c>
    </row>
    <row r="709" spans="1:10" x14ac:dyDescent="0.2">
      <c r="A709">
        <v>2007</v>
      </c>
      <c r="B709" s="1" t="s">
        <v>21</v>
      </c>
      <c r="C709" s="1" t="s">
        <v>24</v>
      </c>
      <c r="D709">
        <v>0</v>
      </c>
      <c r="E709">
        <v>1</v>
      </c>
      <c r="F709">
        <v>58347</v>
      </c>
      <c r="G709">
        <v>140000</v>
      </c>
      <c r="H709">
        <v>161239</v>
      </c>
      <c r="I709">
        <v>231933</v>
      </c>
      <c r="J709">
        <v>83.3</v>
      </c>
    </row>
    <row r="710" spans="1:10" x14ac:dyDescent="0.2">
      <c r="A710">
        <v>2007</v>
      </c>
      <c r="B710" s="1" t="s">
        <v>22</v>
      </c>
      <c r="C710" s="1" t="s">
        <v>24</v>
      </c>
      <c r="D710">
        <v>0</v>
      </c>
      <c r="E710">
        <v>1</v>
      </c>
      <c r="F710">
        <v>110832</v>
      </c>
      <c r="G710">
        <v>147000</v>
      </c>
      <c r="H710">
        <v>175247</v>
      </c>
      <c r="I710">
        <v>243529</v>
      </c>
      <c r="J710">
        <v>83.3</v>
      </c>
    </row>
    <row r="711" spans="1:10" x14ac:dyDescent="0.2">
      <c r="A711">
        <v>2007</v>
      </c>
      <c r="B711" s="1" t="s">
        <v>23</v>
      </c>
      <c r="C711" s="1" t="s">
        <v>24</v>
      </c>
      <c r="D711">
        <v>0</v>
      </c>
      <c r="E711">
        <v>1</v>
      </c>
      <c r="F711">
        <v>119974</v>
      </c>
      <c r="G711">
        <v>135000</v>
      </c>
      <c r="H711">
        <v>159069</v>
      </c>
      <c r="I711">
        <v>223649</v>
      </c>
      <c r="J711">
        <v>83.3</v>
      </c>
    </row>
    <row r="712" spans="1:10" x14ac:dyDescent="0.2">
      <c r="A712">
        <v>2007</v>
      </c>
      <c r="B712" s="1" t="s">
        <v>25</v>
      </c>
      <c r="C712" s="1" t="s">
        <v>11</v>
      </c>
      <c r="D712">
        <v>1</v>
      </c>
      <c r="E712">
        <v>0</v>
      </c>
      <c r="F712">
        <v>255762</v>
      </c>
      <c r="G712">
        <v>272500</v>
      </c>
      <c r="H712">
        <v>336546</v>
      </c>
      <c r="I712">
        <v>451441</v>
      </c>
      <c r="J712">
        <v>83.3</v>
      </c>
    </row>
    <row r="713" spans="1:10" x14ac:dyDescent="0.2">
      <c r="A713">
        <v>2007</v>
      </c>
      <c r="B713" s="1" t="s">
        <v>25</v>
      </c>
      <c r="C713" s="1" t="s">
        <v>12</v>
      </c>
      <c r="D713">
        <v>1</v>
      </c>
      <c r="E713">
        <v>0</v>
      </c>
      <c r="F713">
        <v>276535</v>
      </c>
      <c r="G713">
        <v>161500</v>
      </c>
      <c r="H713">
        <v>199152</v>
      </c>
      <c r="I713">
        <v>267551</v>
      </c>
      <c r="J713">
        <v>83.3</v>
      </c>
    </row>
    <row r="714" spans="1:10" x14ac:dyDescent="0.2">
      <c r="A714">
        <v>2007</v>
      </c>
      <c r="B714" s="1" t="s">
        <v>25</v>
      </c>
      <c r="C714" s="1" t="s">
        <v>13</v>
      </c>
      <c r="D714">
        <v>1</v>
      </c>
      <c r="E714">
        <v>0</v>
      </c>
      <c r="F714">
        <v>343806</v>
      </c>
      <c r="G714">
        <v>170000</v>
      </c>
      <c r="H714">
        <v>198136</v>
      </c>
      <c r="I714">
        <v>281633</v>
      </c>
      <c r="J714">
        <v>83.3</v>
      </c>
    </row>
    <row r="715" spans="1:10" x14ac:dyDescent="0.2">
      <c r="A715">
        <v>2007</v>
      </c>
      <c r="B715" s="1" t="s">
        <v>25</v>
      </c>
      <c r="C715" s="1" t="s">
        <v>14</v>
      </c>
      <c r="D715">
        <v>1</v>
      </c>
      <c r="E715">
        <v>0</v>
      </c>
      <c r="F715">
        <v>396167</v>
      </c>
      <c r="G715">
        <v>145000</v>
      </c>
      <c r="H715">
        <v>176369</v>
      </c>
      <c r="I715">
        <v>240216</v>
      </c>
      <c r="J715">
        <v>83.3</v>
      </c>
    </row>
    <row r="716" spans="1:10" x14ac:dyDescent="0.2">
      <c r="A716">
        <v>2007</v>
      </c>
      <c r="B716" s="1" t="s">
        <v>25</v>
      </c>
      <c r="C716" s="1" t="s">
        <v>24</v>
      </c>
      <c r="D716">
        <v>1</v>
      </c>
      <c r="E716">
        <v>1</v>
      </c>
      <c r="F716">
        <v>1272270</v>
      </c>
      <c r="G716">
        <v>175000</v>
      </c>
      <c r="H716">
        <v>219403</v>
      </c>
      <c r="I716">
        <v>289916</v>
      </c>
      <c r="J716">
        <v>83.3</v>
      </c>
    </row>
    <row r="717" spans="1:10" x14ac:dyDescent="0.2">
      <c r="A717">
        <v>2008</v>
      </c>
      <c r="B717" s="1" t="s">
        <v>10</v>
      </c>
      <c r="C717" s="1" t="s">
        <v>11</v>
      </c>
      <c r="D717">
        <v>0</v>
      </c>
      <c r="E717">
        <v>0</v>
      </c>
      <c r="F717">
        <v>16254</v>
      </c>
      <c r="G717">
        <v>210000</v>
      </c>
      <c r="H717">
        <v>242996</v>
      </c>
      <c r="I717">
        <v>336195</v>
      </c>
      <c r="J717">
        <v>86.2</v>
      </c>
    </row>
    <row r="718" spans="1:10" x14ac:dyDescent="0.2">
      <c r="A718">
        <v>2008</v>
      </c>
      <c r="B718" s="1" t="s">
        <v>10</v>
      </c>
      <c r="C718" s="1" t="s">
        <v>12</v>
      </c>
      <c r="D718">
        <v>0</v>
      </c>
      <c r="E718">
        <v>0</v>
      </c>
      <c r="F718">
        <v>5328</v>
      </c>
      <c r="G718">
        <v>105000</v>
      </c>
      <c r="H718">
        <v>111995</v>
      </c>
      <c r="I718">
        <v>168097</v>
      </c>
      <c r="J718">
        <v>86.2</v>
      </c>
    </row>
    <row r="719" spans="1:10" x14ac:dyDescent="0.2">
      <c r="A719">
        <v>2008</v>
      </c>
      <c r="B719" s="1" t="s">
        <v>10</v>
      </c>
      <c r="C719" s="1" t="s">
        <v>13</v>
      </c>
      <c r="D719">
        <v>0</v>
      </c>
      <c r="E719">
        <v>0</v>
      </c>
      <c r="F719">
        <v>18463</v>
      </c>
      <c r="G719">
        <v>132000</v>
      </c>
      <c r="H719">
        <v>141168</v>
      </c>
      <c r="I719">
        <v>211323</v>
      </c>
      <c r="J719">
        <v>86.2</v>
      </c>
    </row>
    <row r="720" spans="1:10" x14ac:dyDescent="0.2">
      <c r="A720">
        <v>2008</v>
      </c>
      <c r="B720" s="1" t="s">
        <v>10</v>
      </c>
      <c r="C720" s="1" t="s">
        <v>14</v>
      </c>
      <c r="D720">
        <v>0</v>
      </c>
      <c r="E720">
        <v>0</v>
      </c>
      <c r="F720">
        <v>14609</v>
      </c>
      <c r="G720">
        <v>113500</v>
      </c>
      <c r="H720">
        <v>119712</v>
      </c>
      <c r="I720">
        <v>181705</v>
      </c>
      <c r="J720">
        <v>86.2</v>
      </c>
    </row>
    <row r="721" spans="1:10" x14ac:dyDescent="0.2">
      <c r="A721">
        <v>2008</v>
      </c>
      <c r="B721" s="1" t="s">
        <v>15</v>
      </c>
      <c r="C721" s="1" t="s">
        <v>11</v>
      </c>
      <c r="D721">
        <v>0</v>
      </c>
      <c r="E721">
        <v>0</v>
      </c>
      <c r="F721">
        <v>18812</v>
      </c>
      <c r="G721">
        <v>275000</v>
      </c>
      <c r="H721">
        <v>339723</v>
      </c>
      <c r="I721">
        <v>440255</v>
      </c>
      <c r="J721">
        <v>86.2</v>
      </c>
    </row>
    <row r="722" spans="1:10" x14ac:dyDescent="0.2">
      <c r="A722">
        <v>2008</v>
      </c>
      <c r="B722" s="1" t="s">
        <v>15</v>
      </c>
      <c r="C722" s="1" t="s">
        <v>12</v>
      </c>
      <c r="D722">
        <v>0</v>
      </c>
      <c r="E722">
        <v>0</v>
      </c>
      <c r="F722">
        <v>13821</v>
      </c>
      <c r="G722">
        <v>138000</v>
      </c>
      <c r="H722">
        <v>152607</v>
      </c>
      <c r="I722">
        <v>220928</v>
      </c>
      <c r="J722">
        <v>86.2</v>
      </c>
    </row>
    <row r="723" spans="1:10" x14ac:dyDescent="0.2">
      <c r="A723">
        <v>2008</v>
      </c>
      <c r="B723" s="1" t="s">
        <v>15</v>
      </c>
      <c r="C723" s="1" t="s">
        <v>13</v>
      </c>
      <c r="D723">
        <v>0</v>
      </c>
      <c r="E723">
        <v>0</v>
      </c>
      <c r="F723">
        <v>19738</v>
      </c>
      <c r="G723">
        <v>190000</v>
      </c>
      <c r="H723">
        <v>211745</v>
      </c>
      <c r="I723">
        <v>304176</v>
      </c>
      <c r="J723">
        <v>86.2</v>
      </c>
    </row>
    <row r="724" spans="1:10" x14ac:dyDescent="0.2">
      <c r="A724">
        <v>2008</v>
      </c>
      <c r="B724" s="1" t="s">
        <v>15</v>
      </c>
      <c r="C724" s="1" t="s">
        <v>14</v>
      </c>
      <c r="D724">
        <v>0</v>
      </c>
      <c r="E724">
        <v>0</v>
      </c>
      <c r="F724">
        <v>19223</v>
      </c>
      <c r="G724">
        <v>166000</v>
      </c>
      <c r="H724">
        <v>182246</v>
      </c>
      <c r="I724">
        <v>265754</v>
      </c>
      <c r="J724">
        <v>86.2</v>
      </c>
    </row>
    <row r="725" spans="1:10" x14ac:dyDescent="0.2">
      <c r="A725">
        <v>2008</v>
      </c>
      <c r="B725" s="1" t="s">
        <v>16</v>
      </c>
      <c r="C725" s="1" t="s">
        <v>11</v>
      </c>
      <c r="D725">
        <v>0</v>
      </c>
      <c r="E725">
        <v>0</v>
      </c>
      <c r="F725">
        <v>3312</v>
      </c>
      <c r="G725">
        <v>539475</v>
      </c>
      <c r="H725">
        <v>776815</v>
      </c>
      <c r="I725">
        <v>863661</v>
      </c>
      <c r="J725">
        <v>86.2</v>
      </c>
    </row>
    <row r="726" spans="1:10" x14ac:dyDescent="0.2">
      <c r="A726">
        <v>2008</v>
      </c>
      <c r="B726" s="1" t="s">
        <v>16</v>
      </c>
      <c r="C726" s="1" t="s">
        <v>12</v>
      </c>
      <c r="D726">
        <v>0</v>
      </c>
      <c r="E726">
        <v>0</v>
      </c>
      <c r="F726">
        <v>44553</v>
      </c>
      <c r="G726">
        <v>243000</v>
      </c>
      <c r="H726">
        <v>308603</v>
      </c>
      <c r="I726">
        <v>389026</v>
      </c>
      <c r="J726">
        <v>86.2</v>
      </c>
    </row>
    <row r="727" spans="1:10" x14ac:dyDescent="0.2">
      <c r="A727">
        <v>2008</v>
      </c>
      <c r="B727" s="1" t="s">
        <v>16</v>
      </c>
      <c r="C727" s="1" t="s">
        <v>13</v>
      </c>
      <c r="D727">
        <v>0</v>
      </c>
      <c r="E727">
        <v>0</v>
      </c>
      <c r="F727">
        <v>11650</v>
      </c>
      <c r="G727">
        <v>312000</v>
      </c>
      <c r="H727">
        <v>407743</v>
      </c>
      <c r="I727">
        <v>499490</v>
      </c>
      <c r="J727">
        <v>86.2</v>
      </c>
    </row>
    <row r="728" spans="1:10" x14ac:dyDescent="0.2">
      <c r="A728">
        <v>2008</v>
      </c>
      <c r="B728" s="1" t="s">
        <v>16</v>
      </c>
      <c r="C728" s="1" t="s">
        <v>14</v>
      </c>
      <c r="D728">
        <v>0</v>
      </c>
      <c r="E728">
        <v>0</v>
      </c>
      <c r="F728">
        <v>22635</v>
      </c>
      <c r="G728">
        <v>264000</v>
      </c>
      <c r="H728">
        <v>382890</v>
      </c>
      <c r="I728">
        <v>422645</v>
      </c>
      <c r="J728">
        <v>86.2</v>
      </c>
    </row>
    <row r="729" spans="1:10" x14ac:dyDescent="0.2">
      <c r="A729">
        <v>2008</v>
      </c>
      <c r="B729" s="1" t="s">
        <v>17</v>
      </c>
      <c r="C729" s="1" t="s">
        <v>11</v>
      </c>
      <c r="D729">
        <v>0</v>
      </c>
      <c r="E729">
        <v>0</v>
      </c>
      <c r="F729">
        <v>4609</v>
      </c>
      <c r="G729">
        <v>213000</v>
      </c>
      <c r="H729">
        <v>251745</v>
      </c>
      <c r="I729">
        <v>340998</v>
      </c>
      <c r="J729">
        <v>86.2</v>
      </c>
    </row>
    <row r="730" spans="1:10" x14ac:dyDescent="0.2">
      <c r="A730">
        <v>2008</v>
      </c>
      <c r="B730" s="1" t="s">
        <v>17</v>
      </c>
      <c r="C730" s="1" t="s">
        <v>12</v>
      </c>
      <c r="D730">
        <v>0</v>
      </c>
      <c r="E730">
        <v>0</v>
      </c>
      <c r="F730">
        <v>4817</v>
      </c>
      <c r="G730">
        <v>100400</v>
      </c>
      <c r="H730">
        <v>115177</v>
      </c>
      <c r="I730">
        <v>160733</v>
      </c>
      <c r="J730">
        <v>86.2</v>
      </c>
    </row>
    <row r="731" spans="1:10" x14ac:dyDescent="0.2">
      <c r="A731">
        <v>2008</v>
      </c>
      <c r="B731" s="1" t="s">
        <v>17</v>
      </c>
      <c r="C731" s="1" t="s">
        <v>13</v>
      </c>
      <c r="D731">
        <v>0</v>
      </c>
      <c r="E731">
        <v>0</v>
      </c>
      <c r="F731">
        <v>9144</v>
      </c>
      <c r="G731">
        <v>127975</v>
      </c>
      <c r="H731">
        <v>139277</v>
      </c>
      <c r="I731">
        <v>204879</v>
      </c>
      <c r="J731">
        <v>86.2</v>
      </c>
    </row>
    <row r="732" spans="1:10" x14ac:dyDescent="0.2">
      <c r="A732">
        <v>2008</v>
      </c>
      <c r="B732" s="1" t="s">
        <v>17</v>
      </c>
      <c r="C732" s="1" t="s">
        <v>14</v>
      </c>
      <c r="D732">
        <v>0</v>
      </c>
      <c r="E732">
        <v>0</v>
      </c>
      <c r="F732">
        <v>11837</v>
      </c>
      <c r="G732">
        <v>95000</v>
      </c>
      <c r="H732">
        <v>112150</v>
      </c>
      <c r="I732">
        <v>152088</v>
      </c>
      <c r="J732">
        <v>86.2</v>
      </c>
    </row>
    <row r="733" spans="1:10" x14ac:dyDescent="0.2">
      <c r="A733">
        <v>2008</v>
      </c>
      <c r="B733" s="1" t="s">
        <v>18</v>
      </c>
      <c r="C733" s="1" t="s">
        <v>11</v>
      </c>
      <c r="D733">
        <v>0</v>
      </c>
      <c r="E733">
        <v>0</v>
      </c>
      <c r="F733">
        <v>11988</v>
      </c>
      <c r="G733">
        <v>240472</v>
      </c>
      <c r="H733">
        <v>292325</v>
      </c>
      <c r="I733">
        <v>384979</v>
      </c>
      <c r="J733">
        <v>86.2</v>
      </c>
    </row>
    <row r="734" spans="1:10" x14ac:dyDescent="0.2">
      <c r="A734">
        <v>2008</v>
      </c>
      <c r="B734" s="1" t="s">
        <v>18</v>
      </c>
      <c r="C734" s="1" t="s">
        <v>12</v>
      </c>
      <c r="D734">
        <v>0</v>
      </c>
      <c r="E734">
        <v>0</v>
      </c>
      <c r="F734">
        <v>12598</v>
      </c>
      <c r="G734">
        <v>120000</v>
      </c>
      <c r="H734">
        <v>131789</v>
      </c>
      <c r="I734">
        <v>192111</v>
      </c>
      <c r="J734">
        <v>86.2</v>
      </c>
    </row>
    <row r="735" spans="1:10" x14ac:dyDescent="0.2">
      <c r="A735">
        <v>2008</v>
      </c>
      <c r="B735" s="1" t="s">
        <v>18</v>
      </c>
      <c r="C735" s="1" t="s">
        <v>13</v>
      </c>
      <c r="D735">
        <v>0</v>
      </c>
      <c r="E735">
        <v>0</v>
      </c>
      <c r="F735">
        <v>24540</v>
      </c>
      <c r="G735">
        <v>143000</v>
      </c>
      <c r="H735">
        <v>157586</v>
      </c>
      <c r="I735">
        <v>228933</v>
      </c>
      <c r="J735">
        <v>86.2</v>
      </c>
    </row>
    <row r="736" spans="1:10" x14ac:dyDescent="0.2">
      <c r="A736">
        <v>2008</v>
      </c>
      <c r="B736" s="1" t="s">
        <v>18</v>
      </c>
      <c r="C736" s="1" t="s">
        <v>14</v>
      </c>
      <c r="D736">
        <v>0</v>
      </c>
      <c r="E736">
        <v>0</v>
      </c>
      <c r="F736">
        <v>30517</v>
      </c>
      <c r="G736">
        <v>100000</v>
      </c>
      <c r="H736">
        <v>113347</v>
      </c>
      <c r="I736">
        <v>160093</v>
      </c>
      <c r="J736">
        <v>86.2</v>
      </c>
    </row>
    <row r="737" spans="1:10" x14ac:dyDescent="0.2">
      <c r="A737">
        <v>2008</v>
      </c>
      <c r="B737" s="1" t="s">
        <v>19</v>
      </c>
      <c r="C737" s="1" t="s">
        <v>11</v>
      </c>
      <c r="D737">
        <v>0</v>
      </c>
      <c r="E737">
        <v>0</v>
      </c>
      <c r="F737">
        <v>26227</v>
      </c>
      <c r="G737">
        <v>360000</v>
      </c>
      <c r="H737">
        <v>456509</v>
      </c>
      <c r="I737">
        <v>576334</v>
      </c>
      <c r="J737">
        <v>86.2</v>
      </c>
    </row>
    <row r="738" spans="1:10" x14ac:dyDescent="0.2">
      <c r="A738">
        <v>2008</v>
      </c>
      <c r="B738" s="1" t="s">
        <v>19</v>
      </c>
      <c r="C738" s="1" t="s">
        <v>12</v>
      </c>
      <c r="D738">
        <v>0</v>
      </c>
      <c r="E738">
        <v>0</v>
      </c>
      <c r="F738">
        <v>27897</v>
      </c>
      <c r="G738">
        <v>159950</v>
      </c>
      <c r="H738">
        <v>173197</v>
      </c>
      <c r="I738">
        <v>256068</v>
      </c>
      <c r="J738">
        <v>86.2</v>
      </c>
    </row>
    <row r="739" spans="1:10" x14ac:dyDescent="0.2">
      <c r="A739">
        <v>2008</v>
      </c>
      <c r="B739" s="1" t="s">
        <v>19</v>
      </c>
      <c r="C739" s="1" t="s">
        <v>13</v>
      </c>
      <c r="D739">
        <v>0</v>
      </c>
      <c r="E739">
        <v>0</v>
      </c>
      <c r="F739">
        <v>27485</v>
      </c>
      <c r="G739">
        <v>228000</v>
      </c>
      <c r="H739">
        <v>247347</v>
      </c>
      <c r="I739">
        <v>365012</v>
      </c>
      <c r="J739">
        <v>86.2</v>
      </c>
    </row>
    <row r="740" spans="1:10" x14ac:dyDescent="0.2">
      <c r="A740">
        <v>2008</v>
      </c>
      <c r="B740" s="1" t="s">
        <v>19</v>
      </c>
      <c r="C740" s="1" t="s">
        <v>14</v>
      </c>
      <c r="D740">
        <v>0</v>
      </c>
      <c r="E740">
        <v>0</v>
      </c>
      <c r="F740">
        <v>28276</v>
      </c>
      <c r="G740">
        <v>187000</v>
      </c>
      <c r="H740">
        <v>205573</v>
      </c>
      <c r="I740">
        <v>299374</v>
      </c>
      <c r="J740">
        <v>86.2</v>
      </c>
    </row>
    <row r="741" spans="1:10" x14ac:dyDescent="0.2">
      <c r="A741">
        <v>2008</v>
      </c>
      <c r="B741" s="1" t="s">
        <v>20</v>
      </c>
      <c r="C741" s="1" t="s">
        <v>11</v>
      </c>
      <c r="D741">
        <v>0</v>
      </c>
      <c r="E741">
        <v>0</v>
      </c>
      <c r="F741">
        <v>18179</v>
      </c>
      <c r="G741">
        <v>280000</v>
      </c>
      <c r="H741">
        <v>334654</v>
      </c>
      <c r="I741">
        <v>448260</v>
      </c>
      <c r="J741">
        <v>86.2</v>
      </c>
    </row>
    <row r="742" spans="1:10" x14ac:dyDescent="0.2">
      <c r="A742">
        <v>2008</v>
      </c>
      <c r="B742" s="1" t="s">
        <v>20</v>
      </c>
      <c r="C742" s="1" t="s">
        <v>12</v>
      </c>
      <c r="D742">
        <v>0</v>
      </c>
      <c r="E742">
        <v>0</v>
      </c>
      <c r="F742">
        <v>14956</v>
      </c>
      <c r="G742">
        <v>139950</v>
      </c>
      <c r="H742">
        <v>160759</v>
      </c>
      <c r="I742">
        <v>224050</v>
      </c>
      <c r="J742">
        <v>86.2</v>
      </c>
    </row>
    <row r="743" spans="1:10" x14ac:dyDescent="0.2">
      <c r="A743">
        <v>2008</v>
      </c>
      <c r="B743" s="1" t="s">
        <v>20</v>
      </c>
      <c r="C743" s="1" t="s">
        <v>13</v>
      </c>
      <c r="D743">
        <v>0</v>
      </c>
      <c r="E743">
        <v>0</v>
      </c>
      <c r="F743">
        <v>14962</v>
      </c>
      <c r="G743">
        <v>185000</v>
      </c>
      <c r="H743">
        <v>204964</v>
      </c>
      <c r="I743">
        <v>296172</v>
      </c>
      <c r="J743">
        <v>86.2</v>
      </c>
    </row>
    <row r="744" spans="1:10" x14ac:dyDescent="0.2">
      <c r="A744">
        <v>2008</v>
      </c>
      <c r="B744" s="1" t="s">
        <v>20</v>
      </c>
      <c r="C744" s="1" t="s">
        <v>14</v>
      </c>
      <c r="D744">
        <v>0</v>
      </c>
      <c r="E744">
        <v>0</v>
      </c>
      <c r="F744">
        <v>20037</v>
      </c>
      <c r="G744">
        <v>160950</v>
      </c>
      <c r="H744">
        <v>179417</v>
      </c>
      <c r="I744">
        <v>257669</v>
      </c>
      <c r="J744">
        <v>86.2</v>
      </c>
    </row>
    <row r="745" spans="1:10" x14ac:dyDescent="0.2">
      <c r="A745">
        <v>2008</v>
      </c>
      <c r="B745" s="1" t="s">
        <v>21</v>
      </c>
      <c r="C745" s="1" t="s">
        <v>11</v>
      </c>
      <c r="D745">
        <v>0</v>
      </c>
      <c r="E745">
        <v>0</v>
      </c>
      <c r="F745">
        <v>8049</v>
      </c>
      <c r="G745">
        <v>210000</v>
      </c>
      <c r="H745">
        <v>233737</v>
      </c>
      <c r="I745">
        <v>336195</v>
      </c>
      <c r="J745">
        <v>86.2</v>
      </c>
    </row>
    <row r="746" spans="1:10" x14ac:dyDescent="0.2">
      <c r="A746">
        <v>2008</v>
      </c>
      <c r="B746" s="1" t="s">
        <v>21</v>
      </c>
      <c r="C746" s="1" t="s">
        <v>12</v>
      </c>
      <c r="D746">
        <v>0</v>
      </c>
      <c r="E746">
        <v>0</v>
      </c>
      <c r="F746">
        <v>3762</v>
      </c>
      <c r="G746">
        <v>120000</v>
      </c>
      <c r="H746">
        <v>130720</v>
      </c>
      <c r="I746">
        <v>192111</v>
      </c>
      <c r="J746">
        <v>86.2</v>
      </c>
    </row>
    <row r="747" spans="1:10" x14ac:dyDescent="0.2">
      <c r="A747">
        <v>2008</v>
      </c>
      <c r="B747" s="1" t="s">
        <v>21</v>
      </c>
      <c r="C747" s="1" t="s">
        <v>13</v>
      </c>
      <c r="D747">
        <v>0</v>
      </c>
      <c r="E747">
        <v>0</v>
      </c>
      <c r="F747">
        <v>9057</v>
      </c>
      <c r="G747">
        <v>135000</v>
      </c>
      <c r="H747">
        <v>144201</v>
      </c>
      <c r="I747">
        <v>216125</v>
      </c>
      <c r="J747">
        <v>86.2</v>
      </c>
    </row>
    <row r="748" spans="1:10" x14ac:dyDescent="0.2">
      <c r="A748">
        <v>2008</v>
      </c>
      <c r="B748" s="1" t="s">
        <v>21</v>
      </c>
      <c r="C748" s="1" t="s">
        <v>14</v>
      </c>
      <c r="D748">
        <v>0</v>
      </c>
      <c r="E748">
        <v>0</v>
      </c>
      <c r="F748">
        <v>10577</v>
      </c>
      <c r="G748">
        <v>105000</v>
      </c>
      <c r="H748">
        <v>114515</v>
      </c>
      <c r="I748">
        <v>168097</v>
      </c>
      <c r="J748">
        <v>86.2</v>
      </c>
    </row>
    <row r="749" spans="1:10" x14ac:dyDescent="0.2">
      <c r="A749">
        <v>2008</v>
      </c>
      <c r="B749" s="1" t="s">
        <v>22</v>
      </c>
      <c r="C749" s="1" t="s">
        <v>11</v>
      </c>
      <c r="D749">
        <v>0</v>
      </c>
      <c r="E749">
        <v>0</v>
      </c>
      <c r="F749">
        <v>12083</v>
      </c>
      <c r="G749">
        <v>248950</v>
      </c>
      <c r="H749">
        <v>291191</v>
      </c>
      <c r="I749">
        <v>398551</v>
      </c>
      <c r="J749">
        <v>86.2</v>
      </c>
    </row>
    <row r="750" spans="1:10" x14ac:dyDescent="0.2">
      <c r="A750">
        <v>2008</v>
      </c>
      <c r="B750" s="1" t="s">
        <v>22</v>
      </c>
      <c r="C750" s="1" t="s">
        <v>12</v>
      </c>
      <c r="D750">
        <v>0</v>
      </c>
      <c r="E750">
        <v>0</v>
      </c>
      <c r="F750">
        <v>8846</v>
      </c>
      <c r="G750">
        <v>115000</v>
      </c>
      <c r="H750">
        <v>123687</v>
      </c>
      <c r="I750">
        <v>184107</v>
      </c>
      <c r="J750">
        <v>86.2</v>
      </c>
    </row>
    <row r="751" spans="1:10" x14ac:dyDescent="0.2">
      <c r="A751">
        <v>2008</v>
      </c>
      <c r="B751" s="1" t="s">
        <v>22</v>
      </c>
      <c r="C751" s="1" t="s">
        <v>13</v>
      </c>
      <c r="D751">
        <v>0</v>
      </c>
      <c r="E751">
        <v>0</v>
      </c>
      <c r="F751">
        <v>18927</v>
      </c>
      <c r="G751">
        <v>145000</v>
      </c>
      <c r="H751">
        <v>157573</v>
      </c>
      <c r="I751">
        <v>232135</v>
      </c>
      <c r="J751">
        <v>86.2</v>
      </c>
    </row>
    <row r="752" spans="1:10" x14ac:dyDescent="0.2">
      <c r="A752">
        <v>2008</v>
      </c>
      <c r="B752" s="1" t="s">
        <v>22</v>
      </c>
      <c r="C752" s="1" t="s">
        <v>14</v>
      </c>
      <c r="D752">
        <v>0</v>
      </c>
      <c r="E752">
        <v>0</v>
      </c>
      <c r="F752">
        <v>18309</v>
      </c>
      <c r="G752">
        <v>120000</v>
      </c>
      <c r="H752">
        <v>129692</v>
      </c>
      <c r="I752">
        <v>192111</v>
      </c>
      <c r="J752">
        <v>86.2</v>
      </c>
    </row>
    <row r="753" spans="1:10" x14ac:dyDescent="0.2">
      <c r="A753">
        <v>2008</v>
      </c>
      <c r="B753" s="1" t="s">
        <v>23</v>
      </c>
      <c r="C753" s="1" t="s">
        <v>11</v>
      </c>
      <c r="D753">
        <v>0</v>
      </c>
      <c r="E753">
        <v>0</v>
      </c>
      <c r="F753">
        <v>11449</v>
      </c>
      <c r="G753">
        <v>230000</v>
      </c>
      <c r="H753">
        <v>267805</v>
      </c>
      <c r="I753">
        <v>368213</v>
      </c>
      <c r="J753">
        <v>86.2</v>
      </c>
    </row>
    <row r="754" spans="1:10" x14ac:dyDescent="0.2">
      <c r="A754">
        <v>2008</v>
      </c>
      <c r="B754" s="1" t="s">
        <v>23</v>
      </c>
      <c r="C754" s="1" t="s">
        <v>12</v>
      </c>
      <c r="D754">
        <v>0</v>
      </c>
      <c r="E754">
        <v>0</v>
      </c>
      <c r="F754">
        <v>8551</v>
      </c>
      <c r="G754">
        <v>119950</v>
      </c>
      <c r="H754">
        <v>128161</v>
      </c>
      <c r="I754">
        <v>192031</v>
      </c>
      <c r="J754">
        <v>86.2</v>
      </c>
    </row>
    <row r="755" spans="1:10" x14ac:dyDescent="0.2">
      <c r="A755">
        <v>2008</v>
      </c>
      <c r="B755" s="1" t="s">
        <v>23</v>
      </c>
      <c r="C755" s="1" t="s">
        <v>13</v>
      </c>
      <c r="D755">
        <v>0</v>
      </c>
      <c r="E755">
        <v>0</v>
      </c>
      <c r="F755">
        <v>20456</v>
      </c>
      <c r="G755">
        <v>135000</v>
      </c>
      <c r="H755">
        <v>146719</v>
      </c>
      <c r="I755">
        <v>216125</v>
      </c>
      <c r="J755">
        <v>86.2</v>
      </c>
    </row>
    <row r="756" spans="1:10" x14ac:dyDescent="0.2">
      <c r="A756">
        <v>2008</v>
      </c>
      <c r="B756" s="1" t="s">
        <v>23</v>
      </c>
      <c r="C756" s="1" t="s">
        <v>14</v>
      </c>
      <c r="D756">
        <v>0</v>
      </c>
      <c r="E756">
        <v>0</v>
      </c>
      <c r="F756">
        <v>22425</v>
      </c>
      <c r="G756">
        <v>105000</v>
      </c>
      <c r="H756">
        <v>117631</v>
      </c>
      <c r="I756">
        <v>168097</v>
      </c>
      <c r="J756">
        <v>86.2</v>
      </c>
    </row>
    <row r="757" spans="1:10" x14ac:dyDescent="0.2">
      <c r="A757">
        <v>2008</v>
      </c>
      <c r="B757" s="1" t="s">
        <v>10</v>
      </c>
      <c r="C757" s="1" t="s">
        <v>24</v>
      </c>
      <c r="D757">
        <v>0</v>
      </c>
      <c r="E757">
        <v>1</v>
      </c>
      <c r="F757">
        <v>54654</v>
      </c>
      <c r="G757">
        <v>138000</v>
      </c>
      <c r="H757">
        <v>162872</v>
      </c>
      <c r="I757">
        <v>220928</v>
      </c>
      <c r="J757">
        <v>86.2</v>
      </c>
    </row>
    <row r="758" spans="1:10" x14ac:dyDescent="0.2">
      <c r="A758">
        <v>2008</v>
      </c>
      <c r="B758" s="1" t="s">
        <v>15</v>
      </c>
      <c r="C758" s="1" t="s">
        <v>24</v>
      </c>
      <c r="D758">
        <v>0</v>
      </c>
      <c r="E758">
        <v>1</v>
      </c>
      <c r="F758">
        <v>71594</v>
      </c>
      <c r="G758">
        <v>186000</v>
      </c>
      <c r="H758">
        <v>226035</v>
      </c>
      <c r="I758">
        <v>297773</v>
      </c>
      <c r="J758">
        <v>86.2</v>
      </c>
    </row>
    <row r="759" spans="1:10" x14ac:dyDescent="0.2">
      <c r="A759">
        <v>2008</v>
      </c>
      <c r="B759" s="1" t="s">
        <v>16</v>
      </c>
      <c r="C759" s="1" t="s">
        <v>24</v>
      </c>
      <c r="D759">
        <v>0</v>
      </c>
      <c r="E759">
        <v>1</v>
      </c>
      <c r="F759">
        <v>82150</v>
      </c>
      <c r="G759">
        <v>259000</v>
      </c>
      <c r="H759">
        <v>362007</v>
      </c>
      <c r="I759">
        <v>414640</v>
      </c>
      <c r="J759">
        <v>86.2</v>
      </c>
    </row>
    <row r="760" spans="1:10" x14ac:dyDescent="0.2">
      <c r="A760">
        <v>2008</v>
      </c>
      <c r="B760" s="1" t="s">
        <v>17</v>
      </c>
      <c r="C760" s="1" t="s">
        <v>24</v>
      </c>
      <c r="D760">
        <v>0</v>
      </c>
      <c r="E760">
        <v>1</v>
      </c>
      <c r="F760">
        <v>30407</v>
      </c>
      <c r="G760">
        <v>120000</v>
      </c>
      <c r="H760">
        <v>141947</v>
      </c>
      <c r="I760">
        <v>192111</v>
      </c>
      <c r="J760">
        <v>86.2</v>
      </c>
    </row>
    <row r="761" spans="1:10" x14ac:dyDescent="0.2">
      <c r="A761">
        <v>2008</v>
      </c>
      <c r="B761" s="1" t="s">
        <v>18</v>
      </c>
      <c r="C761" s="1" t="s">
        <v>24</v>
      </c>
      <c r="D761">
        <v>0</v>
      </c>
      <c r="E761">
        <v>1</v>
      </c>
      <c r="F761">
        <v>79643</v>
      </c>
      <c r="G761">
        <v>129950</v>
      </c>
      <c r="H761">
        <v>156835</v>
      </c>
      <c r="I761">
        <v>208041</v>
      </c>
      <c r="J761">
        <v>86.2</v>
      </c>
    </row>
    <row r="762" spans="1:10" x14ac:dyDescent="0.2">
      <c r="A762">
        <v>2008</v>
      </c>
      <c r="B762" s="1" t="s">
        <v>19</v>
      </c>
      <c r="C762" s="1" t="s">
        <v>24</v>
      </c>
      <c r="D762">
        <v>0</v>
      </c>
      <c r="E762">
        <v>1</v>
      </c>
      <c r="F762">
        <v>109885</v>
      </c>
      <c r="G762">
        <v>215000</v>
      </c>
      <c r="H762">
        <v>267695</v>
      </c>
      <c r="I762">
        <v>344200</v>
      </c>
      <c r="J762">
        <v>86.2</v>
      </c>
    </row>
    <row r="763" spans="1:10" x14ac:dyDescent="0.2">
      <c r="A763">
        <v>2008</v>
      </c>
      <c r="B763" s="1" t="s">
        <v>20</v>
      </c>
      <c r="C763" s="1" t="s">
        <v>24</v>
      </c>
      <c r="D763">
        <v>0</v>
      </c>
      <c r="E763">
        <v>1</v>
      </c>
      <c r="F763">
        <v>68134</v>
      </c>
      <c r="G763">
        <v>185000</v>
      </c>
      <c r="H763">
        <v>222351</v>
      </c>
      <c r="I763">
        <v>296172</v>
      </c>
      <c r="J763">
        <v>86.2</v>
      </c>
    </row>
    <row r="764" spans="1:10" x14ac:dyDescent="0.2">
      <c r="A764">
        <v>2008</v>
      </c>
      <c r="B764" s="1" t="s">
        <v>21</v>
      </c>
      <c r="C764" s="1" t="s">
        <v>24</v>
      </c>
      <c r="D764">
        <v>0</v>
      </c>
      <c r="E764">
        <v>1</v>
      </c>
      <c r="F764">
        <v>31445</v>
      </c>
      <c r="G764">
        <v>135000</v>
      </c>
      <c r="H764">
        <v>155521</v>
      </c>
      <c r="I764">
        <v>216125</v>
      </c>
      <c r="J764">
        <v>86.2</v>
      </c>
    </row>
    <row r="765" spans="1:10" x14ac:dyDescent="0.2">
      <c r="A765">
        <v>2008</v>
      </c>
      <c r="B765" s="1" t="s">
        <v>22</v>
      </c>
      <c r="C765" s="1" t="s">
        <v>24</v>
      </c>
      <c r="D765">
        <v>0</v>
      </c>
      <c r="E765">
        <v>1</v>
      </c>
      <c r="F765">
        <v>58165</v>
      </c>
      <c r="G765">
        <v>142000</v>
      </c>
      <c r="H765">
        <v>171400</v>
      </c>
      <c r="I765">
        <v>227332</v>
      </c>
      <c r="J765">
        <v>86.2</v>
      </c>
    </row>
    <row r="766" spans="1:10" x14ac:dyDescent="0.2">
      <c r="A766">
        <v>2008</v>
      </c>
      <c r="B766" s="1" t="s">
        <v>23</v>
      </c>
      <c r="C766" s="1" t="s">
        <v>24</v>
      </c>
      <c r="D766">
        <v>0</v>
      </c>
      <c r="E766">
        <v>1</v>
      </c>
      <c r="F766">
        <v>62881</v>
      </c>
      <c r="G766">
        <v>130000</v>
      </c>
      <c r="H766">
        <v>155869</v>
      </c>
      <c r="I766">
        <v>208121</v>
      </c>
      <c r="J766">
        <v>86.2</v>
      </c>
    </row>
    <row r="767" spans="1:10" x14ac:dyDescent="0.2">
      <c r="A767">
        <v>2008</v>
      </c>
      <c r="B767" s="1" t="s">
        <v>25</v>
      </c>
      <c r="C767" s="1" t="s">
        <v>11</v>
      </c>
      <c r="D767">
        <v>1</v>
      </c>
      <c r="E767">
        <v>0</v>
      </c>
      <c r="F767">
        <v>131157</v>
      </c>
      <c r="G767">
        <v>264000</v>
      </c>
      <c r="H767">
        <v>336644</v>
      </c>
      <c r="I767">
        <v>422645</v>
      </c>
      <c r="J767">
        <v>86.2</v>
      </c>
    </row>
    <row r="768" spans="1:10" x14ac:dyDescent="0.2">
      <c r="A768">
        <v>2008</v>
      </c>
      <c r="B768" s="1" t="s">
        <v>25</v>
      </c>
      <c r="C768" s="1" t="s">
        <v>12</v>
      </c>
      <c r="D768">
        <v>1</v>
      </c>
      <c r="E768">
        <v>0</v>
      </c>
      <c r="F768">
        <v>145326</v>
      </c>
      <c r="G768">
        <v>156500</v>
      </c>
      <c r="H768">
        <v>197082</v>
      </c>
      <c r="I768">
        <v>250545</v>
      </c>
      <c r="J768">
        <v>86.2</v>
      </c>
    </row>
    <row r="769" spans="1:10" x14ac:dyDescent="0.2">
      <c r="A769">
        <v>2008</v>
      </c>
      <c r="B769" s="1" t="s">
        <v>25</v>
      </c>
      <c r="C769" s="1" t="s">
        <v>13</v>
      </c>
      <c r="D769">
        <v>1</v>
      </c>
      <c r="E769">
        <v>0</v>
      </c>
      <c r="F769">
        <v>174479</v>
      </c>
      <c r="G769">
        <v>165000</v>
      </c>
      <c r="H769">
        <v>193994</v>
      </c>
      <c r="I769">
        <v>264153</v>
      </c>
      <c r="J769">
        <v>86.2</v>
      </c>
    </row>
    <row r="770" spans="1:10" x14ac:dyDescent="0.2">
      <c r="A770">
        <v>2008</v>
      </c>
      <c r="B770" s="1" t="s">
        <v>25</v>
      </c>
      <c r="C770" s="1" t="s">
        <v>14</v>
      </c>
      <c r="D770">
        <v>1</v>
      </c>
      <c r="E770">
        <v>0</v>
      </c>
      <c r="F770">
        <v>198514</v>
      </c>
      <c r="G770">
        <v>140000</v>
      </c>
      <c r="H770">
        <v>173025</v>
      </c>
      <c r="I770">
        <v>224130</v>
      </c>
      <c r="J770">
        <v>86.2</v>
      </c>
    </row>
    <row r="771" spans="1:10" x14ac:dyDescent="0.2">
      <c r="A771">
        <v>2008</v>
      </c>
      <c r="B771" s="1" t="s">
        <v>25</v>
      </c>
      <c r="C771" s="1" t="s">
        <v>24</v>
      </c>
      <c r="D771">
        <v>1</v>
      </c>
      <c r="E771">
        <v>1</v>
      </c>
      <c r="F771">
        <v>649476</v>
      </c>
      <c r="G771">
        <v>170000</v>
      </c>
      <c r="H771">
        <v>217083</v>
      </c>
      <c r="I771">
        <v>272158</v>
      </c>
      <c r="J771">
        <v>86.2</v>
      </c>
    </row>
    <row r="772" spans="1:10" x14ac:dyDescent="0.2">
      <c r="A772">
        <v>2009</v>
      </c>
      <c r="B772" s="1" t="s">
        <v>10</v>
      </c>
      <c r="C772" s="1" t="s">
        <v>11</v>
      </c>
      <c r="D772">
        <v>0</v>
      </c>
      <c r="E772">
        <v>0</v>
      </c>
      <c r="F772">
        <v>18361</v>
      </c>
      <c r="G772">
        <v>191500</v>
      </c>
      <c r="H772">
        <v>222863</v>
      </c>
      <c r="I772">
        <v>300648</v>
      </c>
      <c r="J772">
        <v>87.9</v>
      </c>
    </row>
    <row r="773" spans="1:10" x14ac:dyDescent="0.2">
      <c r="A773">
        <v>2009</v>
      </c>
      <c r="B773" s="1" t="s">
        <v>10</v>
      </c>
      <c r="C773" s="1" t="s">
        <v>12</v>
      </c>
      <c r="D773">
        <v>0</v>
      </c>
      <c r="E773">
        <v>0</v>
      </c>
      <c r="F773">
        <v>3672</v>
      </c>
      <c r="G773">
        <v>95000</v>
      </c>
      <c r="H773">
        <v>106576</v>
      </c>
      <c r="I773">
        <v>149147</v>
      </c>
      <c r="J773">
        <v>87.9</v>
      </c>
    </row>
    <row r="774" spans="1:10" x14ac:dyDescent="0.2">
      <c r="A774">
        <v>2009</v>
      </c>
      <c r="B774" s="1" t="s">
        <v>10</v>
      </c>
      <c r="C774" s="1" t="s">
        <v>13</v>
      </c>
      <c r="D774">
        <v>0</v>
      </c>
      <c r="E774">
        <v>0</v>
      </c>
      <c r="F774">
        <v>17774</v>
      </c>
      <c r="G774">
        <v>125000</v>
      </c>
      <c r="H774">
        <v>133461</v>
      </c>
      <c r="I774">
        <v>196246</v>
      </c>
      <c r="J774">
        <v>87.9</v>
      </c>
    </row>
    <row r="775" spans="1:10" x14ac:dyDescent="0.2">
      <c r="A775">
        <v>2009</v>
      </c>
      <c r="B775" s="1" t="s">
        <v>10</v>
      </c>
      <c r="C775" s="1" t="s">
        <v>14</v>
      </c>
      <c r="D775">
        <v>0</v>
      </c>
      <c r="E775">
        <v>0</v>
      </c>
      <c r="F775">
        <v>12357</v>
      </c>
      <c r="G775">
        <v>105000</v>
      </c>
      <c r="H775">
        <v>112128</v>
      </c>
      <c r="I775">
        <v>164846</v>
      </c>
      <c r="J775">
        <v>87.9</v>
      </c>
    </row>
    <row r="776" spans="1:10" x14ac:dyDescent="0.2">
      <c r="A776">
        <v>2009</v>
      </c>
      <c r="B776" s="1" t="s">
        <v>15</v>
      </c>
      <c r="C776" s="1" t="s">
        <v>11</v>
      </c>
      <c r="D776">
        <v>0</v>
      </c>
      <c r="E776">
        <v>0</v>
      </c>
      <c r="F776">
        <v>22683</v>
      </c>
      <c r="G776">
        <v>249995</v>
      </c>
      <c r="H776">
        <v>309757</v>
      </c>
      <c r="I776">
        <v>392484</v>
      </c>
      <c r="J776">
        <v>87.9</v>
      </c>
    </row>
    <row r="777" spans="1:10" x14ac:dyDescent="0.2">
      <c r="A777">
        <v>2009</v>
      </c>
      <c r="B777" s="1" t="s">
        <v>15</v>
      </c>
      <c r="C777" s="1" t="s">
        <v>12</v>
      </c>
      <c r="D777">
        <v>0</v>
      </c>
      <c r="E777">
        <v>0</v>
      </c>
      <c r="F777">
        <v>11432</v>
      </c>
      <c r="G777">
        <v>130000</v>
      </c>
      <c r="H777">
        <v>142377</v>
      </c>
      <c r="I777">
        <v>204096</v>
      </c>
      <c r="J777">
        <v>87.9</v>
      </c>
    </row>
    <row r="778" spans="1:10" x14ac:dyDescent="0.2">
      <c r="A778">
        <v>2009</v>
      </c>
      <c r="B778" s="1" t="s">
        <v>15</v>
      </c>
      <c r="C778" s="1" t="s">
        <v>13</v>
      </c>
      <c r="D778">
        <v>0</v>
      </c>
      <c r="E778">
        <v>0</v>
      </c>
      <c r="F778">
        <v>22209</v>
      </c>
      <c r="G778">
        <v>174950</v>
      </c>
      <c r="H778">
        <v>196846</v>
      </c>
      <c r="I778">
        <v>274666</v>
      </c>
      <c r="J778">
        <v>87.9</v>
      </c>
    </row>
    <row r="779" spans="1:10" x14ac:dyDescent="0.2">
      <c r="A779">
        <v>2009</v>
      </c>
      <c r="B779" s="1" t="s">
        <v>15</v>
      </c>
      <c r="C779" s="1" t="s">
        <v>14</v>
      </c>
      <c r="D779">
        <v>0</v>
      </c>
      <c r="E779">
        <v>0</v>
      </c>
      <c r="F779">
        <v>20003</v>
      </c>
      <c r="G779">
        <v>155000</v>
      </c>
      <c r="H779">
        <v>169406</v>
      </c>
      <c r="I779">
        <v>243345</v>
      </c>
      <c r="J779">
        <v>87.9</v>
      </c>
    </row>
    <row r="780" spans="1:10" x14ac:dyDescent="0.2">
      <c r="A780">
        <v>2009</v>
      </c>
      <c r="B780" s="1" t="s">
        <v>16</v>
      </c>
      <c r="C780" s="1" t="s">
        <v>11</v>
      </c>
      <c r="D780">
        <v>0</v>
      </c>
      <c r="E780">
        <v>0</v>
      </c>
      <c r="F780">
        <v>3656</v>
      </c>
      <c r="G780">
        <v>491000</v>
      </c>
      <c r="H780">
        <v>683234</v>
      </c>
      <c r="I780">
        <v>770853</v>
      </c>
      <c r="J780">
        <v>87.9</v>
      </c>
    </row>
    <row r="781" spans="1:10" x14ac:dyDescent="0.2">
      <c r="A781">
        <v>2009</v>
      </c>
      <c r="B781" s="1" t="s">
        <v>16</v>
      </c>
      <c r="C781" s="1" t="s">
        <v>12</v>
      </c>
      <c r="D781">
        <v>0</v>
      </c>
      <c r="E781">
        <v>0</v>
      </c>
      <c r="F781">
        <v>37860</v>
      </c>
      <c r="G781">
        <v>240000</v>
      </c>
      <c r="H781">
        <v>309822</v>
      </c>
      <c r="I781">
        <v>376792</v>
      </c>
      <c r="J781">
        <v>87.9</v>
      </c>
    </row>
    <row r="782" spans="1:10" x14ac:dyDescent="0.2">
      <c r="A782">
        <v>2009</v>
      </c>
      <c r="B782" s="1" t="s">
        <v>16</v>
      </c>
      <c r="C782" s="1" t="s">
        <v>13</v>
      </c>
      <c r="D782">
        <v>0</v>
      </c>
      <c r="E782">
        <v>0</v>
      </c>
      <c r="F782">
        <v>12248</v>
      </c>
      <c r="G782">
        <v>295000</v>
      </c>
      <c r="H782">
        <v>385361</v>
      </c>
      <c r="I782">
        <v>463140</v>
      </c>
      <c r="J782">
        <v>87.9</v>
      </c>
    </row>
    <row r="783" spans="1:10" x14ac:dyDescent="0.2">
      <c r="A783">
        <v>2009</v>
      </c>
      <c r="B783" s="1" t="s">
        <v>16</v>
      </c>
      <c r="C783" s="1" t="s">
        <v>14</v>
      </c>
      <c r="D783">
        <v>0</v>
      </c>
      <c r="E783">
        <v>0</v>
      </c>
      <c r="F783">
        <v>22398</v>
      </c>
      <c r="G783">
        <v>250000</v>
      </c>
      <c r="H783">
        <v>387796</v>
      </c>
      <c r="I783">
        <v>392491</v>
      </c>
      <c r="J783">
        <v>87.9</v>
      </c>
    </row>
    <row r="784" spans="1:10" x14ac:dyDescent="0.2">
      <c r="A784">
        <v>2009</v>
      </c>
      <c r="B784" s="1" t="s">
        <v>17</v>
      </c>
      <c r="C784" s="1" t="s">
        <v>11</v>
      </c>
      <c r="D784">
        <v>0</v>
      </c>
      <c r="E784">
        <v>0</v>
      </c>
      <c r="F784">
        <v>4529</v>
      </c>
      <c r="G784">
        <v>195000</v>
      </c>
      <c r="H784">
        <v>228778</v>
      </c>
      <c r="I784">
        <v>306143</v>
      </c>
      <c r="J784">
        <v>87.9</v>
      </c>
    </row>
    <row r="785" spans="1:10" x14ac:dyDescent="0.2">
      <c r="A785">
        <v>2009</v>
      </c>
      <c r="B785" s="1" t="s">
        <v>17</v>
      </c>
      <c r="C785" s="1" t="s">
        <v>12</v>
      </c>
      <c r="D785">
        <v>0</v>
      </c>
      <c r="E785">
        <v>0</v>
      </c>
      <c r="F785">
        <v>2971</v>
      </c>
      <c r="G785">
        <v>99500</v>
      </c>
      <c r="H785">
        <v>108978</v>
      </c>
      <c r="I785">
        <v>156212</v>
      </c>
      <c r="J785">
        <v>87.9</v>
      </c>
    </row>
    <row r="786" spans="1:10" x14ac:dyDescent="0.2">
      <c r="A786">
        <v>2009</v>
      </c>
      <c r="B786" s="1" t="s">
        <v>17</v>
      </c>
      <c r="C786" s="1" t="s">
        <v>13</v>
      </c>
      <c r="D786">
        <v>0</v>
      </c>
      <c r="E786">
        <v>0</v>
      </c>
      <c r="F786">
        <v>8300</v>
      </c>
      <c r="G786">
        <v>123500</v>
      </c>
      <c r="H786">
        <v>133349</v>
      </c>
      <c r="I786">
        <v>193891</v>
      </c>
      <c r="J786">
        <v>87.9</v>
      </c>
    </row>
    <row r="787" spans="1:10" x14ac:dyDescent="0.2">
      <c r="A787">
        <v>2009</v>
      </c>
      <c r="B787" s="1" t="s">
        <v>17</v>
      </c>
      <c r="C787" s="1" t="s">
        <v>14</v>
      </c>
      <c r="D787">
        <v>0</v>
      </c>
      <c r="E787">
        <v>0</v>
      </c>
      <c r="F787">
        <v>8567</v>
      </c>
      <c r="G787">
        <v>95000</v>
      </c>
      <c r="H787">
        <v>110244</v>
      </c>
      <c r="I787">
        <v>149147</v>
      </c>
      <c r="J787">
        <v>87.9</v>
      </c>
    </row>
    <row r="788" spans="1:10" x14ac:dyDescent="0.2">
      <c r="A788">
        <v>2009</v>
      </c>
      <c r="B788" s="1" t="s">
        <v>18</v>
      </c>
      <c r="C788" s="1" t="s">
        <v>11</v>
      </c>
      <c r="D788">
        <v>0</v>
      </c>
      <c r="E788">
        <v>0</v>
      </c>
      <c r="F788">
        <v>12292</v>
      </c>
      <c r="G788">
        <v>226000</v>
      </c>
      <c r="H788">
        <v>270957</v>
      </c>
      <c r="I788">
        <v>354812</v>
      </c>
      <c r="J788">
        <v>87.9</v>
      </c>
    </row>
    <row r="789" spans="1:10" x14ac:dyDescent="0.2">
      <c r="A789">
        <v>2009</v>
      </c>
      <c r="B789" s="1" t="s">
        <v>18</v>
      </c>
      <c r="C789" s="1" t="s">
        <v>12</v>
      </c>
      <c r="D789">
        <v>0</v>
      </c>
      <c r="E789">
        <v>0</v>
      </c>
      <c r="F789">
        <v>8749</v>
      </c>
      <c r="G789">
        <v>110000</v>
      </c>
      <c r="H789">
        <v>123710</v>
      </c>
      <c r="I789">
        <v>172696</v>
      </c>
      <c r="J789">
        <v>87.9</v>
      </c>
    </row>
    <row r="790" spans="1:10" x14ac:dyDescent="0.2">
      <c r="A790">
        <v>2009</v>
      </c>
      <c r="B790" s="1" t="s">
        <v>18</v>
      </c>
      <c r="C790" s="1" t="s">
        <v>13</v>
      </c>
      <c r="D790">
        <v>0</v>
      </c>
      <c r="E790">
        <v>0</v>
      </c>
      <c r="F790">
        <v>23710</v>
      </c>
      <c r="G790">
        <v>137702</v>
      </c>
      <c r="H790">
        <v>150640</v>
      </c>
      <c r="I790">
        <v>216187</v>
      </c>
      <c r="J790">
        <v>87.9</v>
      </c>
    </row>
    <row r="791" spans="1:10" x14ac:dyDescent="0.2">
      <c r="A791">
        <v>2009</v>
      </c>
      <c r="B791" s="1" t="s">
        <v>18</v>
      </c>
      <c r="C791" s="1" t="s">
        <v>14</v>
      </c>
      <c r="D791">
        <v>0</v>
      </c>
      <c r="E791">
        <v>0</v>
      </c>
      <c r="F791">
        <v>22698</v>
      </c>
      <c r="G791">
        <v>95000</v>
      </c>
      <c r="H791">
        <v>107931</v>
      </c>
      <c r="I791">
        <v>149147</v>
      </c>
      <c r="J791">
        <v>87.9</v>
      </c>
    </row>
    <row r="792" spans="1:10" x14ac:dyDescent="0.2">
      <c r="A792">
        <v>2009</v>
      </c>
      <c r="B792" s="1" t="s">
        <v>19</v>
      </c>
      <c r="C792" s="1" t="s">
        <v>11</v>
      </c>
      <c r="D792">
        <v>0</v>
      </c>
      <c r="E792">
        <v>0</v>
      </c>
      <c r="F792">
        <v>31656</v>
      </c>
      <c r="G792">
        <v>330000</v>
      </c>
      <c r="H792">
        <v>410708</v>
      </c>
      <c r="I792">
        <v>518089</v>
      </c>
      <c r="J792">
        <v>87.9</v>
      </c>
    </row>
    <row r="793" spans="1:10" x14ac:dyDescent="0.2">
      <c r="A793">
        <v>2009</v>
      </c>
      <c r="B793" s="1" t="s">
        <v>19</v>
      </c>
      <c r="C793" s="1" t="s">
        <v>12</v>
      </c>
      <c r="D793">
        <v>0</v>
      </c>
      <c r="E793">
        <v>0</v>
      </c>
      <c r="F793">
        <v>23928</v>
      </c>
      <c r="G793">
        <v>146000</v>
      </c>
      <c r="H793">
        <v>159358</v>
      </c>
      <c r="I793">
        <v>229215</v>
      </c>
      <c r="J793">
        <v>87.9</v>
      </c>
    </row>
    <row r="794" spans="1:10" x14ac:dyDescent="0.2">
      <c r="A794">
        <v>2009</v>
      </c>
      <c r="B794" s="1" t="s">
        <v>19</v>
      </c>
      <c r="C794" s="1" t="s">
        <v>13</v>
      </c>
      <c r="D794">
        <v>0</v>
      </c>
      <c r="E794">
        <v>0</v>
      </c>
      <c r="F794">
        <v>31646</v>
      </c>
      <c r="G794">
        <v>209325</v>
      </c>
      <c r="H794">
        <v>228487</v>
      </c>
      <c r="I794">
        <v>328633</v>
      </c>
      <c r="J794">
        <v>87.9</v>
      </c>
    </row>
    <row r="795" spans="1:10" x14ac:dyDescent="0.2">
      <c r="A795">
        <v>2009</v>
      </c>
      <c r="B795" s="1" t="s">
        <v>19</v>
      </c>
      <c r="C795" s="1" t="s">
        <v>14</v>
      </c>
      <c r="D795">
        <v>0</v>
      </c>
      <c r="E795">
        <v>0</v>
      </c>
      <c r="F795">
        <v>29931</v>
      </c>
      <c r="G795">
        <v>173500</v>
      </c>
      <c r="H795">
        <v>191334</v>
      </c>
      <c r="I795">
        <v>272389</v>
      </c>
      <c r="J795">
        <v>87.9</v>
      </c>
    </row>
    <row r="796" spans="1:10" x14ac:dyDescent="0.2">
      <c r="A796">
        <v>2009</v>
      </c>
      <c r="B796" s="1" t="s">
        <v>20</v>
      </c>
      <c r="C796" s="1" t="s">
        <v>11</v>
      </c>
      <c r="D796">
        <v>0</v>
      </c>
      <c r="E796">
        <v>0</v>
      </c>
      <c r="F796">
        <v>22517</v>
      </c>
      <c r="G796">
        <v>250000</v>
      </c>
      <c r="H796">
        <v>304149</v>
      </c>
      <c r="I796">
        <v>392491</v>
      </c>
      <c r="J796">
        <v>87.9</v>
      </c>
    </row>
    <row r="797" spans="1:10" x14ac:dyDescent="0.2">
      <c r="A797">
        <v>2009</v>
      </c>
      <c r="B797" s="1" t="s">
        <v>20</v>
      </c>
      <c r="C797" s="1" t="s">
        <v>12</v>
      </c>
      <c r="D797">
        <v>0</v>
      </c>
      <c r="E797">
        <v>0</v>
      </c>
      <c r="F797">
        <v>13130</v>
      </c>
      <c r="G797">
        <v>133700</v>
      </c>
      <c r="H797">
        <v>152881</v>
      </c>
      <c r="I797">
        <v>209904</v>
      </c>
      <c r="J797">
        <v>87.9</v>
      </c>
    </row>
    <row r="798" spans="1:10" x14ac:dyDescent="0.2">
      <c r="A798">
        <v>2009</v>
      </c>
      <c r="B798" s="1" t="s">
        <v>20</v>
      </c>
      <c r="C798" s="1" t="s">
        <v>13</v>
      </c>
      <c r="D798">
        <v>0</v>
      </c>
      <c r="E798">
        <v>0</v>
      </c>
      <c r="F798">
        <v>18110</v>
      </c>
      <c r="G798">
        <v>170000</v>
      </c>
      <c r="H798">
        <v>188196</v>
      </c>
      <c r="I798">
        <v>266894</v>
      </c>
      <c r="J798">
        <v>87.9</v>
      </c>
    </row>
    <row r="799" spans="1:10" x14ac:dyDescent="0.2">
      <c r="A799">
        <v>2009</v>
      </c>
      <c r="B799" s="1" t="s">
        <v>20</v>
      </c>
      <c r="C799" s="1" t="s">
        <v>14</v>
      </c>
      <c r="D799">
        <v>0</v>
      </c>
      <c r="E799">
        <v>0</v>
      </c>
      <c r="F799">
        <v>21908</v>
      </c>
      <c r="G799">
        <v>150000</v>
      </c>
      <c r="H799">
        <v>168254</v>
      </c>
      <c r="I799">
        <v>235495</v>
      </c>
      <c r="J799">
        <v>87.9</v>
      </c>
    </row>
    <row r="800" spans="1:10" x14ac:dyDescent="0.2">
      <c r="A800">
        <v>2009</v>
      </c>
      <c r="B800" s="1" t="s">
        <v>21</v>
      </c>
      <c r="C800" s="1" t="s">
        <v>11</v>
      </c>
      <c r="D800">
        <v>0</v>
      </c>
      <c r="E800">
        <v>0</v>
      </c>
      <c r="F800">
        <v>8491</v>
      </c>
      <c r="G800">
        <v>195000</v>
      </c>
      <c r="H800">
        <v>220867</v>
      </c>
      <c r="I800">
        <v>306143</v>
      </c>
      <c r="J800">
        <v>87.9</v>
      </c>
    </row>
    <row r="801" spans="1:10" x14ac:dyDescent="0.2">
      <c r="A801">
        <v>2009</v>
      </c>
      <c r="B801" s="1" t="s">
        <v>21</v>
      </c>
      <c r="C801" s="1" t="s">
        <v>12</v>
      </c>
      <c r="D801">
        <v>0</v>
      </c>
      <c r="E801">
        <v>0</v>
      </c>
      <c r="F801">
        <v>3074</v>
      </c>
      <c r="G801">
        <v>114000</v>
      </c>
      <c r="H801">
        <v>126343</v>
      </c>
      <c r="I801">
        <v>178976</v>
      </c>
      <c r="J801">
        <v>87.9</v>
      </c>
    </row>
    <row r="802" spans="1:10" x14ac:dyDescent="0.2">
      <c r="A802">
        <v>2009</v>
      </c>
      <c r="B802" s="1" t="s">
        <v>21</v>
      </c>
      <c r="C802" s="1" t="s">
        <v>13</v>
      </c>
      <c r="D802">
        <v>0</v>
      </c>
      <c r="E802">
        <v>0</v>
      </c>
      <c r="F802">
        <v>8632</v>
      </c>
      <c r="G802">
        <v>130000</v>
      </c>
      <c r="H802">
        <v>138498</v>
      </c>
      <c r="I802">
        <v>204096</v>
      </c>
      <c r="J802">
        <v>87.9</v>
      </c>
    </row>
    <row r="803" spans="1:10" x14ac:dyDescent="0.2">
      <c r="A803">
        <v>2009</v>
      </c>
      <c r="B803" s="1" t="s">
        <v>21</v>
      </c>
      <c r="C803" s="1" t="s">
        <v>14</v>
      </c>
      <c r="D803">
        <v>0</v>
      </c>
      <c r="E803">
        <v>0</v>
      </c>
      <c r="F803">
        <v>8923</v>
      </c>
      <c r="G803">
        <v>100000</v>
      </c>
      <c r="H803">
        <v>108460</v>
      </c>
      <c r="I803">
        <v>156997</v>
      </c>
      <c r="J803">
        <v>87.9</v>
      </c>
    </row>
    <row r="804" spans="1:10" x14ac:dyDescent="0.2">
      <c r="A804">
        <v>2009</v>
      </c>
      <c r="B804" s="1" t="s">
        <v>22</v>
      </c>
      <c r="C804" s="1" t="s">
        <v>11</v>
      </c>
      <c r="D804">
        <v>0</v>
      </c>
      <c r="E804">
        <v>0</v>
      </c>
      <c r="F804">
        <v>13100</v>
      </c>
      <c r="G804">
        <v>233000</v>
      </c>
      <c r="H804">
        <v>266456</v>
      </c>
      <c r="I804">
        <v>365802</v>
      </c>
      <c r="J804">
        <v>87.9</v>
      </c>
    </row>
    <row r="805" spans="1:10" x14ac:dyDescent="0.2">
      <c r="A805">
        <v>2009</v>
      </c>
      <c r="B805" s="1" t="s">
        <v>22</v>
      </c>
      <c r="C805" s="1" t="s">
        <v>12</v>
      </c>
      <c r="D805">
        <v>0</v>
      </c>
      <c r="E805">
        <v>0</v>
      </c>
      <c r="F805">
        <v>6133</v>
      </c>
      <c r="G805">
        <v>105000</v>
      </c>
      <c r="H805">
        <v>114756</v>
      </c>
      <c r="I805">
        <v>164846</v>
      </c>
      <c r="J805">
        <v>87.9</v>
      </c>
    </row>
    <row r="806" spans="1:10" x14ac:dyDescent="0.2">
      <c r="A806">
        <v>2009</v>
      </c>
      <c r="B806" s="1" t="s">
        <v>22</v>
      </c>
      <c r="C806" s="1" t="s">
        <v>13</v>
      </c>
      <c r="D806">
        <v>0</v>
      </c>
      <c r="E806">
        <v>0</v>
      </c>
      <c r="F806">
        <v>17806</v>
      </c>
      <c r="G806">
        <v>139995</v>
      </c>
      <c r="H806">
        <v>149999</v>
      </c>
      <c r="I806">
        <v>219787</v>
      </c>
      <c r="J806">
        <v>87.9</v>
      </c>
    </row>
    <row r="807" spans="1:10" x14ac:dyDescent="0.2">
      <c r="A807">
        <v>2009</v>
      </c>
      <c r="B807" s="1" t="s">
        <v>22</v>
      </c>
      <c r="C807" s="1" t="s">
        <v>14</v>
      </c>
      <c r="D807">
        <v>0</v>
      </c>
      <c r="E807">
        <v>0</v>
      </c>
      <c r="F807">
        <v>15373</v>
      </c>
      <c r="G807">
        <v>116000</v>
      </c>
      <c r="H807">
        <v>124283</v>
      </c>
      <c r="I807">
        <v>182116</v>
      </c>
      <c r="J807">
        <v>87.9</v>
      </c>
    </row>
    <row r="808" spans="1:10" x14ac:dyDescent="0.2">
      <c r="A808">
        <v>2009</v>
      </c>
      <c r="B808" s="1" t="s">
        <v>23</v>
      </c>
      <c r="C808" s="1" t="s">
        <v>11</v>
      </c>
      <c r="D808">
        <v>0</v>
      </c>
      <c r="E808">
        <v>0</v>
      </c>
      <c r="F808">
        <v>11664</v>
      </c>
      <c r="G808">
        <v>215000</v>
      </c>
      <c r="H808">
        <v>250786</v>
      </c>
      <c r="I808">
        <v>337543</v>
      </c>
      <c r="J808">
        <v>87.9</v>
      </c>
    </row>
    <row r="809" spans="1:10" x14ac:dyDescent="0.2">
      <c r="A809">
        <v>2009</v>
      </c>
      <c r="B809" s="1" t="s">
        <v>23</v>
      </c>
      <c r="C809" s="1" t="s">
        <v>12</v>
      </c>
      <c r="D809">
        <v>0</v>
      </c>
      <c r="E809">
        <v>0</v>
      </c>
      <c r="F809">
        <v>5859</v>
      </c>
      <c r="G809">
        <v>108500</v>
      </c>
      <c r="H809">
        <v>119585</v>
      </c>
      <c r="I809">
        <v>170341</v>
      </c>
      <c r="J809">
        <v>87.9</v>
      </c>
    </row>
    <row r="810" spans="1:10" x14ac:dyDescent="0.2">
      <c r="A810">
        <v>2009</v>
      </c>
      <c r="B810" s="1" t="s">
        <v>23</v>
      </c>
      <c r="C810" s="1" t="s">
        <v>13</v>
      </c>
      <c r="D810">
        <v>0</v>
      </c>
      <c r="E810">
        <v>0</v>
      </c>
      <c r="F810">
        <v>19022</v>
      </c>
      <c r="G810">
        <v>130000</v>
      </c>
      <c r="H810">
        <v>140909</v>
      </c>
      <c r="I810">
        <v>204096</v>
      </c>
      <c r="J810">
        <v>87.9</v>
      </c>
    </row>
    <row r="811" spans="1:10" x14ac:dyDescent="0.2">
      <c r="A811">
        <v>2009</v>
      </c>
      <c r="B811" s="1" t="s">
        <v>23</v>
      </c>
      <c r="C811" s="1" t="s">
        <v>14</v>
      </c>
      <c r="D811">
        <v>0</v>
      </c>
      <c r="E811">
        <v>0</v>
      </c>
      <c r="F811">
        <v>17440</v>
      </c>
      <c r="G811">
        <v>100000</v>
      </c>
      <c r="H811">
        <v>113920</v>
      </c>
      <c r="I811">
        <v>156997</v>
      </c>
      <c r="J811">
        <v>87.9</v>
      </c>
    </row>
    <row r="812" spans="1:10" x14ac:dyDescent="0.2">
      <c r="A812">
        <v>2009</v>
      </c>
      <c r="B812" s="1" t="s">
        <v>10</v>
      </c>
      <c r="C812" s="1" t="s">
        <v>24</v>
      </c>
      <c r="D812">
        <v>0</v>
      </c>
      <c r="E812">
        <v>1</v>
      </c>
      <c r="F812">
        <v>52164</v>
      </c>
      <c r="G812">
        <v>135000</v>
      </c>
      <c r="H812">
        <v>157983</v>
      </c>
      <c r="I812">
        <v>211945</v>
      </c>
      <c r="J812">
        <v>87.9</v>
      </c>
    </row>
    <row r="813" spans="1:10" x14ac:dyDescent="0.2">
      <c r="A813">
        <v>2009</v>
      </c>
      <c r="B813" s="1" t="s">
        <v>15</v>
      </c>
      <c r="C813" s="1" t="s">
        <v>24</v>
      </c>
      <c r="D813">
        <v>0</v>
      </c>
      <c r="E813">
        <v>1</v>
      </c>
      <c r="F813">
        <v>76327</v>
      </c>
      <c r="G813">
        <v>175000</v>
      </c>
      <c r="H813">
        <v>215052</v>
      </c>
      <c r="I813">
        <v>274744</v>
      </c>
      <c r="J813">
        <v>87.9</v>
      </c>
    </row>
    <row r="814" spans="1:10" x14ac:dyDescent="0.2">
      <c r="A814">
        <v>2009</v>
      </c>
      <c r="B814" s="1" t="s">
        <v>16</v>
      </c>
      <c r="C814" s="1" t="s">
        <v>24</v>
      </c>
      <c r="D814">
        <v>0</v>
      </c>
      <c r="E814">
        <v>1</v>
      </c>
      <c r="F814">
        <v>76162</v>
      </c>
      <c r="G814">
        <v>250000</v>
      </c>
      <c r="H814">
        <v>362825</v>
      </c>
      <c r="I814">
        <v>392491</v>
      </c>
      <c r="J814">
        <v>87.9</v>
      </c>
    </row>
    <row r="815" spans="1:10" x14ac:dyDescent="0.2">
      <c r="A815">
        <v>2009</v>
      </c>
      <c r="B815" s="1" t="s">
        <v>17</v>
      </c>
      <c r="C815" s="1" t="s">
        <v>24</v>
      </c>
      <c r="D815">
        <v>0</v>
      </c>
      <c r="E815">
        <v>1</v>
      </c>
      <c r="F815">
        <v>24367</v>
      </c>
      <c r="G815">
        <v>120000</v>
      </c>
      <c r="H815">
        <v>139991</v>
      </c>
      <c r="I815">
        <v>188396</v>
      </c>
      <c r="J815">
        <v>87.9</v>
      </c>
    </row>
    <row r="816" spans="1:10" x14ac:dyDescent="0.2">
      <c r="A816">
        <v>2009</v>
      </c>
      <c r="B816" s="1" t="s">
        <v>18</v>
      </c>
      <c r="C816" s="1" t="s">
        <v>24</v>
      </c>
      <c r="D816">
        <v>0</v>
      </c>
      <c r="E816">
        <v>1</v>
      </c>
      <c r="F816">
        <v>67449</v>
      </c>
      <c r="G816">
        <v>130000</v>
      </c>
      <c r="H816">
        <v>154701</v>
      </c>
      <c r="I816">
        <v>204096</v>
      </c>
      <c r="J816">
        <v>87.9</v>
      </c>
    </row>
    <row r="817" spans="1:10" x14ac:dyDescent="0.2">
      <c r="A817">
        <v>2009</v>
      </c>
      <c r="B817" s="1" t="s">
        <v>19</v>
      </c>
      <c r="C817" s="1" t="s">
        <v>24</v>
      </c>
      <c r="D817">
        <v>0</v>
      </c>
      <c r="E817">
        <v>1</v>
      </c>
      <c r="F817">
        <v>117161</v>
      </c>
      <c r="G817">
        <v>203000</v>
      </c>
      <c r="H817">
        <v>254112</v>
      </c>
      <c r="I817">
        <v>318703</v>
      </c>
      <c r="J817">
        <v>87.9</v>
      </c>
    </row>
    <row r="818" spans="1:10" x14ac:dyDescent="0.2">
      <c r="A818">
        <v>2009</v>
      </c>
      <c r="B818" s="1" t="s">
        <v>20</v>
      </c>
      <c r="C818" s="1" t="s">
        <v>24</v>
      </c>
      <c r="D818">
        <v>0</v>
      </c>
      <c r="E818">
        <v>1</v>
      </c>
      <c r="F818">
        <v>75665</v>
      </c>
      <c r="G818">
        <v>175000</v>
      </c>
      <c r="H818">
        <v>210800</v>
      </c>
      <c r="I818">
        <v>274744</v>
      </c>
      <c r="J818">
        <v>87.9</v>
      </c>
    </row>
    <row r="819" spans="1:10" x14ac:dyDescent="0.2">
      <c r="A819">
        <v>2009</v>
      </c>
      <c r="B819" s="1" t="s">
        <v>21</v>
      </c>
      <c r="C819" s="1" t="s">
        <v>24</v>
      </c>
      <c r="D819">
        <v>0</v>
      </c>
      <c r="E819">
        <v>1</v>
      </c>
      <c r="F819">
        <v>29120</v>
      </c>
      <c r="G819">
        <v>132500</v>
      </c>
      <c r="H819">
        <v>152029</v>
      </c>
      <c r="I819">
        <v>208020</v>
      </c>
      <c r="J819">
        <v>87.9</v>
      </c>
    </row>
    <row r="820" spans="1:10" x14ac:dyDescent="0.2">
      <c r="A820">
        <v>2009</v>
      </c>
      <c r="B820" s="1" t="s">
        <v>22</v>
      </c>
      <c r="C820" s="1" t="s">
        <v>24</v>
      </c>
      <c r="D820">
        <v>0</v>
      </c>
      <c r="E820">
        <v>1</v>
      </c>
      <c r="F820">
        <v>52412</v>
      </c>
      <c r="G820">
        <v>142000</v>
      </c>
      <c r="H820">
        <v>167440</v>
      </c>
      <c r="I820">
        <v>222935</v>
      </c>
      <c r="J820">
        <v>87.9</v>
      </c>
    </row>
    <row r="821" spans="1:10" x14ac:dyDescent="0.2">
      <c r="A821">
        <v>2009</v>
      </c>
      <c r="B821" s="1" t="s">
        <v>23</v>
      </c>
      <c r="C821" s="1" t="s">
        <v>24</v>
      </c>
      <c r="D821">
        <v>0</v>
      </c>
      <c r="E821">
        <v>1</v>
      </c>
      <c r="F821">
        <v>53985</v>
      </c>
      <c r="G821">
        <v>130000</v>
      </c>
      <c r="H821">
        <v>153616</v>
      </c>
      <c r="I821">
        <v>204096</v>
      </c>
      <c r="J821">
        <v>87.9</v>
      </c>
    </row>
    <row r="822" spans="1:10" x14ac:dyDescent="0.2">
      <c r="A822">
        <v>2009</v>
      </c>
      <c r="B822" s="1" t="s">
        <v>25</v>
      </c>
      <c r="C822" s="1" t="s">
        <v>11</v>
      </c>
      <c r="D822">
        <v>1</v>
      </c>
      <c r="E822">
        <v>0</v>
      </c>
      <c r="F822">
        <v>149099</v>
      </c>
      <c r="G822">
        <v>249000</v>
      </c>
      <c r="H822">
        <v>309667</v>
      </c>
      <c r="I822">
        <v>390922</v>
      </c>
      <c r="J822">
        <v>87.9</v>
      </c>
    </row>
    <row r="823" spans="1:10" x14ac:dyDescent="0.2">
      <c r="A823">
        <v>2009</v>
      </c>
      <c r="B823" s="1" t="s">
        <v>25</v>
      </c>
      <c r="C823" s="1" t="s">
        <v>12</v>
      </c>
      <c r="D823">
        <v>1</v>
      </c>
      <c r="E823">
        <v>0</v>
      </c>
      <c r="F823">
        <v>116926</v>
      </c>
      <c r="G823">
        <v>150000</v>
      </c>
      <c r="H823">
        <v>194924</v>
      </c>
      <c r="I823">
        <v>235495</v>
      </c>
      <c r="J823">
        <v>87.9</v>
      </c>
    </row>
    <row r="824" spans="1:10" x14ac:dyDescent="0.2">
      <c r="A824">
        <v>2009</v>
      </c>
      <c r="B824" s="1" t="s">
        <v>25</v>
      </c>
      <c r="C824" s="1" t="s">
        <v>13</v>
      </c>
      <c r="D824">
        <v>1</v>
      </c>
      <c r="E824">
        <v>0</v>
      </c>
      <c r="F824">
        <v>179503</v>
      </c>
      <c r="G824">
        <v>159950</v>
      </c>
      <c r="H824">
        <v>185723</v>
      </c>
      <c r="I824">
        <v>251116</v>
      </c>
      <c r="J824">
        <v>87.9</v>
      </c>
    </row>
    <row r="825" spans="1:10" x14ac:dyDescent="0.2">
      <c r="A825">
        <v>2009</v>
      </c>
      <c r="B825" s="1" t="s">
        <v>25</v>
      </c>
      <c r="C825" s="1" t="s">
        <v>14</v>
      </c>
      <c r="D825">
        <v>1</v>
      </c>
      <c r="E825">
        <v>0</v>
      </c>
      <c r="F825">
        <v>179656</v>
      </c>
      <c r="G825">
        <v>140000</v>
      </c>
      <c r="H825">
        <v>173341</v>
      </c>
      <c r="I825">
        <v>219795</v>
      </c>
      <c r="J825">
        <v>87.9</v>
      </c>
    </row>
    <row r="826" spans="1:10" x14ac:dyDescent="0.2">
      <c r="A826">
        <v>2009</v>
      </c>
      <c r="B826" s="1" t="s">
        <v>25</v>
      </c>
      <c r="C826" s="1" t="s">
        <v>24</v>
      </c>
      <c r="D826">
        <v>1</v>
      </c>
      <c r="E826">
        <v>1</v>
      </c>
      <c r="F826">
        <v>625184</v>
      </c>
      <c r="G826">
        <v>168950</v>
      </c>
      <c r="H826">
        <v>213445</v>
      </c>
      <c r="I826">
        <v>265246</v>
      </c>
      <c r="J826">
        <v>87.9</v>
      </c>
    </row>
    <row r="827" spans="1:10" x14ac:dyDescent="0.2">
      <c r="A827">
        <v>2010</v>
      </c>
      <c r="B827" s="1" t="s">
        <v>10</v>
      </c>
      <c r="C827" s="1" t="s">
        <v>11</v>
      </c>
      <c r="D827">
        <v>0</v>
      </c>
      <c r="E827">
        <v>0</v>
      </c>
      <c r="F827">
        <v>19192</v>
      </c>
      <c r="G827">
        <v>205000</v>
      </c>
      <c r="H827">
        <v>236368</v>
      </c>
      <c r="I827">
        <v>313984</v>
      </c>
      <c r="J827">
        <v>90.1</v>
      </c>
    </row>
    <row r="828" spans="1:10" x14ac:dyDescent="0.2">
      <c r="A828">
        <v>2010</v>
      </c>
      <c r="B828" s="1" t="s">
        <v>10</v>
      </c>
      <c r="C828" s="1" t="s">
        <v>12</v>
      </c>
      <c r="D828">
        <v>0</v>
      </c>
      <c r="E828">
        <v>0</v>
      </c>
      <c r="F828">
        <v>3437</v>
      </c>
      <c r="G828">
        <v>92000</v>
      </c>
      <c r="H828">
        <v>103705</v>
      </c>
      <c r="I828">
        <v>140910</v>
      </c>
      <c r="J828">
        <v>90.1</v>
      </c>
    </row>
    <row r="829" spans="1:10" x14ac:dyDescent="0.2">
      <c r="A829">
        <v>2010</v>
      </c>
      <c r="B829" s="1" t="s">
        <v>10</v>
      </c>
      <c r="C829" s="1" t="s">
        <v>13</v>
      </c>
      <c r="D829">
        <v>0</v>
      </c>
      <c r="E829">
        <v>0</v>
      </c>
      <c r="F829">
        <v>18346</v>
      </c>
      <c r="G829">
        <v>125000</v>
      </c>
      <c r="H829">
        <v>137383</v>
      </c>
      <c r="I829">
        <v>191454</v>
      </c>
      <c r="J829">
        <v>90.1</v>
      </c>
    </row>
    <row r="830" spans="1:10" x14ac:dyDescent="0.2">
      <c r="A830">
        <v>2010</v>
      </c>
      <c r="B830" s="1" t="s">
        <v>10</v>
      </c>
      <c r="C830" s="1" t="s">
        <v>14</v>
      </c>
      <c r="D830">
        <v>0</v>
      </c>
      <c r="E830">
        <v>0</v>
      </c>
      <c r="F830">
        <v>13105</v>
      </c>
      <c r="G830">
        <v>106500</v>
      </c>
      <c r="H830">
        <v>114708</v>
      </c>
      <c r="I830">
        <v>163119</v>
      </c>
      <c r="J830">
        <v>90.1</v>
      </c>
    </row>
    <row r="831" spans="1:10" x14ac:dyDescent="0.2">
      <c r="A831">
        <v>2010</v>
      </c>
      <c r="B831" s="1" t="s">
        <v>15</v>
      </c>
      <c r="C831" s="1" t="s">
        <v>11</v>
      </c>
      <c r="D831">
        <v>0</v>
      </c>
      <c r="E831">
        <v>0</v>
      </c>
      <c r="F831">
        <v>24471</v>
      </c>
      <c r="G831">
        <v>280000</v>
      </c>
      <c r="H831">
        <v>347173</v>
      </c>
      <c r="I831">
        <v>428857</v>
      </c>
      <c r="J831">
        <v>90.1</v>
      </c>
    </row>
    <row r="832" spans="1:10" x14ac:dyDescent="0.2">
      <c r="A832">
        <v>2010</v>
      </c>
      <c r="B832" s="1" t="s">
        <v>15</v>
      </c>
      <c r="C832" s="1" t="s">
        <v>12</v>
      </c>
      <c r="D832">
        <v>0</v>
      </c>
      <c r="E832">
        <v>0</v>
      </c>
      <c r="F832">
        <v>11931</v>
      </c>
      <c r="G832">
        <v>134995</v>
      </c>
      <c r="H832">
        <v>149066</v>
      </c>
      <c r="I832">
        <v>206763</v>
      </c>
      <c r="J832">
        <v>90.1</v>
      </c>
    </row>
    <row r="833" spans="1:10" x14ac:dyDescent="0.2">
      <c r="A833">
        <v>2010</v>
      </c>
      <c r="B833" s="1" t="s">
        <v>15</v>
      </c>
      <c r="C833" s="1" t="s">
        <v>13</v>
      </c>
      <c r="D833">
        <v>0</v>
      </c>
      <c r="E833">
        <v>0</v>
      </c>
      <c r="F833">
        <v>22916</v>
      </c>
      <c r="G833">
        <v>190000</v>
      </c>
      <c r="H833">
        <v>216282</v>
      </c>
      <c r="I833">
        <v>291010</v>
      </c>
      <c r="J833">
        <v>90.1</v>
      </c>
    </row>
    <row r="834" spans="1:10" x14ac:dyDescent="0.2">
      <c r="A834">
        <v>2010</v>
      </c>
      <c r="B834" s="1" t="s">
        <v>15</v>
      </c>
      <c r="C834" s="1" t="s">
        <v>14</v>
      </c>
      <c r="D834">
        <v>0</v>
      </c>
      <c r="E834">
        <v>0</v>
      </c>
      <c r="F834">
        <v>20573</v>
      </c>
      <c r="G834">
        <v>165000</v>
      </c>
      <c r="H834">
        <v>183454</v>
      </c>
      <c r="I834">
        <v>252719</v>
      </c>
      <c r="J834">
        <v>90.1</v>
      </c>
    </row>
    <row r="835" spans="1:10" x14ac:dyDescent="0.2">
      <c r="A835">
        <v>2010</v>
      </c>
      <c r="B835" s="1" t="s">
        <v>16</v>
      </c>
      <c r="C835" s="1" t="s">
        <v>11</v>
      </c>
      <c r="D835">
        <v>0</v>
      </c>
      <c r="E835">
        <v>0</v>
      </c>
      <c r="F835">
        <v>4625</v>
      </c>
      <c r="G835">
        <v>530000</v>
      </c>
      <c r="H835">
        <v>791030</v>
      </c>
      <c r="I835">
        <v>811765</v>
      </c>
      <c r="J835">
        <v>90.1</v>
      </c>
    </row>
    <row r="836" spans="1:10" x14ac:dyDescent="0.2">
      <c r="A836">
        <v>2010</v>
      </c>
      <c r="B836" s="1" t="s">
        <v>16</v>
      </c>
      <c r="C836" s="1" t="s">
        <v>12</v>
      </c>
      <c r="D836">
        <v>0</v>
      </c>
      <c r="E836">
        <v>0</v>
      </c>
      <c r="F836">
        <v>47311</v>
      </c>
      <c r="G836">
        <v>250000</v>
      </c>
      <c r="H836">
        <v>340076</v>
      </c>
      <c r="I836">
        <v>382908</v>
      </c>
      <c r="J836">
        <v>90.1</v>
      </c>
    </row>
    <row r="837" spans="1:10" x14ac:dyDescent="0.2">
      <c r="A837">
        <v>2010</v>
      </c>
      <c r="B837" s="1" t="s">
        <v>16</v>
      </c>
      <c r="C837" s="1" t="s">
        <v>13</v>
      </c>
      <c r="D837">
        <v>0</v>
      </c>
      <c r="E837">
        <v>0</v>
      </c>
      <c r="F837">
        <v>14676</v>
      </c>
      <c r="G837">
        <v>325000</v>
      </c>
      <c r="H837">
        <v>433563</v>
      </c>
      <c r="I837">
        <v>497780</v>
      </c>
      <c r="J837">
        <v>90.1</v>
      </c>
    </row>
    <row r="838" spans="1:10" x14ac:dyDescent="0.2">
      <c r="A838">
        <v>2010</v>
      </c>
      <c r="B838" s="1" t="s">
        <v>16</v>
      </c>
      <c r="C838" s="1" t="s">
        <v>14</v>
      </c>
      <c r="D838">
        <v>0</v>
      </c>
      <c r="E838">
        <v>0</v>
      </c>
      <c r="F838">
        <v>26161</v>
      </c>
      <c r="G838">
        <v>290000</v>
      </c>
      <c r="H838">
        <v>449796</v>
      </c>
      <c r="I838">
        <v>444173</v>
      </c>
      <c r="J838">
        <v>90.1</v>
      </c>
    </row>
    <row r="839" spans="1:10" x14ac:dyDescent="0.2">
      <c r="A839">
        <v>2010</v>
      </c>
      <c r="B839" s="1" t="s">
        <v>17</v>
      </c>
      <c r="C839" s="1" t="s">
        <v>11</v>
      </c>
      <c r="D839">
        <v>0</v>
      </c>
      <c r="E839">
        <v>0</v>
      </c>
      <c r="F839">
        <v>4768</v>
      </c>
      <c r="G839">
        <v>210000</v>
      </c>
      <c r="H839">
        <v>240955</v>
      </c>
      <c r="I839">
        <v>321643</v>
      </c>
      <c r="J839">
        <v>90.1</v>
      </c>
    </row>
    <row r="840" spans="1:10" x14ac:dyDescent="0.2">
      <c r="A840">
        <v>2010</v>
      </c>
      <c r="B840" s="1" t="s">
        <v>17</v>
      </c>
      <c r="C840" s="1" t="s">
        <v>12</v>
      </c>
      <c r="D840">
        <v>0</v>
      </c>
      <c r="E840">
        <v>0</v>
      </c>
      <c r="F840">
        <v>2832</v>
      </c>
      <c r="G840">
        <v>95000</v>
      </c>
      <c r="H840">
        <v>107439</v>
      </c>
      <c r="I840">
        <v>145505</v>
      </c>
      <c r="J840">
        <v>90.1</v>
      </c>
    </row>
    <row r="841" spans="1:10" x14ac:dyDescent="0.2">
      <c r="A841">
        <v>2010</v>
      </c>
      <c r="B841" s="1" t="s">
        <v>17</v>
      </c>
      <c r="C841" s="1" t="s">
        <v>13</v>
      </c>
      <c r="D841">
        <v>0</v>
      </c>
      <c r="E841">
        <v>0</v>
      </c>
      <c r="F841">
        <v>8721</v>
      </c>
      <c r="G841">
        <v>124950</v>
      </c>
      <c r="H841">
        <v>136430</v>
      </c>
      <c r="I841">
        <v>191377</v>
      </c>
      <c r="J841">
        <v>90.1</v>
      </c>
    </row>
    <row r="842" spans="1:10" x14ac:dyDescent="0.2">
      <c r="A842">
        <v>2010</v>
      </c>
      <c r="B842" s="1" t="s">
        <v>17</v>
      </c>
      <c r="C842" s="1" t="s">
        <v>14</v>
      </c>
      <c r="D842">
        <v>0</v>
      </c>
      <c r="E842">
        <v>0</v>
      </c>
      <c r="F842">
        <v>9345</v>
      </c>
      <c r="G842">
        <v>95000</v>
      </c>
      <c r="H842">
        <v>112666</v>
      </c>
      <c r="I842">
        <v>145505</v>
      </c>
      <c r="J842">
        <v>90.1</v>
      </c>
    </row>
    <row r="843" spans="1:10" x14ac:dyDescent="0.2">
      <c r="A843">
        <v>2010</v>
      </c>
      <c r="B843" s="1" t="s">
        <v>18</v>
      </c>
      <c r="C843" s="1" t="s">
        <v>11</v>
      </c>
      <c r="D843">
        <v>0</v>
      </c>
      <c r="E843">
        <v>0</v>
      </c>
      <c r="F843">
        <v>13341</v>
      </c>
      <c r="G843">
        <v>237000</v>
      </c>
      <c r="H843">
        <v>284921</v>
      </c>
      <c r="I843">
        <v>362997</v>
      </c>
      <c r="J843">
        <v>90.1</v>
      </c>
    </row>
    <row r="844" spans="1:10" x14ac:dyDescent="0.2">
      <c r="A844">
        <v>2010</v>
      </c>
      <c r="B844" s="1" t="s">
        <v>18</v>
      </c>
      <c r="C844" s="1" t="s">
        <v>12</v>
      </c>
      <c r="D844">
        <v>0</v>
      </c>
      <c r="E844">
        <v>0</v>
      </c>
      <c r="F844">
        <v>8546</v>
      </c>
      <c r="G844">
        <v>106000</v>
      </c>
      <c r="H844">
        <v>121758</v>
      </c>
      <c r="I844">
        <v>162353</v>
      </c>
      <c r="J844">
        <v>90.1</v>
      </c>
    </row>
    <row r="845" spans="1:10" x14ac:dyDescent="0.2">
      <c r="A845">
        <v>2010</v>
      </c>
      <c r="B845" s="1" t="s">
        <v>18</v>
      </c>
      <c r="C845" s="1" t="s">
        <v>13</v>
      </c>
      <c r="D845">
        <v>0</v>
      </c>
      <c r="E845">
        <v>0</v>
      </c>
      <c r="F845">
        <v>24332</v>
      </c>
      <c r="G845">
        <v>140000</v>
      </c>
      <c r="H845">
        <v>156501</v>
      </c>
      <c r="I845">
        <v>214428</v>
      </c>
      <c r="J845">
        <v>90.1</v>
      </c>
    </row>
    <row r="846" spans="1:10" x14ac:dyDescent="0.2">
      <c r="A846">
        <v>2010</v>
      </c>
      <c r="B846" s="1" t="s">
        <v>18</v>
      </c>
      <c r="C846" s="1" t="s">
        <v>14</v>
      </c>
      <c r="D846">
        <v>0</v>
      </c>
      <c r="E846">
        <v>0</v>
      </c>
      <c r="F846">
        <v>24792</v>
      </c>
      <c r="G846">
        <v>95000</v>
      </c>
      <c r="H846">
        <v>108824</v>
      </c>
      <c r="I846">
        <v>145505</v>
      </c>
      <c r="J846">
        <v>90.1</v>
      </c>
    </row>
    <row r="847" spans="1:10" x14ac:dyDescent="0.2">
      <c r="A847">
        <v>2010</v>
      </c>
      <c r="B847" s="1" t="s">
        <v>19</v>
      </c>
      <c r="C847" s="1" t="s">
        <v>11</v>
      </c>
      <c r="D847">
        <v>0</v>
      </c>
      <c r="E847">
        <v>0</v>
      </c>
      <c r="F847">
        <v>34605</v>
      </c>
      <c r="G847">
        <v>370000</v>
      </c>
      <c r="H847">
        <v>456600</v>
      </c>
      <c r="I847">
        <v>566704</v>
      </c>
      <c r="J847">
        <v>90.1</v>
      </c>
    </row>
    <row r="848" spans="1:10" x14ac:dyDescent="0.2">
      <c r="A848">
        <v>2010</v>
      </c>
      <c r="B848" s="1" t="s">
        <v>19</v>
      </c>
      <c r="C848" s="1" t="s">
        <v>12</v>
      </c>
      <c r="D848">
        <v>0</v>
      </c>
      <c r="E848">
        <v>0</v>
      </c>
      <c r="F848">
        <v>23659</v>
      </c>
      <c r="G848">
        <v>154950</v>
      </c>
      <c r="H848">
        <v>172039</v>
      </c>
      <c r="I848">
        <v>237326</v>
      </c>
      <c r="J848">
        <v>90.1</v>
      </c>
    </row>
    <row r="849" spans="1:10" x14ac:dyDescent="0.2">
      <c r="A849">
        <v>2010</v>
      </c>
      <c r="B849" s="1" t="s">
        <v>19</v>
      </c>
      <c r="C849" s="1" t="s">
        <v>13</v>
      </c>
      <c r="D849">
        <v>0</v>
      </c>
      <c r="E849">
        <v>0</v>
      </c>
      <c r="F849">
        <v>32553</v>
      </c>
      <c r="G849">
        <v>230000</v>
      </c>
      <c r="H849">
        <v>254727</v>
      </c>
      <c r="I849">
        <v>352275</v>
      </c>
      <c r="J849">
        <v>90.1</v>
      </c>
    </row>
    <row r="850" spans="1:10" x14ac:dyDescent="0.2">
      <c r="A850">
        <v>2010</v>
      </c>
      <c r="B850" s="1" t="s">
        <v>19</v>
      </c>
      <c r="C850" s="1" t="s">
        <v>14</v>
      </c>
      <c r="D850">
        <v>0</v>
      </c>
      <c r="E850">
        <v>0</v>
      </c>
      <c r="F850">
        <v>30745</v>
      </c>
      <c r="G850">
        <v>189000</v>
      </c>
      <c r="H850">
        <v>210112</v>
      </c>
      <c r="I850">
        <v>289478</v>
      </c>
      <c r="J850">
        <v>90.1</v>
      </c>
    </row>
    <row r="851" spans="1:10" x14ac:dyDescent="0.2">
      <c r="A851">
        <v>2010</v>
      </c>
      <c r="B851" s="1" t="s">
        <v>20</v>
      </c>
      <c r="C851" s="1" t="s">
        <v>11</v>
      </c>
      <c r="D851">
        <v>0</v>
      </c>
      <c r="E851">
        <v>0</v>
      </c>
      <c r="F851">
        <v>23331</v>
      </c>
      <c r="G851">
        <v>277500</v>
      </c>
      <c r="H851">
        <v>328311</v>
      </c>
      <c r="I851">
        <v>425028</v>
      </c>
      <c r="J851">
        <v>90.1</v>
      </c>
    </row>
    <row r="852" spans="1:10" x14ac:dyDescent="0.2">
      <c r="A852">
        <v>2010</v>
      </c>
      <c r="B852" s="1" t="s">
        <v>20</v>
      </c>
      <c r="C852" s="1" t="s">
        <v>12</v>
      </c>
      <c r="D852">
        <v>0</v>
      </c>
      <c r="E852">
        <v>0</v>
      </c>
      <c r="F852">
        <v>12957</v>
      </c>
      <c r="G852">
        <v>135000</v>
      </c>
      <c r="H852">
        <v>160689</v>
      </c>
      <c r="I852">
        <v>206770</v>
      </c>
      <c r="J852">
        <v>90.1</v>
      </c>
    </row>
    <row r="853" spans="1:10" x14ac:dyDescent="0.2">
      <c r="A853">
        <v>2010</v>
      </c>
      <c r="B853" s="1" t="s">
        <v>20</v>
      </c>
      <c r="C853" s="1" t="s">
        <v>13</v>
      </c>
      <c r="D853">
        <v>0</v>
      </c>
      <c r="E853">
        <v>0</v>
      </c>
      <c r="F853">
        <v>18088</v>
      </c>
      <c r="G853">
        <v>183000</v>
      </c>
      <c r="H853">
        <v>205500</v>
      </c>
      <c r="I853">
        <v>280289</v>
      </c>
      <c r="J853">
        <v>90.1</v>
      </c>
    </row>
    <row r="854" spans="1:10" x14ac:dyDescent="0.2">
      <c r="A854">
        <v>2010</v>
      </c>
      <c r="B854" s="1" t="s">
        <v>20</v>
      </c>
      <c r="C854" s="1" t="s">
        <v>14</v>
      </c>
      <c r="D854">
        <v>0</v>
      </c>
      <c r="E854">
        <v>0</v>
      </c>
      <c r="F854">
        <v>22079</v>
      </c>
      <c r="G854">
        <v>162000</v>
      </c>
      <c r="H854">
        <v>182400</v>
      </c>
      <c r="I854">
        <v>248124</v>
      </c>
      <c r="J854">
        <v>90.1</v>
      </c>
    </row>
    <row r="855" spans="1:10" x14ac:dyDescent="0.2">
      <c r="A855">
        <v>2010</v>
      </c>
      <c r="B855" s="1" t="s">
        <v>21</v>
      </c>
      <c r="C855" s="1" t="s">
        <v>11</v>
      </c>
      <c r="D855">
        <v>0</v>
      </c>
      <c r="E855">
        <v>0</v>
      </c>
      <c r="F855">
        <v>9118</v>
      </c>
      <c r="G855">
        <v>205000</v>
      </c>
      <c r="H855">
        <v>225525</v>
      </c>
      <c r="I855">
        <v>313984</v>
      </c>
      <c r="J855">
        <v>90.1</v>
      </c>
    </row>
    <row r="856" spans="1:10" x14ac:dyDescent="0.2">
      <c r="A856">
        <v>2010</v>
      </c>
      <c r="B856" s="1" t="s">
        <v>21</v>
      </c>
      <c r="C856" s="1" t="s">
        <v>12</v>
      </c>
      <c r="D856">
        <v>0</v>
      </c>
      <c r="E856">
        <v>0</v>
      </c>
      <c r="F856">
        <v>2576</v>
      </c>
      <c r="G856">
        <v>110000</v>
      </c>
      <c r="H856">
        <v>124455</v>
      </c>
      <c r="I856">
        <v>168479</v>
      </c>
      <c r="J856">
        <v>90.1</v>
      </c>
    </row>
    <row r="857" spans="1:10" x14ac:dyDescent="0.2">
      <c r="A857">
        <v>2010</v>
      </c>
      <c r="B857" s="1" t="s">
        <v>21</v>
      </c>
      <c r="C857" s="1" t="s">
        <v>13</v>
      </c>
      <c r="D857">
        <v>0</v>
      </c>
      <c r="E857">
        <v>0</v>
      </c>
      <c r="F857">
        <v>9225</v>
      </c>
      <c r="G857">
        <v>130000</v>
      </c>
      <c r="H857">
        <v>141673</v>
      </c>
      <c r="I857">
        <v>199112</v>
      </c>
      <c r="J857">
        <v>90.1</v>
      </c>
    </row>
    <row r="858" spans="1:10" x14ac:dyDescent="0.2">
      <c r="A858">
        <v>2010</v>
      </c>
      <c r="B858" s="1" t="s">
        <v>21</v>
      </c>
      <c r="C858" s="1" t="s">
        <v>14</v>
      </c>
      <c r="D858">
        <v>0</v>
      </c>
      <c r="E858">
        <v>0</v>
      </c>
      <c r="F858">
        <v>9996</v>
      </c>
      <c r="G858">
        <v>100000</v>
      </c>
      <c r="H858">
        <v>111145</v>
      </c>
      <c r="I858">
        <v>153163</v>
      </c>
      <c r="J858">
        <v>90.1</v>
      </c>
    </row>
    <row r="859" spans="1:10" x14ac:dyDescent="0.2">
      <c r="A859">
        <v>2010</v>
      </c>
      <c r="B859" s="1" t="s">
        <v>22</v>
      </c>
      <c r="C859" s="1" t="s">
        <v>11</v>
      </c>
      <c r="D859">
        <v>0</v>
      </c>
      <c r="E859">
        <v>0</v>
      </c>
      <c r="F859">
        <v>14369</v>
      </c>
      <c r="G859">
        <v>245000</v>
      </c>
      <c r="H859">
        <v>287674</v>
      </c>
      <c r="I859">
        <v>375250</v>
      </c>
      <c r="J859">
        <v>90.1</v>
      </c>
    </row>
    <row r="860" spans="1:10" x14ac:dyDescent="0.2">
      <c r="A860">
        <v>2010</v>
      </c>
      <c r="B860" s="1" t="s">
        <v>22</v>
      </c>
      <c r="C860" s="1" t="s">
        <v>12</v>
      </c>
      <c r="D860">
        <v>0</v>
      </c>
      <c r="E860">
        <v>0</v>
      </c>
      <c r="F860">
        <v>6442</v>
      </c>
      <c r="G860">
        <v>104000</v>
      </c>
      <c r="H860">
        <v>114832</v>
      </c>
      <c r="I860">
        <v>159290</v>
      </c>
      <c r="J860">
        <v>90.1</v>
      </c>
    </row>
    <row r="861" spans="1:10" x14ac:dyDescent="0.2">
      <c r="A861">
        <v>2010</v>
      </c>
      <c r="B861" s="1" t="s">
        <v>22</v>
      </c>
      <c r="C861" s="1" t="s">
        <v>13</v>
      </c>
      <c r="D861">
        <v>0</v>
      </c>
      <c r="E861">
        <v>0</v>
      </c>
      <c r="F861">
        <v>18540</v>
      </c>
      <c r="G861">
        <v>142500</v>
      </c>
      <c r="H861">
        <v>157008</v>
      </c>
      <c r="I861">
        <v>218257</v>
      </c>
      <c r="J861">
        <v>90.1</v>
      </c>
    </row>
    <row r="862" spans="1:10" x14ac:dyDescent="0.2">
      <c r="A862">
        <v>2010</v>
      </c>
      <c r="B862" s="1" t="s">
        <v>22</v>
      </c>
      <c r="C862" s="1" t="s">
        <v>14</v>
      </c>
      <c r="D862">
        <v>0</v>
      </c>
      <c r="E862">
        <v>0</v>
      </c>
      <c r="F862">
        <v>16102</v>
      </c>
      <c r="G862">
        <v>119000</v>
      </c>
      <c r="H862">
        <v>129411</v>
      </c>
      <c r="I862">
        <v>182264</v>
      </c>
      <c r="J862">
        <v>90.1</v>
      </c>
    </row>
    <row r="863" spans="1:10" x14ac:dyDescent="0.2">
      <c r="A863">
        <v>2010</v>
      </c>
      <c r="B863" s="1" t="s">
        <v>23</v>
      </c>
      <c r="C863" s="1" t="s">
        <v>11</v>
      </c>
      <c r="D863">
        <v>0</v>
      </c>
      <c r="E863">
        <v>0</v>
      </c>
      <c r="F863">
        <v>12502</v>
      </c>
      <c r="G863">
        <v>228500</v>
      </c>
      <c r="H863">
        <v>263226</v>
      </c>
      <c r="I863">
        <v>349978</v>
      </c>
      <c r="J863">
        <v>90.1</v>
      </c>
    </row>
    <row r="864" spans="1:10" x14ac:dyDescent="0.2">
      <c r="A864">
        <v>2010</v>
      </c>
      <c r="B864" s="1" t="s">
        <v>23</v>
      </c>
      <c r="C864" s="1" t="s">
        <v>12</v>
      </c>
      <c r="D864">
        <v>0</v>
      </c>
      <c r="E864">
        <v>0</v>
      </c>
      <c r="F864">
        <v>5147</v>
      </c>
      <c r="G864">
        <v>109950</v>
      </c>
      <c r="H864">
        <v>121937</v>
      </c>
      <c r="I864">
        <v>168403</v>
      </c>
      <c r="J864">
        <v>90.1</v>
      </c>
    </row>
    <row r="865" spans="1:10" x14ac:dyDescent="0.2">
      <c r="A865">
        <v>2010</v>
      </c>
      <c r="B865" s="1" t="s">
        <v>23</v>
      </c>
      <c r="C865" s="1" t="s">
        <v>13</v>
      </c>
      <c r="D865">
        <v>0</v>
      </c>
      <c r="E865">
        <v>0</v>
      </c>
      <c r="F865">
        <v>19223</v>
      </c>
      <c r="G865">
        <v>130000</v>
      </c>
      <c r="H865">
        <v>145505</v>
      </c>
      <c r="I865">
        <v>199112</v>
      </c>
      <c r="J865">
        <v>90.1</v>
      </c>
    </row>
    <row r="866" spans="1:10" x14ac:dyDescent="0.2">
      <c r="A866">
        <v>2010</v>
      </c>
      <c r="B866" s="1" t="s">
        <v>23</v>
      </c>
      <c r="C866" s="1" t="s">
        <v>14</v>
      </c>
      <c r="D866">
        <v>0</v>
      </c>
      <c r="E866">
        <v>0</v>
      </c>
      <c r="F866">
        <v>18107</v>
      </c>
      <c r="G866">
        <v>105000</v>
      </c>
      <c r="H866">
        <v>119029</v>
      </c>
      <c r="I866">
        <v>160821</v>
      </c>
      <c r="J866">
        <v>90.1</v>
      </c>
    </row>
    <row r="867" spans="1:10" x14ac:dyDescent="0.2">
      <c r="A867">
        <v>2010</v>
      </c>
      <c r="B867" s="1" t="s">
        <v>10</v>
      </c>
      <c r="C867" s="1" t="s">
        <v>24</v>
      </c>
      <c r="D867">
        <v>0</v>
      </c>
      <c r="E867">
        <v>1</v>
      </c>
      <c r="F867">
        <v>54080</v>
      </c>
      <c r="G867">
        <v>139000</v>
      </c>
      <c r="H867">
        <v>164876</v>
      </c>
      <c r="I867">
        <v>212897</v>
      </c>
      <c r="J867">
        <v>90.1</v>
      </c>
    </row>
    <row r="868" spans="1:10" x14ac:dyDescent="0.2">
      <c r="A868">
        <v>2010</v>
      </c>
      <c r="B868" s="1" t="s">
        <v>15</v>
      </c>
      <c r="C868" s="1" t="s">
        <v>24</v>
      </c>
      <c r="D868">
        <v>0</v>
      </c>
      <c r="E868">
        <v>1</v>
      </c>
      <c r="F868">
        <v>79891</v>
      </c>
      <c r="G868">
        <v>195000</v>
      </c>
      <c r="H868">
        <v>237882</v>
      </c>
      <c r="I868">
        <v>298668</v>
      </c>
      <c r="J868">
        <v>90.1</v>
      </c>
    </row>
    <row r="869" spans="1:10" x14ac:dyDescent="0.2">
      <c r="A869">
        <v>2010</v>
      </c>
      <c r="B869" s="1" t="s">
        <v>16</v>
      </c>
      <c r="C869" s="1" t="s">
        <v>24</v>
      </c>
      <c r="D869">
        <v>0</v>
      </c>
      <c r="E869">
        <v>1</v>
      </c>
      <c r="F869">
        <v>92773</v>
      </c>
      <c r="G869">
        <v>287500</v>
      </c>
      <c r="H869">
        <v>408286</v>
      </c>
      <c r="I869">
        <v>440344</v>
      </c>
      <c r="J869">
        <v>90.1</v>
      </c>
    </row>
    <row r="870" spans="1:10" x14ac:dyDescent="0.2">
      <c r="A870">
        <v>2010</v>
      </c>
      <c r="B870" s="1" t="s">
        <v>17</v>
      </c>
      <c r="C870" s="1" t="s">
        <v>24</v>
      </c>
      <c r="D870">
        <v>0</v>
      </c>
      <c r="E870">
        <v>1</v>
      </c>
      <c r="F870">
        <v>25666</v>
      </c>
      <c r="G870">
        <v>122000</v>
      </c>
      <c r="H870">
        <v>143996</v>
      </c>
      <c r="I870">
        <v>186859</v>
      </c>
      <c r="J870">
        <v>90.1</v>
      </c>
    </row>
    <row r="871" spans="1:10" x14ac:dyDescent="0.2">
      <c r="A871">
        <v>2010</v>
      </c>
      <c r="B871" s="1" t="s">
        <v>18</v>
      </c>
      <c r="C871" s="1" t="s">
        <v>24</v>
      </c>
      <c r="D871">
        <v>0</v>
      </c>
      <c r="E871">
        <v>1</v>
      </c>
      <c r="F871">
        <v>71011</v>
      </c>
      <c r="G871">
        <v>130000</v>
      </c>
      <c r="H871">
        <v>159801</v>
      </c>
      <c r="I871">
        <v>199112</v>
      </c>
      <c r="J871">
        <v>90.1</v>
      </c>
    </row>
    <row r="872" spans="1:10" x14ac:dyDescent="0.2">
      <c r="A872">
        <v>2010</v>
      </c>
      <c r="B872" s="1" t="s">
        <v>19</v>
      </c>
      <c r="C872" s="1" t="s">
        <v>24</v>
      </c>
      <c r="D872">
        <v>0</v>
      </c>
      <c r="E872">
        <v>1</v>
      </c>
      <c r="F872">
        <v>121562</v>
      </c>
      <c r="G872">
        <v>229000</v>
      </c>
      <c r="H872">
        <v>284817</v>
      </c>
      <c r="I872">
        <v>350744</v>
      </c>
      <c r="J872">
        <v>90.1</v>
      </c>
    </row>
    <row r="873" spans="1:10" x14ac:dyDescent="0.2">
      <c r="A873">
        <v>2010</v>
      </c>
      <c r="B873" s="1" t="s">
        <v>20</v>
      </c>
      <c r="C873" s="1" t="s">
        <v>24</v>
      </c>
      <c r="D873">
        <v>0</v>
      </c>
      <c r="E873">
        <v>1</v>
      </c>
      <c r="F873">
        <v>76455</v>
      </c>
      <c r="G873">
        <v>190000</v>
      </c>
      <c r="H873">
        <v>228712</v>
      </c>
      <c r="I873">
        <v>291010</v>
      </c>
      <c r="J873">
        <v>90.1</v>
      </c>
    </row>
    <row r="874" spans="1:10" x14ac:dyDescent="0.2">
      <c r="A874">
        <v>2010</v>
      </c>
      <c r="B874" s="1" t="s">
        <v>21</v>
      </c>
      <c r="C874" s="1" t="s">
        <v>24</v>
      </c>
      <c r="D874">
        <v>0</v>
      </c>
      <c r="E874">
        <v>1</v>
      </c>
      <c r="F874">
        <v>30915</v>
      </c>
      <c r="G874">
        <v>135000</v>
      </c>
      <c r="H874">
        <v>155099</v>
      </c>
      <c r="I874">
        <v>206770</v>
      </c>
      <c r="J874">
        <v>90.1</v>
      </c>
    </row>
    <row r="875" spans="1:10" x14ac:dyDescent="0.2">
      <c r="A875">
        <v>2010</v>
      </c>
      <c r="B875" s="1" t="s">
        <v>22</v>
      </c>
      <c r="C875" s="1" t="s">
        <v>24</v>
      </c>
      <c r="D875">
        <v>0</v>
      </c>
      <c r="E875">
        <v>1</v>
      </c>
      <c r="F875">
        <v>55453</v>
      </c>
      <c r="G875">
        <v>147000</v>
      </c>
      <c r="H875">
        <v>177953</v>
      </c>
      <c r="I875">
        <v>225150</v>
      </c>
      <c r="J875">
        <v>90.1</v>
      </c>
    </row>
    <row r="876" spans="1:10" x14ac:dyDescent="0.2">
      <c r="A876">
        <v>2010</v>
      </c>
      <c r="B876" s="1" t="s">
        <v>23</v>
      </c>
      <c r="C876" s="1" t="s">
        <v>24</v>
      </c>
      <c r="D876">
        <v>0</v>
      </c>
      <c r="E876">
        <v>1</v>
      </c>
      <c r="F876">
        <v>54979</v>
      </c>
      <c r="G876">
        <v>135000</v>
      </c>
      <c r="H876">
        <v>161348</v>
      </c>
      <c r="I876">
        <v>206770</v>
      </c>
      <c r="J876">
        <v>90.1</v>
      </c>
    </row>
    <row r="877" spans="1:10" x14ac:dyDescent="0.2">
      <c r="A877">
        <v>2010</v>
      </c>
      <c r="B877" s="1" t="s">
        <v>25</v>
      </c>
      <c r="C877" s="1" t="s">
        <v>11</v>
      </c>
      <c r="D877">
        <v>1</v>
      </c>
      <c r="E877">
        <v>0</v>
      </c>
      <c r="F877">
        <v>160464</v>
      </c>
      <c r="G877">
        <v>268000</v>
      </c>
      <c r="H877">
        <v>340470</v>
      </c>
      <c r="I877">
        <v>410477</v>
      </c>
      <c r="J877">
        <v>90.1</v>
      </c>
    </row>
    <row r="878" spans="1:10" x14ac:dyDescent="0.2">
      <c r="A878">
        <v>2010</v>
      </c>
      <c r="B878" s="1" t="s">
        <v>25</v>
      </c>
      <c r="C878" s="1" t="s">
        <v>12</v>
      </c>
      <c r="D878">
        <v>1</v>
      </c>
      <c r="E878">
        <v>0</v>
      </c>
      <c r="F878">
        <v>124970</v>
      </c>
      <c r="G878">
        <v>165000</v>
      </c>
      <c r="H878">
        <v>219599</v>
      </c>
      <c r="I878">
        <v>252719</v>
      </c>
      <c r="J878">
        <v>90.1</v>
      </c>
    </row>
    <row r="879" spans="1:10" x14ac:dyDescent="0.2">
      <c r="A879">
        <v>2010</v>
      </c>
      <c r="B879" s="1" t="s">
        <v>25</v>
      </c>
      <c r="C879" s="1" t="s">
        <v>13</v>
      </c>
      <c r="D879">
        <v>1</v>
      </c>
      <c r="E879">
        <v>0</v>
      </c>
      <c r="F879">
        <v>186658</v>
      </c>
      <c r="G879">
        <v>168000</v>
      </c>
      <c r="H879">
        <v>202882</v>
      </c>
      <c r="I879">
        <v>257314</v>
      </c>
      <c r="J879">
        <v>90.1</v>
      </c>
    </row>
    <row r="880" spans="1:10" x14ac:dyDescent="0.2">
      <c r="A880">
        <v>2010</v>
      </c>
      <c r="B880" s="1" t="s">
        <v>25</v>
      </c>
      <c r="C880" s="1" t="s">
        <v>14</v>
      </c>
      <c r="D880">
        <v>1</v>
      </c>
      <c r="E880">
        <v>0</v>
      </c>
      <c r="F880">
        <v>191048</v>
      </c>
      <c r="G880">
        <v>148000</v>
      </c>
      <c r="H880">
        <v>191828</v>
      </c>
      <c r="I880">
        <v>226681</v>
      </c>
      <c r="J880">
        <v>90.1</v>
      </c>
    </row>
    <row r="881" spans="1:10" x14ac:dyDescent="0.2">
      <c r="A881">
        <v>2010</v>
      </c>
      <c r="B881" s="1" t="s">
        <v>25</v>
      </c>
      <c r="C881" s="1" t="s">
        <v>24</v>
      </c>
      <c r="D881">
        <v>1</v>
      </c>
      <c r="E881">
        <v>1</v>
      </c>
      <c r="F881">
        <v>663140</v>
      </c>
      <c r="G881">
        <v>182000</v>
      </c>
      <c r="H881">
        <v>236141</v>
      </c>
      <c r="I881">
        <v>278757</v>
      </c>
      <c r="J881">
        <v>90.1</v>
      </c>
    </row>
    <row r="882" spans="1:10" x14ac:dyDescent="0.2">
      <c r="A882">
        <v>2011</v>
      </c>
      <c r="B882" s="1" t="s">
        <v>10</v>
      </c>
      <c r="C882" s="1" t="s">
        <v>11</v>
      </c>
      <c r="D882">
        <v>0</v>
      </c>
      <c r="E882">
        <v>0</v>
      </c>
      <c r="F882">
        <v>19108</v>
      </c>
      <c r="G882">
        <v>199950</v>
      </c>
      <c r="H882">
        <v>229583</v>
      </c>
      <c r="I882">
        <v>294798</v>
      </c>
      <c r="J882">
        <v>93.6</v>
      </c>
    </row>
    <row r="883" spans="1:10" x14ac:dyDescent="0.2">
      <c r="A883">
        <v>2011</v>
      </c>
      <c r="B883" s="1" t="s">
        <v>10</v>
      </c>
      <c r="C883" s="1" t="s">
        <v>12</v>
      </c>
      <c r="D883">
        <v>0</v>
      </c>
      <c r="E883">
        <v>0</v>
      </c>
      <c r="F883">
        <v>2993</v>
      </c>
      <c r="G883">
        <v>90250</v>
      </c>
      <c r="H883">
        <v>103478</v>
      </c>
      <c r="I883">
        <v>133061</v>
      </c>
      <c r="J883">
        <v>93.6</v>
      </c>
    </row>
    <row r="884" spans="1:10" x14ac:dyDescent="0.2">
      <c r="A884">
        <v>2011</v>
      </c>
      <c r="B884" s="1" t="s">
        <v>10</v>
      </c>
      <c r="C884" s="1" t="s">
        <v>13</v>
      </c>
      <c r="D884">
        <v>0</v>
      </c>
      <c r="E884">
        <v>0</v>
      </c>
      <c r="F884">
        <v>18393</v>
      </c>
      <c r="G884">
        <v>125000</v>
      </c>
      <c r="H884">
        <v>134539</v>
      </c>
      <c r="I884">
        <v>184295</v>
      </c>
      <c r="J884">
        <v>93.6</v>
      </c>
    </row>
    <row r="885" spans="1:10" x14ac:dyDescent="0.2">
      <c r="A885">
        <v>2011</v>
      </c>
      <c r="B885" s="1" t="s">
        <v>10</v>
      </c>
      <c r="C885" s="1" t="s">
        <v>14</v>
      </c>
      <c r="D885">
        <v>0</v>
      </c>
      <c r="E885">
        <v>0</v>
      </c>
      <c r="F885">
        <v>13492</v>
      </c>
      <c r="G885">
        <v>105000</v>
      </c>
      <c r="H885">
        <v>112888</v>
      </c>
      <c r="I885">
        <v>154808</v>
      </c>
      <c r="J885">
        <v>93.6</v>
      </c>
    </row>
    <row r="886" spans="1:10" x14ac:dyDescent="0.2">
      <c r="A886">
        <v>2011</v>
      </c>
      <c r="B886" s="1" t="s">
        <v>15</v>
      </c>
      <c r="C886" s="1" t="s">
        <v>11</v>
      </c>
      <c r="D886">
        <v>0</v>
      </c>
      <c r="E886">
        <v>0</v>
      </c>
      <c r="F886">
        <v>24168</v>
      </c>
      <c r="G886">
        <v>265500</v>
      </c>
      <c r="H886">
        <v>335820</v>
      </c>
      <c r="I886">
        <v>391442</v>
      </c>
      <c r="J886">
        <v>93.6</v>
      </c>
    </row>
    <row r="887" spans="1:10" x14ac:dyDescent="0.2">
      <c r="A887">
        <v>2011</v>
      </c>
      <c r="B887" s="1" t="s">
        <v>15</v>
      </c>
      <c r="C887" s="1" t="s">
        <v>12</v>
      </c>
      <c r="D887">
        <v>0</v>
      </c>
      <c r="E887">
        <v>0</v>
      </c>
      <c r="F887">
        <v>11633</v>
      </c>
      <c r="G887">
        <v>135000</v>
      </c>
      <c r="H887">
        <v>150035</v>
      </c>
      <c r="I887">
        <v>199038</v>
      </c>
      <c r="J887">
        <v>93.6</v>
      </c>
    </row>
    <row r="888" spans="1:10" x14ac:dyDescent="0.2">
      <c r="A888">
        <v>2011</v>
      </c>
      <c r="B888" s="1" t="s">
        <v>15</v>
      </c>
      <c r="C888" s="1" t="s">
        <v>13</v>
      </c>
      <c r="D888">
        <v>0</v>
      </c>
      <c r="E888">
        <v>0</v>
      </c>
      <c r="F888">
        <v>23040</v>
      </c>
      <c r="G888">
        <v>186500</v>
      </c>
      <c r="H888">
        <v>213526</v>
      </c>
      <c r="I888">
        <v>274968</v>
      </c>
      <c r="J888">
        <v>93.6</v>
      </c>
    </row>
    <row r="889" spans="1:10" x14ac:dyDescent="0.2">
      <c r="A889">
        <v>2011</v>
      </c>
      <c r="B889" s="1" t="s">
        <v>15</v>
      </c>
      <c r="C889" s="1" t="s">
        <v>14</v>
      </c>
      <c r="D889">
        <v>0</v>
      </c>
      <c r="E889">
        <v>0</v>
      </c>
      <c r="F889">
        <v>21623</v>
      </c>
      <c r="G889">
        <v>165000</v>
      </c>
      <c r="H889">
        <v>181812</v>
      </c>
      <c r="I889">
        <v>243269</v>
      </c>
      <c r="J889">
        <v>93.6</v>
      </c>
    </row>
    <row r="890" spans="1:10" x14ac:dyDescent="0.2">
      <c r="A890">
        <v>2011</v>
      </c>
      <c r="B890" s="1" t="s">
        <v>16</v>
      </c>
      <c r="C890" s="1" t="s">
        <v>11</v>
      </c>
      <c r="D890">
        <v>0</v>
      </c>
      <c r="E890">
        <v>0</v>
      </c>
      <c r="F890">
        <v>4642</v>
      </c>
      <c r="G890">
        <v>547500</v>
      </c>
      <c r="H890">
        <v>770566</v>
      </c>
      <c r="I890">
        <v>807212</v>
      </c>
      <c r="J890">
        <v>93.6</v>
      </c>
    </row>
    <row r="891" spans="1:10" x14ac:dyDescent="0.2">
      <c r="A891">
        <v>2011</v>
      </c>
      <c r="B891" s="1" t="s">
        <v>16</v>
      </c>
      <c r="C891" s="1" t="s">
        <v>12</v>
      </c>
      <c r="D891">
        <v>0</v>
      </c>
      <c r="E891">
        <v>0</v>
      </c>
      <c r="F891">
        <v>45759</v>
      </c>
      <c r="G891">
        <v>260000</v>
      </c>
      <c r="H891">
        <v>355098</v>
      </c>
      <c r="I891">
        <v>383333</v>
      </c>
      <c r="J891">
        <v>93.6</v>
      </c>
    </row>
    <row r="892" spans="1:10" x14ac:dyDescent="0.2">
      <c r="A892">
        <v>2011</v>
      </c>
      <c r="B892" s="1" t="s">
        <v>16</v>
      </c>
      <c r="C892" s="1" t="s">
        <v>13</v>
      </c>
      <c r="D892">
        <v>0</v>
      </c>
      <c r="E892">
        <v>0</v>
      </c>
      <c r="F892">
        <v>14394</v>
      </c>
      <c r="G892">
        <v>330000</v>
      </c>
      <c r="H892">
        <v>444306</v>
      </c>
      <c r="I892">
        <v>486538</v>
      </c>
      <c r="J892">
        <v>93.6</v>
      </c>
    </row>
    <row r="893" spans="1:10" x14ac:dyDescent="0.2">
      <c r="A893">
        <v>2011</v>
      </c>
      <c r="B893" s="1" t="s">
        <v>16</v>
      </c>
      <c r="C893" s="1" t="s">
        <v>14</v>
      </c>
      <c r="D893">
        <v>0</v>
      </c>
      <c r="E893">
        <v>0</v>
      </c>
      <c r="F893">
        <v>25990</v>
      </c>
      <c r="G893">
        <v>291000</v>
      </c>
      <c r="H893">
        <v>463143</v>
      </c>
      <c r="I893">
        <v>429038</v>
      </c>
      <c r="J893">
        <v>93.6</v>
      </c>
    </row>
    <row r="894" spans="1:10" x14ac:dyDescent="0.2">
      <c r="A894">
        <v>2011</v>
      </c>
      <c r="B894" s="1" t="s">
        <v>17</v>
      </c>
      <c r="C894" s="1" t="s">
        <v>11</v>
      </c>
      <c r="D894">
        <v>0</v>
      </c>
      <c r="E894">
        <v>0</v>
      </c>
      <c r="F894">
        <v>4784</v>
      </c>
      <c r="G894">
        <v>200000</v>
      </c>
      <c r="H894">
        <v>232056</v>
      </c>
      <c r="I894">
        <v>294872</v>
      </c>
      <c r="J894">
        <v>93.6</v>
      </c>
    </row>
    <row r="895" spans="1:10" x14ac:dyDescent="0.2">
      <c r="A895">
        <v>2011</v>
      </c>
      <c r="B895" s="1" t="s">
        <v>17</v>
      </c>
      <c r="C895" s="1" t="s">
        <v>12</v>
      </c>
      <c r="D895">
        <v>0</v>
      </c>
      <c r="E895">
        <v>0</v>
      </c>
      <c r="F895">
        <v>2928</v>
      </c>
      <c r="G895">
        <v>89995</v>
      </c>
      <c r="H895">
        <v>102148</v>
      </c>
      <c r="I895">
        <v>132685</v>
      </c>
      <c r="J895">
        <v>93.6</v>
      </c>
    </row>
    <row r="896" spans="1:10" x14ac:dyDescent="0.2">
      <c r="A896">
        <v>2011</v>
      </c>
      <c r="B896" s="1" t="s">
        <v>17</v>
      </c>
      <c r="C896" s="1" t="s">
        <v>13</v>
      </c>
      <c r="D896">
        <v>0</v>
      </c>
      <c r="E896">
        <v>0</v>
      </c>
      <c r="F896">
        <v>9405</v>
      </c>
      <c r="G896">
        <v>120000</v>
      </c>
      <c r="H896">
        <v>130107</v>
      </c>
      <c r="I896">
        <v>176923</v>
      </c>
      <c r="J896">
        <v>93.6</v>
      </c>
    </row>
    <row r="897" spans="1:10" x14ac:dyDescent="0.2">
      <c r="A897">
        <v>2011</v>
      </c>
      <c r="B897" s="1" t="s">
        <v>17</v>
      </c>
      <c r="C897" s="1" t="s">
        <v>14</v>
      </c>
      <c r="D897">
        <v>0</v>
      </c>
      <c r="E897">
        <v>0</v>
      </c>
      <c r="F897">
        <v>9710</v>
      </c>
      <c r="G897">
        <v>90000</v>
      </c>
      <c r="H897">
        <v>106810</v>
      </c>
      <c r="I897">
        <v>132692</v>
      </c>
      <c r="J897">
        <v>93.6</v>
      </c>
    </row>
    <row r="898" spans="1:10" x14ac:dyDescent="0.2">
      <c r="A898">
        <v>2011</v>
      </c>
      <c r="B898" s="1" t="s">
        <v>18</v>
      </c>
      <c r="C898" s="1" t="s">
        <v>11</v>
      </c>
      <c r="D898">
        <v>0</v>
      </c>
      <c r="E898">
        <v>0</v>
      </c>
      <c r="F898">
        <v>13416</v>
      </c>
      <c r="G898">
        <v>230000</v>
      </c>
      <c r="H898">
        <v>274541</v>
      </c>
      <c r="I898">
        <v>339103</v>
      </c>
      <c r="J898">
        <v>93.6</v>
      </c>
    </row>
    <row r="899" spans="1:10" x14ac:dyDescent="0.2">
      <c r="A899">
        <v>2011</v>
      </c>
      <c r="B899" s="1" t="s">
        <v>18</v>
      </c>
      <c r="C899" s="1" t="s">
        <v>12</v>
      </c>
      <c r="D899">
        <v>0</v>
      </c>
      <c r="E899">
        <v>0</v>
      </c>
      <c r="F899">
        <v>8067</v>
      </c>
      <c r="G899">
        <v>102500</v>
      </c>
      <c r="H899">
        <v>117427</v>
      </c>
      <c r="I899">
        <v>151122</v>
      </c>
      <c r="J899">
        <v>93.6</v>
      </c>
    </row>
    <row r="900" spans="1:10" x14ac:dyDescent="0.2">
      <c r="A900">
        <v>2011</v>
      </c>
      <c r="B900" s="1" t="s">
        <v>18</v>
      </c>
      <c r="C900" s="1" t="s">
        <v>13</v>
      </c>
      <c r="D900">
        <v>0</v>
      </c>
      <c r="E900">
        <v>0</v>
      </c>
      <c r="F900">
        <v>25188</v>
      </c>
      <c r="G900">
        <v>135000</v>
      </c>
      <c r="H900">
        <v>151284</v>
      </c>
      <c r="I900">
        <v>199038</v>
      </c>
      <c r="J900">
        <v>93.6</v>
      </c>
    </row>
    <row r="901" spans="1:10" x14ac:dyDescent="0.2">
      <c r="A901">
        <v>2011</v>
      </c>
      <c r="B901" s="1" t="s">
        <v>18</v>
      </c>
      <c r="C901" s="1" t="s">
        <v>14</v>
      </c>
      <c r="D901">
        <v>0</v>
      </c>
      <c r="E901">
        <v>0</v>
      </c>
      <c r="F901">
        <v>24832</v>
      </c>
      <c r="G901">
        <v>91000</v>
      </c>
      <c r="H901">
        <v>105931</v>
      </c>
      <c r="I901">
        <v>134167</v>
      </c>
      <c r="J901">
        <v>93.6</v>
      </c>
    </row>
    <row r="902" spans="1:10" x14ac:dyDescent="0.2">
      <c r="A902">
        <v>2011</v>
      </c>
      <c r="B902" s="1" t="s">
        <v>19</v>
      </c>
      <c r="C902" s="1" t="s">
        <v>11</v>
      </c>
      <c r="D902">
        <v>0</v>
      </c>
      <c r="E902">
        <v>0</v>
      </c>
      <c r="F902">
        <v>33014</v>
      </c>
      <c r="G902">
        <v>362000</v>
      </c>
      <c r="H902">
        <v>454495</v>
      </c>
      <c r="I902">
        <v>533718</v>
      </c>
      <c r="J902">
        <v>93.6</v>
      </c>
    </row>
    <row r="903" spans="1:10" x14ac:dyDescent="0.2">
      <c r="A903">
        <v>2011</v>
      </c>
      <c r="B903" s="1" t="s">
        <v>19</v>
      </c>
      <c r="C903" s="1" t="s">
        <v>12</v>
      </c>
      <c r="D903">
        <v>0</v>
      </c>
      <c r="E903">
        <v>0</v>
      </c>
      <c r="F903">
        <v>23711</v>
      </c>
      <c r="G903">
        <v>150000</v>
      </c>
      <c r="H903">
        <v>169316</v>
      </c>
      <c r="I903">
        <v>221154</v>
      </c>
      <c r="J903">
        <v>93.6</v>
      </c>
    </row>
    <row r="904" spans="1:10" x14ac:dyDescent="0.2">
      <c r="A904">
        <v>2011</v>
      </c>
      <c r="B904" s="1" t="s">
        <v>19</v>
      </c>
      <c r="C904" s="1" t="s">
        <v>13</v>
      </c>
      <c r="D904">
        <v>0</v>
      </c>
      <c r="E904">
        <v>0</v>
      </c>
      <c r="F904">
        <v>32058</v>
      </c>
      <c r="G904">
        <v>228000</v>
      </c>
      <c r="H904">
        <v>253312</v>
      </c>
      <c r="I904">
        <v>336154</v>
      </c>
      <c r="J904">
        <v>93.6</v>
      </c>
    </row>
    <row r="905" spans="1:10" x14ac:dyDescent="0.2">
      <c r="A905">
        <v>2011</v>
      </c>
      <c r="B905" s="1" t="s">
        <v>19</v>
      </c>
      <c r="C905" s="1" t="s">
        <v>14</v>
      </c>
      <c r="D905">
        <v>0</v>
      </c>
      <c r="E905">
        <v>0</v>
      </c>
      <c r="F905">
        <v>31423</v>
      </c>
      <c r="G905">
        <v>185000</v>
      </c>
      <c r="H905">
        <v>208353</v>
      </c>
      <c r="I905">
        <v>272756</v>
      </c>
      <c r="J905">
        <v>93.6</v>
      </c>
    </row>
    <row r="906" spans="1:10" x14ac:dyDescent="0.2">
      <c r="A906">
        <v>2011</v>
      </c>
      <c r="B906" s="1" t="s">
        <v>20</v>
      </c>
      <c r="C906" s="1" t="s">
        <v>11</v>
      </c>
      <c r="D906">
        <v>0</v>
      </c>
      <c r="E906">
        <v>0</v>
      </c>
      <c r="F906">
        <v>22261</v>
      </c>
      <c r="G906">
        <v>272000</v>
      </c>
      <c r="H906">
        <v>326134</v>
      </c>
      <c r="I906">
        <v>401026</v>
      </c>
      <c r="J906">
        <v>93.6</v>
      </c>
    </row>
    <row r="907" spans="1:10" x14ac:dyDescent="0.2">
      <c r="A907">
        <v>2011</v>
      </c>
      <c r="B907" s="1" t="s">
        <v>20</v>
      </c>
      <c r="C907" s="1" t="s">
        <v>12</v>
      </c>
      <c r="D907">
        <v>0</v>
      </c>
      <c r="E907">
        <v>0</v>
      </c>
      <c r="F907">
        <v>12552</v>
      </c>
      <c r="G907">
        <v>134000</v>
      </c>
      <c r="H907">
        <v>158372</v>
      </c>
      <c r="I907">
        <v>197564</v>
      </c>
      <c r="J907">
        <v>93.6</v>
      </c>
    </row>
    <row r="908" spans="1:10" x14ac:dyDescent="0.2">
      <c r="A908">
        <v>2011</v>
      </c>
      <c r="B908" s="1" t="s">
        <v>20</v>
      </c>
      <c r="C908" s="1" t="s">
        <v>13</v>
      </c>
      <c r="D908">
        <v>0</v>
      </c>
      <c r="E908">
        <v>0</v>
      </c>
      <c r="F908">
        <v>18156</v>
      </c>
      <c r="G908">
        <v>177500</v>
      </c>
      <c r="H908">
        <v>199499</v>
      </c>
      <c r="I908">
        <v>261699</v>
      </c>
      <c r="J908">
        <v>93.6</v>
      </c>
    </row>
    <row r="909" spans="1:10" x14ac:dyDescent="0.2">
      <c r="A909">
        <v>2011</v>
      </c>
      <c r="B909" s="1" t="s">
        <v>20</v>
      </c>
      <c r="C909" s="1" t="s">
        <v>14</v>
      </c>
      <c r="D909">
        <v>0</v>
      </c>
      <c r="E909">
        <v>0</v>
      </c>
      <c r="F909">
        <v>21693</v>
      </c>
      <c r="G909">
        <v>156000</v>
      </c>
      <c r="H909">
        <v>177560</v>
      </c>
      <c r="I909">
        <v>230000</v>
      </c>
      <c r="J909">
        <v>93.6</v>
      </c>
    </row>
    <row r="910" spans="1:10" x14ac:dyDescent="0.2">
      <c r="A910">
        <v>2011</v>
      </c>
      <c r="B910" s="1" t="s">
        <v>21</v>
      </c>
      <c r="C910" s="1" t="s">
        <v>11</v>
      </c>
      <c r="D910">
        <v>0</v>
      </c>
      <c r="E910">
        <v>0</v>
      </c>
      <c r="F910">
        <v>9040</v>
      </c>
      <c r="G910">
        <v>198000</v>
      </c>
      <c r="H910">
        <v>222234</v>
      </c>
      <c r="I910">
        <v>291923</v>
      </c>
      <c r="J910">
        <v>93.6</v>
      </c>
    </row>
    <row r="911" spans="1:10" x14ac:dyDescent="0.2">
      <c r="A911">
        <v>2011</v>
      </c>
      <c r="B911" s="1" t="s">
        <v>21</v>
      </c>
      <c r="C911" s="1" t="s">
        <v>12</v>
      </c>
      <c r="D911">
        <v>0</v>
      </c>
      <c r="E911">
        <v>0</v>
      </c>
      <c r="F911">
        <v>2415</v>
      </c>
      <c r="G911">
        <v>108000</v>
      </c>
      <c r="H911">
        <v>121695</v>
      </c>
      <c r="I911">
        <v>159231</v>
      </c>
      <c r="J911">
        <v>93.6</v>
      </c>
    </row>
    <row r="912" spans="1:10" x14ac:dyDescent="0.2">
      <c r="A912">
        <v>2011</v>
      </c>
      <c r="B912" s="1" t="s">
        <v>21</v>
      </c>
      <c r="C912" s="1" t="s">
        <v>13</v>
      </c>
      <c r="D912">
        <v>0</v>
      </c>
      <c r="E912">
        <v>0</v>
      </c>
      <c r="F912">
        <v>9119</v>
      </c>
      <c r="G912">
        <v>125000</v>
      </c>
      <c r="H912">
        <v>137974</v>
      </c>
      <c r="I912">
        <v>184295</v>
      </c>
      <c r="J912">
        <v>93.6</v>
      </c>
    </row>
    <row r="913" spans="1:10" x14ac:dyDescent="0.2">
      <c r="A913">
        <v>2011</v>
      </c>
      <c r="B913" s="1" t="s">
        <v>21</v>
      </c>
      <c r="C913" s="1" t="s">
        <v>14</v>
      </c>
      <c r="D913">
        <v>0</v>
      </c>
      <c r="E913">
        <v>0</v>
      </c>
      <c r="F913">
        <v>10091</v>
      </c>
      <c r="G913">
        <v>100000</v>
      </c>
      <c r="H913">
        <v>109872</v>
      </c>
      <c r="I913">
        <v>147436</v>
      </c>
      <c r="J913">
        <v>93.6</v>
      </c>
    </row>
    <row r="914" spans="1:10" x14ac:dyDescent="0.2">
      <c r="A914">
        <v>2011</v>
      </c>
      <c r="B914" s="1" t="s">
        <v>22</v>
      </c>
      <c r="C914" s="1" t="s">
        <v>11</v>
      </c>
      <c r="D914">
        <v>0</v>
      </c>
      <c r="E914">
        <v>0</v>
      </c>
      <c r="F914">
        <v>14227</v>
      </c>
      <c r="G914">
        <v>240000</v>
      </c>
      <c r="H914">
        <v>277504</v>
      </c>
      <c r="I914">
        <v>353846</v>
      </c>
      <c r="J914">
        <v>93.6</v>
      </c>
    </row>
    <row r="915" spans="1:10" x14ac:dyDescent="0.2">
      <c r="A915">
        <v>2011</v>
      </c>
      <c r="B915" s="1" t="s">
        <v>22</v>
      </c>
      <c r="C915" s="1" t="s">
        <v>12</v>
      </c>
      <c r="D915">
        <v>0</v>
      </c>
      <c r="E915">
        <v>0</v>
      </c>
      <c r="F915">
        <v>6026</v>
      </c>
      <c r="G915">
        <v>100000</v>
      </c>
      <c r="H915">
        <v>112856</v>
      </c>
      <c r="I915">
        <v>147436</v>
      </c>
      <c r="J915">
        <v>93.6</v>
      </c>
    </row>
    <row r="916" spans="1:10" x14ac:dyDescent="0.2">
      <c r="A916">
        <v>2011</v>
      </c>
      <c r="B916" s="1" t="s">
        <v>22</v>
      </c>
      <c r="C916" s="1" t="s">
        <v>13</v>
      </c>
      <c r="D916">
        <v>0</v>
      </c>
      <c r="E916">
        <v>0</v>
      </c>
      <c r="F916">
        <v>19338</v>
      </c>
      <c r="G916">
        <v>139000</v>
      </c>
      <c r="H916">
        <v>151407</v>
      </c>
      <c r="I916">
        <v>204936</v>
      </c>
      <c r="J916">
        <v>93.6</v>
      </c>
    </row>
    <row r="917" spans="1:10" x14ac:dyDescent="0.2">
      <c r="A917">
        <v>2011</v>
      </c>
      <c r="B917" s="1" t="s">
        <v>22</v>
      </c>
      <c r="C917" s="1" t="s">
        <v>14</v>
      </c>
      <c r="D917">
        <v>0</v>
      </c>
      <c r="E917">
        <v>0</v>
      </c>
      <c r="F917">
        <v>16497</v>
      </c>
      <c r="G917">
        <v>117000</v>
      </c>
      <c r="H917">
        <v>126114</v>
      </c>
      <c r="I917">
        <v>172500</v>
      </c>
      <c r="J917">
        <v>93.6</v>
      </c>
    </row>
    <row r="918" spans="1:10" x14ac:dyDescent="0.2">
      <c r="A918">
        <v>2011</v>
      </c>
      <c r="B918" s="1" t="s">
        <v>23</v>
      </c>
      <c r="C918" s="1" t="s">
        <v>11</v>
      </c>
      <c r="D918">
        <v>0</v>
      </c>
      <c r="E918">
        <v>0</v>
      </c>
      <c r="F918">
        <v>12409</v>
      </c>
      <c r="G918">
        <v>218000</v>
      </c>
      <c r="H918">
        <v>252657</v>
      </c>
      <c r="I918">
        <v>321410</v>
      </c>
      <c r="J918">
        <v>93.6</v>
      </c>
    </row>
    <row r="919" spans="1:10" x14ac:dyDescent="0.2">
      <c r="A919">
        <v>2011</v>
      </c>
      <c r="B919" s="1" t="s">
        <v>23</v>
      </c>
      <c r="C919" s="1" t="s">
        <v>12</v>
      </c>
      <c r="D919">
        <v>0</v>
      </c>
      <c r="E919">
        <v>0</v>
      </c>
      <c r="F919">
        <v>5026</v>
      </c>
      <c r="G919">
        <v>105450</v>
      </c>
      <c r="H919">
        <v>120172</v>
      </c>
      <c r="I919">
        <v>155471</v>
      </c>
      <c r="J919">
        <v>93.6</v>
      </c>
    </row>
    <row r="920" spans="1:10" x14ac:dyDescent="0.2">
      <c r="A920">
        <v>2011</v>
      </c>
      <c r="B920" s="1" t="s">
        <v>23</v>
      </c>
      <c r="C920" s="1" t="s">
        <v>13</v>
      </c>
      <c r="D920">
        <v>0</v>
      </c>
      <c r="E920">
        <v>0</v>
      </c>
      <c r="F920">
        <v>19771</v>
      </c>
      <c r="G920">
        <v>127500</v>
      </c>
      <c r="H920">
        <v>141317</v>
      </c>
      <c r="I920">
        <v>187981</v>
      </c>
      <c r="J920">
        <v>93.6</v>
      </c>
    </row>
    <row r="921" spans="1:10" x14ac:dyDescent="0.2">
      <c r="A921">
        <v>2011</v>
      </c>
      <c r="B921" s="1" t="s">
        <v>23</v>
      </c>
      <c r="C921" s="1" t="s">
        <v>14</v>
      </c>
      <c r="D921">
        <v>0</v>
      </c>
      <c r="E921">
        <v>0</v>
      </c>
      <c r="F921">
        <v>18273</v>
      </c>
      <c r="G921">
        <v>100000</v>
      </c>
      <c r="H921">
        <v>114421</v>
      </c>
      <c r="I921">
        <v>147436</v>
      </c>
      <c r="J921">
        <v>93.6</v>
      </c>
    </row>
    <row r="922" spans="1:10" x14ac:dyDescent="0.2">
      <c r="A922">
        <v>2011</v>
      </c>
      <c r="B922" s="1" t="s">
        <v>10</v>
      </c>
      <c r="C922" s="1" t="s">
        <v>24</v>
      </c>
      <c r="D922">
        <v>0</v>
      </c>
      <c r="E922">
        <v>1</v>
      </c>
      <c r="F922">
        <v>53986</v>
      </c>
      <c r="G922">
        <v>136000</v>
      </c>
      <c r="H922">
        <v>161046</v>
      </c>
      <c r="I922">
        <v>200513</v>
      </c>
      <c r="J922">
        <v>93.6</v>
      </c>
    </row>
    <row r="923" spans="1:10" x14ac:dyDescent="0.2">
      <c r="A923">
        <v>2011</v>
      </c>
      <c r="B923" s="1" t="s">
        <v>15</v>
      </c>
      <c r="C923" s="1" t="s">
        <v>24</v>
      </c>
      <c r="D923">
        <v>0</v>
      </c>
      <c r="E923">
        <v>1</v>
      </c>
      <c r="F923">
        <v>80464</v>
      </c>
      <c r="G923">
        <v>189995</v>
      </c>
      <c r="H923">
        <v>232556</v>
      </c>
      <c r="I923">
        <v>280121</v>
      </c>
      <c r="J923">
        <v>93.6</v>
      </c>
    </row>
    <row r="924" spans="1:10" x14ac:dyDescent="0.2">
      <c r="A924">
        <v>2011</v>
      </c>
      <c r="B924" s="1" t="s">
        <v>16</v>
      </c>
      <c r="C924" s="1" t="s">
        <v>24</v>
      </c>
      <c r="D924">
        <v>0</v>
      </c>
      <c r="E924">
        <v>1</v>
      </c>
      <c r="F924">
        <v>90785</v>
      </c>
      <c r="G924">
        <v>293000</v>
      </c>
      <c r="H924">
        <v>421417</v>
      </c>
      <c r="I924">
        <v>431987</v>
      </c>
      <c r="J924">
        <v>93.6</v>
      </c>
    </row>
    <row r="925" spans="1:10" x14ac:dyDescent="0.2">
      <c r="A925">
        <v>2011</v>
      </c>
      <c r="B925" s="1" t="s">
        <v>17</v>
      </c>
      <c r="C925" s="1" t="s">
        <v>24</v>
      </c>
      <c r="D925">
        <v>0</v>
      </c>
      <c r="E925">
        <v>1</v>
      </c>
      <c r="F925">
        <v>26827</v>
      </c>
      <c r="G925">
        <v>117500</v>
      </c>
      <c r="H925">
        <v>136803</v>
      </c>
      <c r="I925">
        <v>173237</v>
      </c>
      <c r="J925">
        <v>93.6</v>
      </c>
    </row>
    <row r="926" spans="1:10" x14ac:dyDescent="0.2">
      <c r="A926">
        <v>2011</v>
      </c>
      <c r="B926" s="1" t="s">
        <v>18</v>
      </c>
      <c r="C926" s="1" t="s">
        <v>24</v>
      </c>
      <c r="D926">
        <v>0</v>
      </c>
      <c r="E926">
        <v>1</v>
      </c>
      <c r="F926">
        <v>71503</v>
      </c>
      <c r="G926">
        <v>127000</v>
      </c>
      <c r="H926">
        <v>154840</v>
      </c>
      <c r="I926">
        <v>187244</v>
      </c>
      <c r="J926">
        <v>93.6</v>
      </c>
    </row>
    <row r="927" spans="1:10" x14ac:dyDescent="0.2">
      <c r="A927">
        <v>2011</v>
      </c>
      <c r="B927" s="1" t="s">
        <v>19</v>
      </c>
      <c r="C927" s="1" t="s">
        <v>24</v>
      </c>
      <c r="D927">
        <v>0</v>
      </c>
      <c r="E927">
        <v>1</v>
      </c>
      <c r="F927">
        <v>120206</v>
      </c>
      <c r="G927">
        <v>223000</v>
      </c>
      <c r="H927">
        <v>280245</v>
      </c>
      <c r="I927">
        <v>328782</v>
      </c>
      <c r="J927">
        <v>93.6</v>
      </c>
    </row>
    <row r="928" spans="1:10" x14ac:dyDescent="0.2">
      <c r="A928">
        <v>2011</v>
      </c>
      <c r="B928" s="1" t="s">
        <v>20</v>
      </c>
      <c r="C928" s="1" t="s">
        <v>24</v>
      </c>
      <c r="D928">
        <v>0</v>
      </c>
      <c r="E928">
        <v>1</v>
      </c>
      <c r="F928">
        <v>74662</v>
      </c>
      <c r="G928">
        <v>185000</v>
      </c>
      <c r="H928">
        <v>223967</v>
      </c>
      <c r="I928">
        <v>272756</v>
      </c>
      <c r="J928">
        <v>93.6</v>
      </c>
    </row>
    <row r="929" spans="1:10" x14ac:dyDescent="0.2">
      <c r="A929">
        <v>2011</v>
      </c>
      <c r="B929" s="1" t="s">
        <v>21</v>
      </c>
      <c r="C929" s="1" t="s">
        <v>24</v>
      </c>
      <c r="D929">
        <v>0</v>
      </c>
      <c r="E929">
        <v>1</v>
      </c>
      <c r="F929">
        <v>30665</v>
      </c>
      <c r="G929">
        <v>130500</v>
      </c>
      <c r="H929">
        <v>152284</v>
      </c>
      <c r="I929">
        <v>192404</v>
      </c>
      <c r="J929">
        <v>93.6</v>
      </c>
    </row>
    <row r="930" spans="1:10" x14ac:dyDescent="0.2">
      <c r="A930">
        <v>2011</v>
      </c>
      <c r="B930" s="1" t="s">
        <v>22</v>
      </c>
      <c r="C930" s="1" t="s">
        <v>24</v>
      </c>
      <c r="D930">
        <v>0</v>
      </c>
      <c r="E930">
        <v>1</v>
      </c>
      <c r="F930">
        <v>56088</v>
      </c>
      <c r="G930">
        <v>142500</v>
      </c>
      <c r="H930">
        <v>171811</v>
      </c>
      <c r="I930">
        <v>210096</v>
      </c>
      <c r="J930">
        <v>93.6</v>
      </c>
    </row>
    <row r="931" spans="1:10" x14ac:dyDescent="0.2">
      <c r="A931">
        <v>2011</v>
      </c>
      <c r="B931" s="1" t="s">
        <v>23</v>
      </c>
      <c r="C931" s="1" t="s">
        <v>24</v>
      </c>
      <c r="D931">
        <v>0</v>
      </c>
      <c r="E931">
        <v>1</v>
      </c>
      <c r="F931">
        <v>55479</v>
      </c>
      <c r="G931">
        <v>130000</v>
      </c>
      <c r="H931">
        <v>155446</v>
      </c>
      <c r="I931">
        <v>191667</v>
      </c>
      <c r="J931">
        <v>93.6</v>
      </c>
    </row>
    <row r="932" spans="1:10" x14ac:dyDescent="0.2">
      <c r="A932">
        <v>2011</v>
      </c>
      <c r="B932" s="1" t="s">
        <v>25</v>
      </c>
      <c r="C932" s="1" t="s">
        <v>11</v>
      </c>
      <c r="D932">
        <v>1</v>
      </c>
      <c r="E932">
        <v>0</v>
      </c>
      <c r="F932">
        <v>157185</v>
      </c>
      <c r="G932">
        <v>250000</v>
      </c>
      <c r="H932">
        <v>332507</v>
      </c>
      <c r="I932">
        <v>368590</v>
      </c>
      <c r="J932">
        <v>93.6</v>
      </c>
    </row>
    <row r="933" spans="1:10" x14ac:dyDescent="0.2">
      <c r="A933">
        <v>2011</v>
      </c>
      <c r="B933" s="1" t="s">
        <v>25</v>
      </c>
      <c r="C933" s="1" t="s">
        <v>12</v>
      </c>
      <c r="D933">
        <v>1</v>
      </c>
      <c r="E933">
        <v>0</v>
      </c>
      <c r="F933">
        <v>121185</v>
      </c>
      <c r="G933">
        <v>163000</v>
      </c>
      <c r="H933">
        <v>224054</v>
      </c>
      <c r="I933">
        <v>240321</v>
      </c>
      <c r="J933">
        <v>93.6</v>
      </c>
    </row>
    <row r="934" spans="1:10" x14ac:dyDescent="0.2">
      <c r="A934">
        <v>2011</v>
      </c>
      <c r="B934" s="1" t="s">
        <v>25</v>
      </c>
      <c r="C934" s="1" t="s">
        <v>13</v>
      </c>
      <c r="D934">
        <v>1</v>
      </c>
      <c r="E934">
        <v>0</v>
      </c>
      <c r="F934">
        <v>188912</v>
      </c>
      <c r="G934">
        <v>162500</v>
      </c>
      <c r="H934">
        <v>198804</v>
      </c>
      <c r="I934">
        <v>239583</v>
      </c>
      <c r="J934">
        <v>93.6</v>
      </c>
    </row>
    <row r="935" spans="1:10" x14ac:dyDescent="0.2">
      <c r="A935">
        <v>2011</v>
      </c>
      <c r="B935" s="1" t="s">
        <v>25</v>
      </c>
      <c r="C935" s="1" t="s">
        <v>14</v>
      </c>
      <c r="D935">
        <v>1</v>
      </c>
      <c r="E935">
        <v>0</v>
      </c>
      <c r="F935">
        <v>193668</v>
      </c>
      <c r="G935">
        <v>145000</v>
      </c>
      <c r="H935">
        <v>190245</v>
      </c>
      <c r="I935">
        <v>213782</v>
      </c>
      <c r="J935">
        <v>93.6</v>
      </c>
    </row>
    <row r="936" spans="1:10" x14ac:dyDescent="0.2">
      <c r="A936">
        <v>2011</v>
      </c>
      <c r="B936" s="1" t="s">
        <v>25</v>
      </c>
      <c r="C936" s="1" t="s">
        <v>24</v>
      </c>
      <c r="D936">
        <v>1</v>
      </c>
      <c r="E936">
        <v>1</v>
      </c>
      <c r="F936">
        <v>660950</v>
      </c>
      <c r="G936">
        <v>176000</v>
      </c>
      <c r="H936">
        <v>232723</v>
      </c>
      <c r="I936">
        <v>259487</v>
      </c>
      <c r="J936">
        <v>93.6</v>
      </c>
    </row>
    <row r="937" spans="1:10" x14ac:dyDescent="0.2">
      <c r="A937">
        <v>2012</v>
      </c>
      <c r="B937" s="1" t="s">
        <v>10</v>
      </c>
      <c r="C937" s="1" t="s">
        <v>11</v>
      </c>
      <c r="D937">
        <v>0</v>
      </c>
      <c r="E937">
        <v>0</v>
      </c>
      <c r="F937">
        <v>19795</v>
      </c>
      <c r="G937">
        <v>199999</v>
      </c>
      <c r="H937">
        <v>229687</v>
      </c>
      <c r="I937">
        <v>287499</v>
      </c>
      <c r="J937">
        <v>96</v>
      </c>
    </row>
    <row r="938" spans="1:10" x14ac:dyDescent="0.2">
      <c r="A938">
        <v>2012</v>
      </c>
      <c r="B938" s="1" t="s">
        <v>10</v>
      </c>
      <c r="C938" s="1" t="s">
        <v>12</v>
      </c>
      <c r="D938">
        <v>0</v>
      </c>
      <c r="E938">
        <v>0</v>
      </c>
      <c r="F938">
        <v>3144</v>
      </c>
      <c r="G938">
        <v>90000</v>
      </c>
      <c r="H938">
        <v>101374</v>
      </c>
      <c r="I938">
        <v>129375</v>
      </c>
      <c r="J938">
        <v>96</v>
      </c>
    </row>
    <row r="939" spans="1:10" x14ac:dyDescent="0.2">
      <c r="A939">
        <v>2012</v>
      </c>
      <c r="B939" s="1" t="s">
        <v>10</v>
      </c>
      <c r="C939" s="1" t="s">
        <v>13</v>
      </c>
      <c r="D939">
        <v>0</v>
      </c>
      <c r="E939">
        <v>0</v>
      </c>
      <c r="F939">
        <v>17767</v>
      </c>
      <c r="G939">
        <v>125000</v>
      </c>
      <c r="H939">
        <v>134524</v>
      </c>
      <c r="I939">
        <v>179688</v>
      </c>
      <c r="J939">
        <v>96</v>
      </c>
    </row>
    <row r="940" spans="1:10" x14ac:dyDescent="0.2">
      <c r="A940">
        <v>2012</v>
      </c>
      <c r="B940" s="1" t="s">
        <v>10</v>
      </c>
      <c r="C940" s="1" t="s">
        <v>14</v>
      </c>
      <c r="D940">
        <v>0</v>
      </c>
      <c r="E940">
        <v>0</v>
      </c>
      <c r="F940">
        <v>14034</v>
      </c>
      <c r="G940">
        <v>109000</v>
      </c>
      <c r="H940">
        <v>117447</v>
      </c>
      <c r="I940">
        <v>156688</v>
      </c>
      <c r="J940">
        <v>96</v>
      </c>
    </row>
    <row r="941" spans="1:10" x14ac:dyDescent="0.2">
      <c r="A941">
        <v>2012</v>
      </c>
      <c r="B941" s="1" t="s">
        <v>15</v>
      </c>
      <c r="C941" s="1" t="s">
        <v>11</v>
      </c>
      <c r="D941">
        <v>0</v>
      </c>
      <c r="E941">
        <v>0</v>
      </c>
      <c r="F941">
        <v>23996</v>
      </c>
      <c r="G941">
        <v>270000</v>
      </c>
      <c r="H941">
        <v>336471</v>
      </c>
      <c r="I941">
        <v>388125</v>
      </c>
      <c r="J941">
        <v>96</v>
      </c>
    </row>
    <row r="942" spans="1:10" x14ac:dyDescent="0.2">
      <c r="A942">
        <v>2012</v>
      </c>
      <c r="B942" s="1" t="s">
        <v>15</v>
      </c>
      <c r="C942" s="1" t="s">
        <v>12</v>
      </c>
      <c r="D942">
        <v>0</v>
      </c>
      <c r="E942">
        <v>0</v>
      </c>
      <c r="F942">
        <v>11652</v>
      </c>
      <c r="G942">
        <v>135000</v>
      </c>
      <c r="H942">
        <v>151430</v>
      </c>
      <c r="I942">
        <v>194062</v>
      </c>
      <c r="J942">
        <v>96</v>
      </c>
    </row>
    <row r="943" spans="1:10" x14ac:dyDescent="0.2">
      <c r="A943">
        <v>2012</v>
      </c>
      <c r="B943" s="1" t="s">
        <v>15</v>
      </c>
      <c r="C943" s="1" t="s">
        <v>13</v>
      </c>
      <c r="D943">
        <v>0</v>
      </c>
      <c r="E943">
        <v>0</v>
      </c>
      <c r="F943">
        <v>22322</v>
      </c>
      <c r="G943">
        <v>190000</v>
      </c>
      <c r="H943">
        <v>219530</v>
      </c>
      <c r="I943">
        <v>273125</v>
      </c>
      <c r="J943">
        <v>96</v>
      </c>
    </row>
    <row r="944" spans="1:10" x14ac:dyDescent="0.2">
      <c r="A944">
        <v>2012</v>
      </c>
      <c r="B944" s="1" t="s">
        <v>15</v>
      </c>
      <c r="C944" s="1" t="s">
        <v>14</v>
      </c>
      <c r="D944">
        <v>0</v>
      </c>
      <c r="E944">
        <v>0</v>
      </c>
      <c r="F944">
        <v>22763</v>
      </c>
      <c r="G944">
        <v>169995</v>
      </c>
      <c r="H944">
        <v>189297</v>
      </c>
      <c r="I944">
        <v>244368</v>
      </c>
      <c r="J944">
        <v>96</v>
      </c>
    </row>
    <row r="945" spans="1:10" x14ac:dyDescent="0.2">
      <c r="A945">
        <v>2012</v>
      </c>
      <c r="B945" s="1" t="s">
        <v>16</v>
      </c>
      <c r="C945" s="1" t="s">
        <v>11</v>
      </c>
      <c r="D945">
        <v>0</v>
      </c>
      <c r="E945">
        <v>0</v>
      </c>
      <c r="F945">
        <v>4514</v>
      </c>
      <c r="G945">
        <v>546250</v>
      </c>
      <c r="H945">
        <v>759950</v>
      </c>
      <c r="I945">
        <v>785234</v>
      </c>
      <c r="J945">
        <v>96</v>
      </c>
    </row>
    <row r="946" spans="1:10" x14ac:dyDescent="0.2">
      <c r="A946">
        <v>2012</v>
      </c>
      <c r="B946" s="1" t="s">
        <v>16</v>
      </c>
      <c r="C946" s="1" t="s">
        <v>12</v>
      </c>
      <c r="D946">
        <v>0</v>
      </c>
      <c r="E946">
        <v>0</v>
      </c>
      <c r="F946">
        <v>49428</v>
      </c>
      <c r="G946">
        <v>270000</v>
      </c>
      <c r="H946">
        <v>373539</v>
      </c>
      <c r="I946">
        <v>388125</v>
      </c>
      <c r="J946">
        <v>96</v>
      </c>
    </row>
    <row r="947" spans="1:10" x14ac:dyDescent="0.2">
      <c r="A947">
        <v>2012</v>
      </c>
      <c r="B947" s="1" t="s">
        <v>16</v>
      </c>
      <c r="C947" s="1" t="s">
        <v>13</v>
      </c>
      <c r="D947">
        <v>0</v>
      </c>
      <c r="E947">
        <v>0</v>
      </c>
      <c r="F947">
        <v>14027</v>
      </c>
      <c r="G947">
        <v>340000</v>
      </c>
      <c r="H947">
        <v>461767</v>
      </c>
      <c r="I947">
        <v>488750</v>
      </c>
      <c r="J947">
        <v>96</v>
      </c>
    </row>
    <row r="948" spans="1:10" x14ac:dyDescent="0.2">
      <c r="A948">
        <v>2012</v>
      </c>
      <c r="B948" s="1" t="s">
        <v>16</v>
      </c>
      <c r="C948" s="1" t="s">
        <v>14</v>
      </c>
      <c r="D948">
        <v>0</v>
      </c>
      <c r="E948">
        <v>0</v>
      </c>
      <c r="F948">
        <v>26442</v>
      </c>
      <c r="G948">
        <v>307500</v>
      </c>
      <c r="H948">
        <v>490026</v>
      </c>
      <c r="I948">
        <v>442031</v>
      </c>
      <c r="J948">
        <v>96</v>
      </c>
    </row>
    <row r="949" spans="1:10" x14ac:dyDescent="0.2">
      <c r="A949">
        <v>2012</v>
      </c>
      <c r="B949" s="1" t="s">
        <v>17</v>
      </c>
      <c r="C949" s="1" t="s">
        <v>11</v>
      </c>
      <c r="D949">
        <v>0</v>
      </c>
      <c r="E949">
        <v>0</v>
      </c>
      <c r="F949">
        <v>5175</v>
      </c>
      <c r="G949">
        <v>199995</v>
      </c>
      <c r="H949">
        <v>228435</v>
      </c>
      <c r="I949">
        <v>287493</v>
      </c>
      <c r="J949">
        <v>96</v>
      </c>
    </row>
    <row r="950" spans="1:10" x14ac:dyDescent="0.2">
      <c r="A950">
        <v>2012</v>
      </c>
      <c r="B950" s="1" t="s">
        <v>17</v>
      </c>
      <c r="C950" s="1" t="s">
        <v>12</v>
      </c>
      <c r="D950">
        <v>0</v>
      </c>
      <c r="E950">
        <v>0</v>
      </c>
      <c r="F950">
        <v>2671</v>
      </c>
      <c r="G950">
        <v>85950</v>
      </c>
      <c r="H950">
        <v>98127</v>
      </c>
      <c r="I950">
        <v>123553</v>
      </c>
      <c r="J950">
        <v>96</v>
      </c>
    </row>
    <row r="951" spans="1:10" x14ac:dyDescent="0.2">
      <c r="A951">
        <v>2012</v>
      </c>
      <c r="B951" s="1" t="s">
        <v>17</v>
      </c>
      <c r="C951" s="1" t="s">
        <v>13</v>
      </c>
      <c r="D951">
        <v>0</v>
      </c>
      <c r="E951">
        <v>0</v>
      </c>
      <c r="F951">
        <v>9026</v>
      </c>
      <c r="G951">
        <v>120000</v>
      </c>
      <c r="H951">
        <v>131420</v>
      </c>
      <c r="I951">
        <v>172500</v>
      </c>
      <c r="J951">
        <v>96</v>
      </c>
    </row>
    <row r="952" spans="1:10" x14ac:dyDescent="0.2">
      <c r="A952">
        <v>2012</v>
      </c>
      <c r="B952" s="1" t="s">
        <v>17</v>
      </c>
      <c r="C952" s="1" t="s">
        <v>14</v>
      </c>
      <c r="D952">
        <v>0</v>
      </c>
      <c r="E952">
        <v>0</v>
      </c>
      <c r="F952">
        <v>9234</v>
      </c>
      <c r="G952">
        <v>90000</v>
      </c>
      <c r="H952">
        <v>108303</v>
      </c>
      <c r="I952">
        <v>129375</v>
      </c>
      <c r="J952">
        <v>96</v>
      </c>
    </row>
    <row r="953" spans="1:10" x14ac:dyDescent="0.2">
      <c r="A953">
        <v>2012</v>
      </c>
      <c r="B953" s="1" t="s">
        <v>18</v>
      </c>
      <c r="C953" s="1" t="s">
        <v>11</v>
      </c>
      <c r="D953">
        <v>0</v>
      </c>
      <c r="E953">
        <v>0</v>
      </c>
      <c r="F953">
        <v>14117</v>
      </c>
      <c r="G953">
        <v>225000</v>
      </c>
      <c r="H953">
        <v>265273</v>
      </c>
      <c r="I953">
        <v>323438</v>
      </c>
      <c r="J953">
        <v>96</v>
      </c>
    </row>
    <row r="954" spans="1:10" x14ac:dyDescent="0.2">
      <c r="A954">
        <v>2012</v>
      </c>
      <c r="B954" s="1" t="s">
        <v>18</v>
      </c>
      <c r="C954" s="1" t="s">
        <v>12</v>
      </c>
      <c r="D954">
        <v>0</v>
      </c>
      <c r="E954">
        <v>0</v>
      </c>
      <c r="F954">
        <v>7404</v>
      </c>
      <c r="G954">
        <v>100000</v>
      </c>
      <c r="H954">
        <v>115105</v>
      </c>
      <c r="I954">
        <v>143750</v>
      </c>
      <c r="J954">
        <v>96</v>
      </c>
    </row>
    <row r="955" spans="1:10" x14ac:dyDescent="0.2">
      <c r="A955">
        <v>2012</v>
      </c>
      <c r="B955" s="1" t="s">
        <v>18</v>
      </c>
      <c r="C955" s="1" t="s">
        <v>13</v>
      </c>
      <c r="D955">
        <v>0</v>
      </c>
      <c r="E955">
        <v>0</v>
      </c>
      <c r="F955">
        <v>24525</v>
      </c>
      <c r="G955">
        <v>135000</v>
      </c>
      <c r="H955">
        <v>151397</v>
      </c>
      <c r="I955">
        <v>194062</v>
      </c>
      <c r="J955">
        <v>96</v>
      </c>
    </row>
    <row r="956" spans="1:10" x14ac:dyDescent="0.2">
      <c r="A956">
        <v>2012</v>
      </c>
      <c r="B956" s="1" t="s">
        <v>18</v>
      </c>
      <c r="C956" s="1" t="s">
        <v>14</v>
      </c>
      <c r="D956">
        <v>0</v>
      </c>
      <c r="E956">
        <v>0</v>
      </c>
      <c r="F956">
        <v>23791</v>
      </c>
      <c r="G956">
        <v>93000</v>
      </c>
      <c r="H956">
        <v>108097</v>
      </c>
      <c r="I956">
        <v>133688</v>
      </c>
      <c r="J956">
        <v>96</v>
      </c>
    </row>
    <row r="957" spans="1:10" x14ac:dyDescent="0.2">
      <c r="A957">
        <v>2012</v>
      </c>
      <c r="B957" s="1" t="s">
        <v>19</v>
      </c>
      <c r="C957" s="1" t="s">
        <v>11</v>
      </c>
      <c r="D957">
        <v>0</v>
      </c>
      <c r="E957">
        <v>0</v>
      </c>
      <c r="F957">
        <v>34359</v>
      </c>
      <c r="G957">
        <v>362000</v>
      </c>
      <c r="H957">
        <v>453560</v>
      </c>
      <c r="I957">
        <v>520375</v>
      </c>
      <c r="J957">
        <v>96</v>
      </c>
    </row>
    <row r="958" spans="1:10" x14ac:dyDescent="0.2">
      <c r="A958">
        <v>2012</v>
      </c>
      <c r="B958" s="1" t="s">
        <v>19</v>
      </c>
      <c r="C958" s="1" t="s">
        <v>12</v>
      </c>
      <c r="D958">
        <v>0</v>
      </c>
      <c r="E958">
        <v>0</v>
      </c>
      <c r="F958">
        <v>23726</v>
      </c>
      <c r="G958">
        <v>153000</v>
      </c>
      <c r="H958">
        <v>172221</v>
      </c>
      <c r="I958">
        <v>219938</v>
      </c>
      <c r="J958">
        <v>96</v>
      </c>
    </row>
    <row r="959" spans="1:10" x14ac:dyDescent="0.2">
      <c r="A959">
        <v>2012</v>
      </c>
      <c r="B959" s="1" t="s">
        <v>19</v>
      </c>
      <c r="C959" s="1" t="s">
        <v>13</v>
      </c>
      <c r="D959">
        <v>0</v>
      </c>
      <c r="E959">
        <v>0</v>
      </c>
      <c r="F959">
        <v>30939</v>
      </c>
      <c r="G959">
        <v>234500</v>
      </c>
      <c r="H959">
        <v>258938</v>
      </c>
      <c r="I959">
        <v>337094</v>
      </c>
      <c r="J959">
        <v>96</v>
      </c>
    </row>
    <row r="960" spans="1:10" x14ac:dyDescent="0.2">
      <c r="A960">
        <v>2012</v>
      </c>
      <c r="B960" s="1" t="s">
        <v>19</v>
      </c>
      <c r="C960" s="1" t="s">
        <v>14</v>
      </c>
      <c r="D960">
        <v>0</v>
      </c>
      <c r="E960">
        <v>0</v>
      </c>
      <c r="F960">
        <v>33858</v>
      </c>
      <c r="G960">
        <v>190000</v>
      </c>
      <c r="H960">
        <v>215455</v>
      </c>
      <c r="I960">
        <v>273125</v>
      </c>
      <c r="J960">
        <v>96</v>
      </c>
    </row>
    <row r="961" spans="1:10" x14ac:dyDescent="0.2">
      <c r="A961">
        <v>2012</v>
      </c>
      <c r="B961" s="1" t="s">
        <v>20</v>
      </c>
      <c r="C961" s="1" t="s">
        <v>11</v>
      </c>
      <c r="D961">
        <v>0</v>
      </c>
      <c r="E961">
        <v>0</v>
      </c>
      <c r="F961">
        <v>23129</v>
      </c>
      <c r="G961">
        <v>270000</v>
      </c>
      <c r="H961">
        <v>321613</v>
      </c>
      <c r="I961">
        <v>388125</v>
      </c>
      <c r="J961">
        <v>96</v>
      </c>
    </row>
    <row r="962" spans="1:10" x14ac:dyDescent="0.2">
      <c r="A962">
        <v>2012</v>
      </c>
      <c r="B962" s="1" t="s">
        <v>20</v>
      </c>
      <c r="C962" s="1" t="s">
        <v>12</v>
      </c>
      <c r="D962">
        <v>0</v>
      </c>
      <c r="E962">
        <v>0</v>
      </c>
      <c r="F962">
        <v>12371</v>
      </c>
      <c r="G962">
        <v>132000</v>
      </c>
      <c r="H962">
        <v>157686</v>
      </c>
      <c r="I962">
        <v>189750</v>
      </c>
      <c r="J962">
        <v>96</v>
      </c>
    </row>
    <row r="963" spans="1:10" x14ac:dyDescent="0.2">
      <c r="A963">
        <v>2012</v>
      </c>
      <c r="B963" s="1" t="s">
        <v>20</v>
      </c>
      <c r="C963" s="1" t="s">
        <v>13</v>
      </c>
      <c r="D963">
        <v>0</v>
      </c>
      <c r="E963">
        <v>0</v>
      </c>
      <c r="F963">
        <v>17881</v>
      </c>
      <c r="G963">
        <v>180000</v>
      </c>
      <c r="H963">
        <v>202981</v>
      </c>
      <c r="I963">
        <v>258750</v>
      </c>
      <c r="J963">
        <v>96</v>
      </c>
    </row>
    <row r="964" spans="1:10" x14ac:dyDescent="0.2">
      <c r="A964">
        <v>2012</v>
      </c>
      <c r="B964" s="1" t="s">
        <v>20</v>
      </c>
      <c r="C964" s="1" t="s">
        <v>14</v>
      </c>
      <c r="D964">
        <v>0</v>
      </c>
      <c r="E964">
        <v>0</v>
      </c>
      <c r="F964">
        <v>22767</v>
      </c>
      <c r="G964">
        <v>159000</v>
      </c>
      <c r="H964">
        <v>180651</v>
      </c>
      <c r="I964">
        <v>228562</v>
      </c>
      <c r="J964">
        <v>96</v>
      </c>
    </row>
    <row r="965" spans="1:10" x14ac:dyDescent="0.2">
      <c r="A965">
        <v>2012</v>
      </c>
      <c r="B965" s="1" t="s">
        <v>21</v>
      </c>
      <c r="C965" s="1" t="s">
        <v>11</v>
      </c>
      <c r="D965">
        <v>0</v>
      </c>
      <c r="E965">
        <v>0</v>
      </c>
      <c r="F965">
        <v>9386</v>
      </c>
      <c r="G965">
        <v>196748</v>
      </c>
      <c r="H965">
        <v>219874</v>
      </c>
      <c r="I965">
        <v>282825</v>
      </c>
      <c r="J965">
        <v>96</v>
      </c>
    </row>
    <row r="966" spans="1:10" x14ac:dyDescent="0.2">
      <c r="A966">
        <v>2012</v>
      </c>
      <c r="B966" s="1" t="s">
        <v>21</v>
      </c>
      <c r="C966" s="1" t="s">
        <v>12</v>
      </c>
      <c r="D966">
        <v>0</v>
      </c>
      <c r="E966">
        <v>0</v>
      </c>
      <c r="F966">
        <v>2396</v>
      </c>
      <c r="G966">
        <v>107000</v>
      </c>
      <c r="H966">
        <v>120741</v>
      </c>
      <c r="I966">
        <v>153812</v>
      </c>
      <c r="J966">
        <v>96</v>
      </c>
    </row>
    <row r="967" spans="1:10" x14ac:dyDescent="0.2">
      <c r="A967">
        <v>2012</v>
      </c>
      <c r="B967" s="1" t="s">
        <v>21</v>
      </c>
      <c r="C967" s="1" t="s">
        <v>13</v>
      </c>
      <c r="D967">
        <v>0</v>
      </c>
      <c r="E967">
        <v>0</v>
      </c>
      <c r="F967">
        <v>8895</v>
      </c>
      <c r="G967">
        <v>125000</v>
      </c>
      <c r="H967">
        <v>137632</v>
      </c>
      <c r="I967">
        <v>179688</v>
      </c>
      <c r="J967">
        <v>96</v>
      </c>
    </row>
    <row r="968" spans="1:10" x14ac:dyDescent="0.2">
      <c r="A968">
        <v>2012</v>
      </c>
      <c r="B968" s="1" t="s">
        <v>21</v>
      </c>
      <c r="C968" s="1" t="s">
        <v>14</v>
      </c>
      <c r="D968">
        <v>0</v>
      </c>
      <c r="E968">
        <v>0</v>
      </c>
      <c r="F968">
        <v>9969</v>
      </c>
      <c r="G968">
        <v>100000</v>
      </c>
      <c r="H968">
        <v>111368</v>
      </c>
      <c r="I968">
        <v>143750</v>
      </c>
      <c r="J968">
        <v>96</v>
      </c>
    </row>
    <row r="969" spans="1:10" x14ac:dyDescent="0.2">
      <c r="A969">
        <v>2012</v>
      </c>
      <c r="B969" s="1" t="s">
        <v>22</v>
      </c>
      <c r="C969" s="1" t="s">
        <v>11</v>
      </c>
      <c r="D969">
        <v>0</v>
      </c>
      <c r="E969">
        <v>0</v>
      </c>
      <c r="F969">
        <v>15256</v>
      </c>
      <c r="G969">
        <v>235500</v>
      </c>
      <c r="H969">
        <v>271360</v>
      </c>
      <c r="I969">
        <v>338531</v>
      </c>
      <c r="J969">
        <v>96</v>
      </c>
    </row>
    <row r="970" spans="1:10" x14ac:dyDescent="0.2">
      <c r="A970">
        <v>2012</v>
      </c>
      <c r="B970" s="1" t="s">
        <v>22</v>
      </c>
      <c r="C970" s="1" t="s">
        <v>12</v>
      </c>
      <c r="D970">
        <v>0</v>
      </c>
      <c r="E970">
        <v>0</v>
      </c>
      <c r="F970">
        <v>5921</v>
      </c>
      <c r="G970">
        <v>100000</v>
      </c>
      <c r="H970">
        <v>110778</v>
      </c>
      <c r="I970">
        <v>143750</v>
      </c>
      <c r="J970">
        <v>96</v>
      </c>
    </row>
    <row r="971" spans="1:10" x14ac:dyDescent="0.2">
      <c r="A971">
        <v>2012</v>
      </c>
      <c r="B971" s="1" t="s">
        <v>22</v>
      </c>
      <c r="C971" s="1" t="s">
        <v>13</v>
      </c>
      <c r="D971">
        <v>0</v>
      </c>
      <c r="E971">
        <v>0</v>
      </c>
      <c r="F971">
        <v>19240</v>
      </c>
      <c r="G971">
        <v>140000</v>
      </c>
      <c r="H971">
        <v>152626</v>
      </c>
      <c r="I971">
        <v>201250</v>
      </c>
      <c r="J971">
        <v>96</v>
      </c>
    </row>
    <row r="972" spans="1:10" x14ac:dyDescent="0.2">
      <c r="A972">
        <v>2012</v>
      </c>
      <c r="B972" s="1" t="s">
        <v>22</v>
      </c>
      <c r="C972" s="1" t="s">
        <v>14</v>
      </c>
      <c r="D972">
        <v>0</v>
      </c>
      <c r="E972">
        <v>0</v>
      </c>
      <c r="F972">
        <v>16287</v>
      </c>
      <c r="G972">
        <v>118000</v>
      </c>
      <c r="H972">
        <v>128619</v>
      </c>
      <c r="I972">
        <v>169625</v>
      </c>
      <c r="J972">
        <v>96</v>
      </c>
    </row>
    <row r="973" spans="1:10" x14ac:dyDescent="0.2">
      <c r="A973">
        <v>2012</v>
      </c>
      <c r="B973" s="1" t="s">
        <v>23</v>
      </c>
      <c r="C973" s="1" t="s">
        <v>11</v>
      </c>
      <c r="D973">
        <v>0</v>
      </c>
      <c r="E973">
        <v>0</v>
      </c>
      <c r="F973">
        <v>13193</v>
      </c>
      <c r="G973">
        <v>218000</v>
      </c>
      <c r="H973">
        <v>251018</v>
      </c>
      <c r="I973">
        <v>313375</v>
      </c>
      <c r="J973">
        <v>96</v>
      </c>
    </row>
    <row r="974" spans="1:10" x14ac:dyDescent="0.2">
      <c r="A974">
        <v>2012</v>
      </c>
      <c r="B974" s="1" t="s">
        <v>23</v>
      </c>
      <c r="C974" s="1" t="s">
        <v>12</v>
      </c>
      <c r="D974">
        <v>0</v>
      </c>
      <c r="E974">
        <v>0</v>
      </c>
      <c r="F974">
        <v>4843</v>
      </c>
      <c r="G974">
        <v>102500</v>
      </c>
      <c r="H974">
        <v>115145</v>
      </c>
      <c r="I974">
        <v>147344</v>
      </c>
      <c r="J974">
        <v>96</v>
      </c>
    </row>
    <row r="975" spans="1:10" x14ac:dyDescent="0.2">
      <c r="A975">
        <v>2012</v>
      </c>
      <c r="B975" s="1" t="s">
        <v>23</v>
      </c>
      <c r="C975" s="1" t="s">
        <v>13</v>
      </c>
      <c r="D975">
        <v>0</v>
      </c>
      <c r="E975">
        <v>0</v>
      </c>
      <c r="F975">
        <v>19775</v>
      </c>
      <c r="G975">
        <v>125000</v>
      </c>
      <c r="H975">
        <v>141699</v>
      </c>
      <c r="I975">
        <v>179688</v>
      </c>
      <c r="J975">
        <v>96</v>
      </c>
    </row>
    <row r="976" spans="1:10" x14ac:dyDescent="0.2">
      <c r="A976">
        <v>2012</v>
      </c>
      <c r="B976" s="1" t="s">
        <v>23</v>
      </c>
      <c r="C976" s="1" t="s">
        <v>14</v>
      </c>
      <c r="D976">
        <v>0</v>
      </c>
      <c r="E976">
        <v>0</v>
      </c>
      <c r="F976">
        <v>18283</v>
      </c>
      <c r="G976">
        <v>104000</v>
      </c>
      <c r="H976">
        <v>116886</v>
      </c>
      <c r="I976">
        <v>149500</v>
      </c>
      <c r="J976">
        <v>96</v>
      </c>
    </row>
    <row r="977" spans="1:10" x14ac:dyDescent="0.2">
      <c r="A977">
        <v>2012</v>
      </c>
      <c r="B977" s="1" t="s">
        <v>10</v>
      </c>
      <c r="C977" s="1" t="s">
        <v>24</v>
      </c>
      <c r="D977">
        <v>0</v>
      </c>
      <c r="E977">
        <v>1</v>
      </c>
      <c r="F977">
        <v>54740</v>
      </c>
      <c r="G977">
        <v>138000</v>
      </c>
      <c r="H977">
        <v>162655</v>
      </c>
      <c r="I977">
        <v>198375</v>
      </c>
      <c r="J977">
        <v>96</v>
      </c>
    </row>
    <row r="978" spans="1:10" x14ac:dyDescent="0.2">
      <c r="A978">
        <v>2012</v>
      </c>
      <c r="B978" s="1" t="s">
        <v>15</v>
      </c>
      <c r="C978" s="1" t="s">
        <v>24</v>
      </c>
      <c r="D978">
        <v>0</v>
      </c>
      <c r="E978">
        <v>1</v>
      </c>
      <c r="F978">
        <v>80733</v>
      </c>
      <c r="G978">
        <v>193000</v>
      </c>
      <c r="H978">
        <v>235935</v>
      </c>
      <c r="I978">
        <v>277438</v>
      </c>
      <c r="J978">
        <v>96</v>
      </c>
    </row>
    <row r="979" spans="1:10" x14ac:dyDescent="0.2">
      <c r="A979">
        <v>2012</v>
      </c>
      <c r="B979" s="1" t="s">
        <v>16</v>
      </c>
      <c r="C979" s="1" t="s">
        <v>24</v>
      </c>
      <c r="D979">
        <v>0</v>
      </c>
      <c r="E979">
        <v>1</v>
      </c>
      <c r="F979">
        <v>94411</v>
      </c>
      <c r="G979">
        <v>300000</v>
      </c>
      <c r="H979">
        <v>437747</v>
      </c>
      <c r="I979">
        <v>431250</v>
      </c>
      <c r="J979">
        <v>96</v>
      </c>
    </row>
    <row r="980" spans="1:10" x14ac:dyDescent="0.2">
      <c r="A980">
        <v>2012</v>
      </c>
      <c r="B980" s="1" t="s">
        <v>17</v>
      </c>
      <c r="C980" s="1" t="s">
        <v>24</v>
      </c>
      <c r="D980">
        <v>0</v>
      </c>
      <c r="E980">
        <v>1</v>
      </c>
      <c r="F980">
        <v>26106</v>
      </c>
      <c r="G980">
        <v>120000</v>
      </c>
      <c r="H980">
        <v>139069</v>
      </c>
      <c r="I980">
        <v>172500</v>
      </c>
      <c r="J980">
        <v>96</v>
      </c>
    </row>
    <row r="981" spans="1:10" x14ac:dyDescent="0.2">
      <c r="A981">
        <v>2012</v>
      </c>
      <c r="B981" s="1" t="s">
        <v>18</v>
      </c>
      <c r="C981" s="1" t="s">
        <v>24</v>
      </c>
      <c r="D981">
        <v>0</v>
      </c>
      <c r="E981">
        <v>1</v>
      </c>
      <c r="F981">
        <v>69837</v>
      </c>
      <c r="G981">
        <v>130000</v>
      </c>
      <c r="H981">
        <v>155818</v>
      </c>
      <c r="I981">
        <v>186875</v>
      </c>
      <c r="J981">
        <v>96</v>
      </c>
    </row>
    <row r="982" spans="1:10" x14ac:dyDescent="0.2">
      <c r="A982">
        <v>2012</v>
      </c>
      <c r="B982" s="1" t="s">
        <v>19</v>
      </c>
      <c r="C982" s="1" t="s">
        <v>24</v>
      </c>
      <c r="D982">
        <v>0</v>
      </c>
      <c r="E982">
        <v>1</v>
      </c>
      <c r="F982">
        <v>122882</v>
      </c>
      <c r="G982">
        <v>229250</v>
      </c>
      <c r="H982">
        <v>284632</v>
      </c>
      <c r="I982">
        <v>329547</v>
      </c>
      <c r="J982">
        <v>96</v>
      </c>
    </row>
    <row r="983" spans="1:10" x14ac:dyDescent="0.2">
      <c r="A983">
        <v>2012</v>
      </c>
      <c r="B983" s="1" t="s">
        <v>20</v>
      </c>
      <c r="C983" s="1" t="s">
        <v>24</v>
      </c>
      <c r="D983">
        <v>0</v>
      </c>
      <c r="E983">
        <v>1</v>
      </c>
      <c r="F983">
        <v>76148</v>
      </c>
      <c r="G983">
        <v>187500</v>
      </c>
      <c r="H983">
        <v>224979</v>
      </c>
      <c r="I983">
        <v>269531</v>
      </c>
      <c r="J983">
        <v>96</v>
      </c>
    </row>
    <row r="984" spans="1:10" x14ac:dyDescent="0.2">
      <c r="A984">
        <v>2012</v>
      </c>
      <c r="B984" s="1" t="s">
        <v>21</v>
      </c>
      <c r="C984" s="1" t="s">
        <v>24</v>
      </c>
      <c r="D984">
        <v>0</v>
      </c>
      <c r="E984">
        <v>1</v>
      </c>
      <c r="F984">
        <v>30646</v>
      </c>
      <c r="G984">
        <v>133000</v>
      </c>
      <c r="H984">
        <v>152956</v>
      </c>
      <c r="I984">
        <v>191188</v>
      </c>
      <c r="J984">
        <v>96</v>
      </c>
    </row>
    <row r="985" spans="1:10" x14ac:dyDescent="0.2">
      <c r="A985">
        <v>2012</v>
      </c>
      <c r="B985" s="1" t="s">
        <v>22</v>
      </c>
      <c r="C985" s="1" t="s">
        <v>24</v>
      </c>
      <c r="D985">
        <v>0</v>
      </c>
      <c r="E985">
        <v>1</v>
      </c>
      <c r="F985">
        <v>56704</v>
      </c>
      <c r="G985">
        <v>145000</v>
      </c>
      <c r="H985">
        <v>173306</v>
      </c>
      <c r="I985">
        <v>208438</v>
      </c>
      <c r="J985">
        <v>96</v>
      </c>
    </row>
    <row r="986" spans="1:10" x14ac:dyDescent="0.2">
      <c r="A986">
        <v>2012</v>
      </c>
      <c r="B986" s="1" t="s">
        <v>23</v>
      </c>
      <c r="C986" s="1" t="s">
        <v>24</v>
      </c>
      <c r="D986">
        <v>0</v>
      </c>
      <c r="E986">
        <v>1</v>
      </c>
      <c r="F986">
        <v>56094</v>
      </c>
      <c r="G986">
        <v>130000</v>
      </c>
      <c r="H986">
        <v>157030</v>
      </c>
      <c r="I986">
        <v>186875</v>
      </c>
      <c r="J986">
        <v>96</v>
      </c>
    </row>
    <row r="987" spans="1:10" x14ac:dyDescent="0.2">
      <c r="A987">
        <v>2012</v>
      </c>
      <c r="B987" s="1" t="s">
        <v>25</v>
      </c>
      <c r="C987" s="1" t="s">
        <v>11</v>
      </c>
      <c r="D987">
        <v>1</v>
      </c>
      <c r="E987">
        <v>0</v>
      </c>
      <c r="F987">
        <v>163005</v>
      </c>
      <c r="G987">
        <v>250000</v>
      </c>
      <c r="H987">
        <v>328495</v>
      </c>
      <c r="I987">
        <v>359375</v>
      </c>
      <c r="J987">
        <v>96</v>
      </c>
    </row>
    <row r="988" spans="1:10" x14ac:dyDescent="0.2">
      <c r="A988">
        <v>2012</v>
      </c>
      <c r="B988" s="1" t="s">
        <v>25</v>
      </c>
      <c r="C988" s="1" t="s">
        <v>12</v>
      </c>
      <c r="D988">
        <v>1</v>
      </c>
      <c r="E988">
        <v>0</v>
      </c>
      <c r="F988">
        <v>123638</v>
      </c>
      <c r="G988">
        <v>168500</v>
      </c>
      <c r="H988">
        <v>236401</v>
      </c>
      <c r="I988">
        <v>242219</v>
      </c>
      <c r="J988">
        <v>96</v>
      </c>
    </row>
    <row r="989" spans="1:10" x14ac:dyDescent="0.2">
      <c r="A989">
        <v>2012</v>
      </c>
      <c r="B989" s="1" t="s">
        <v>25</v>
      </c>
      <c r="C989" s="1" t="s">
        <v>13</v>
      </c>
      <c r="D989">
        <v>1</v>
      </c>
      <c r="E989">
        <v>0</v>
      </c>
      <c r="F989">
        <v>184431</v>
      </c>
      <c r="G989">
        <v>165000</v>
      </c>
      <c r="H989">
        <v>202123</v>
      </c>
      <c r="I989">
        <v>237188</v>
      </c>
      <c r="J989">
        <v>96</v>
      </c>
    </row>
    <row r="990" spans="1:10" x14ac:dyDescent="0.2">
      <c r="A990">
        <v>2012</v>
      </c>
      <c r="B990" s="1" t="s">
        <v>25</v>
      </c>
      <c r="C990" s="1" t="s">
        <v>14</v>
      </c>
      <c r="D990">
        <v>1</v>
      </c>
      <c r="E990">
        <v>0</v>
      </c>
      <c r="F990">
        <v>197459</v>
      </c>
      <c r="G990">
        <v>150000</v>
      </c>
      <c r="H990">
        <v>198736</v>
      </c>
      <c r="I990">
        <v>215625</v>
      </c>
      <c r="J990">
        <v>96</v>
      </c>
    </row>
    <row r="991" spans="1:10" x14ac:dyDescent="0.2">
      <c r="A991">
        <v>2012</v>
      </c>
      <c r="B991" s="1" t="s">
        <v>25</v>
      </c>
      <c r="C991" s="1" t="s">
        <v>24</v>
      </c>
      <c r="D991">
        <v>1</v>
      </c>
      <c r="E991">
        <v>1</v>
      </c>
      <c r="F991">
        <v>668533</v>
      </c>
      <c r="G991">
        <v>180000</v>
      </c>
      <c r="H991">
        <v>238275</v>
      </c>
      <c r="I991">
        <v>258750</v>
      </c>
      <c r="J991">
        <v>96</v>
      </c>
    </row>
    <row r="992" spans="1:10" x14ac:dyDescent="0.2">
      <c r="A992">
        <v>2013</v>
      </c>
      <c r="B992" s="1" t="s">
        <v>10</v>
      </c>
      <c r="C992" s="1" t="s">
        <v>11</v>
      </c>
      <c r="D992">
        <v>0</v>
      </c>
      <c r="E992">
        <v>0</v>
      </c>
      <c r="F992">
        <v>24193</v>
      </c>
      <c r="G992">
        <v>204000</v>
      </c>
      <c r="H992">
        <v>232373</v>
      </c>
      <c r="I992">
        <v>286680</v>
      </c>
      <c r="J992">
        <v>98.2</v>
      </c>
    </row>
    <row r="993" spans="1:10" x14ac:dyDescent="0.2">
      <c r="A993">
        <v>2013</v>
      </c>
      <c r="B993" s="1" t="s">
        <v>10</v>
      </c>
      <c r="C993" s="1" t="s">
        <v>12</v>
      </c>
      <c r="D993">
        <v>0</v>
      </c>
      <c r="E993">
        <v>0</v>
      </c>
      <c r="F993">
        <v>3685</v>
      </c>
      <c r="G993">
        <v>92000</v>
      </c>
      <c r="H993">
        <v>101064</v>
      </c>
      <c r="I993">
        <v>129287</v>
      </c>
      <c r="J993">
        <v>98.2</v>
      </c>
    </row>
    <row r="994" spans="1:10" x14ac:dyDescent="0.2">
      <c r="A994">
        <v>2013</v>
      </c>
      <c r="B994" s="1" t="s">
        <v>10</v>
      </c>
      <c r="C994" s="1" t="s">
        <v>13</v>
      </c>
      <c r="D994">
        <v>0</v>
      </c>
      <c r="E994">
        <v>0</v>
      </c>
      <c r="F994">
        <v>20926</v>
      </c>
      <c r="G994">
        <v>127000</v>
      </c>
      <c r="H994">
        <v>138475</v>
      </c>
      <c r="I994">
        <v>178473</v>
      </c>
      <c r="J994">
        <v>98.2</v>
      </c>
    </row>
    <row r="995" spans="1:10" x14ac:dyDescent="0.2">
      <c r="A995">
        <v>2013</v>
      </c>
      <c r="B995" s="1" t="s">
        <v>10</v>
      </c>
      <c r="C995" s="1" t="s">
        <v>14</v>
      </c>
      <c r="D995">
        <v>0</v>
      </c>
      <c r="E995">
        <v>0</v>
      </c>
      <c r="F995">
        <v>16553</v>
      </c>
      <c r="G995">
        <v>111000</v>
      </c>
      <c r="H995">
        <v>120808</v>
      </c>
      <c r="I995">
        <v>155988</v>
      </c>
      <c r="J995">
        <v>98.2</v>
      </c>
    </row>
    <row r="996" spans="1:10" x14ac:dyDescent="0.2">
      <c r="A996">
        <v>2013</v>
      </c>
      <c r="B996" s="1" t="s">
        <v>15</v>
      </c>
      <c r="C996" s="1" t="s">
        <v>11</v>
      </c>
      <c r="D996">
        <v>0</v>
      </c>
      <c r="E996">
        <v>0</v>
      </c>
      <c r="F996">
        <v>28603</v>
      </c>
      <c r="G996">
        <v>276000</v>
      </c>
      <c r="H996">
        <v>345852</v>
      </c>
      <c r="I996">
        <v>387862</v>
      </c>
      <c r="J996">
        <v>98.2</v>
      </c>
    </row>
    <row r="997" spans="1:10" x14ac:dyDescent="0.2">
      <c r="A997">
        <v>2013</v>
      </c>
      <c r="B997" s="1" t="s">
        <v>15</v>
      </c>
      <c r="C997" s="1" t="s">
        <v>12</v>
      </c>
      <c r="D997">
        <v>0</v>
      </c>
      <c r="E997">
        <v>0</v>
      </c>
      <c r="F997">
        <v>14538</v>
      </c>
      <c r="G997">
        <v>140000</v>
      </c>
      <c r="H997">
        <v>161458</v>
      </c>
      <c r="I997">
        <v>196741</v>
      </c>
      <c r="J997">
        <v>98.2</v>
      </c>
    </row>
    <row r="998" spans="1:10" x14ac:dyDescent="0.2">
      <c r="A998">
        <v>2013</v>
      </c>
      <c r="B998" s="1" t="s">
        <v>15</v>
      </c>
      <c r="C998" s="1" t="s">
        <v>13</v>
      </c>
      <c r="D998">
        <v>0</v>
      </c>
      <c r="E998">
        <v>0</v>
      </c>
      <c r="F998">
        <v>25573</v>
      </c>
      <c r="G998">
        <v>198500</v>
      </c>
      <c r="H998">
        <v>227595</v>
      </c>
      <c r="I998">
        <v>278951</v>
      </c>
      <c r="J998">
        <v>98.2</v>
      </c>
    </row>
    <row r="999" spans="1:10" x14ac:dyDescent="0.2">
      <c r="A999">
        <v>2013</v>
      </c>
      <c r="B999" s="1" t="s">
        <v>15</v>
      </c>
      <c r="C999" s="1" t="s">
        <v>14</v>
      </c>
      <c r="D999">
        <v>0</v>
      </c>
      <c r="E999">
        <v>0</v>
      </c>
      <c r="F999">
        <v>26888</v>
      </c>
      <c r="G999">
        <v>174000</v>
      </c>
      <c r="H999">
        <v>195321</v>
      </c>
      <c r="I999">
        <v>244521</v>
      </c>
      <c r="J999">
        <v>98.2</v>
      </c>
    </row>
    <row r="1000" spans="1:10" x14ac:dyDescent="0.2">
      <c r="A1000">
        <v>2013</v>
      </c>
      <c r="B1000" s="1" t="s">
        <v>16</v>
      </c>
      <c r="C1000" s="1" t="s">
        <v>11</v>
      </c>
      <c r="D1000">
        <v>0</v>
      </c>
      <c r="E1000">
        <v>0</v>
      </c>
      <c r="F1000">
        <v>5405</v>
      </c>
      <c r="G1000">
        <v>569995</v>
      </c>
      <c r="H1000">
        <v>821067</v>
      </c>
      <c r="I1000">
        <v>801011</v>
      </c>
      <c r="J1000">
        <v>98.2</v>
      </c>
    </row>
    <row r="1001" spans="1:10" x14ac:dyDescent="0.2">
      <c r="A1001">
        <v>2013</v>
      </c>
      <c r="B1001" s="1" t="s">
        <v>16</v>
      </c>
      <c r="C1001" s="1" t="s">
        <v>12</v>
      </c>
      <c r="D1001">
        <v>0</v>
      </c>
      <c r="E1001">
        <v>0</v>
      </c>
      <c r="F1001">
        <v>60240</v>
      </c>
      <c r="G1001">
        <v>292402</v>
      </c>
      <c r="H1001">
        <v>406170</v>
      </c>
      <c r="I1001">
        <v>410912</v>
      </c>
      <c r="J1001">
        <v>98.2</v>
      </c>
    </row>
    <row r="1002" spans="1:10" x14ac:dyDescent="0.2">
      <c r="A1002">
        <v>2013</v>
      </c>
      <c r="B1002" s="1" t="s">
        <v>16</v>
      </c>
      <c r="C1002" s="1" t="s">
        <v>13</v>
      </c>
      <c r="D1002">
        <v>0</v>
      </c>
      <c r="E1002">
        <v>0</v>
      </c>
      <c r="F1002">
        <v>15799</v>
      </c>
      <c r="G1002">
        <v>363000</v>
      </c>
      <c r="H1002">
        <v>494312</v>
      </c>
      <c r="I1002">
        <v>510122</v>
      </c>
      <c r="J1002">
        <v>98.2</v>
      </c>
    </row>
    <row r="1003" spans="1:10" x14ac:dyDescent="0.2">
      <c r="A1003">
        <v>2013</v>
      </c>
      <c r="B1003" s="1" t="s">
        <v>16</v>
      </c>
      <c r="C1003" s="1" t="s">
        <v>14</v>
      </c>
      <c r="D1003">
        <v>0</v>
      </c>
      <c r="E1003">
        <v>0</v>
      </c>
      <c r="F1003">
        <v>29877</v>
      </c>
      <c r="G1003">
        <v>325000</v>
      </c>
      <c r="H1003">
        <v>536727</v>
      </c>
      <c r="I1003">
        <v>456721</v>
      </c>
      <c r="J1003">
        <v>98.2</v>
      </c>
    </row>
    <row r="1004" spans="1:10" x14ac:dyDescent="0.2">
      <c r="A1004">
        <v>2013</v>
      </c>
      <c r="B1004" s="1" t="s">
        <v>17</v>
      </c>
      <c r="C1004" s="1" t="s">
        <v>11</v>
      </c>
      <c r="D1004">
        <v>0</v>
      </c>
      <c r="E1004">
        <v>0</v>
      </c>
      <c r="F1004">
        <v>6308</v>
      </c>
      <c r="G1004">
        <v>200000</v>
      </c>
      <c r="H1004">
        <v>230090</v>
      </c>
      <c r="I1004">
        <v>281059</v>
      </c>
      <c r="J1004">
        <v>98.2</v>
      </c>
    </row>
    <row r="1005" spans="1:10" x14ac:dyDescent="0.2">
      <c r="A1005">
        <v>2013</v>
      </c>
      <c r="B1005" s="1" t="s">
        <v>17</v>
      </c>
      <c r="C1005" s="1" t="s">
        <v>12</v>
      </c>
      <c r="D1005">
        <v>0</v>
      </c>
      <c r="E1005">
        <v>0</v>
      </c>
      <c r="F1005">
        <v>3148</v>
      </c>
      <c r="G1005">
        <v>87000</v>
      </c>
      <c r="H1005">
        <v>98114</v>
      </c>
      <c r="I1005">
        <v>122261</v>
      </c>
      <c r="J1005">
        <v>98.2</v>
      </c>
    </row>
    <row r="1006" spans="1:10" x14ac:dyDescent="0.2">
      <c r="A1006">
        <v>2013</v>
      </c>
      <c r="B1006" s="1" t="s">
        <v>17</v>
      </c>
      <c r="C1006" s="1" t="s">
        <v>13</v>
      </c>
      <c r="D1006">
        <v>0</v>
      </c>
      <c r="E1006">
        <v>0</v>
      </c>
      <c r="F1006">
        <v>10294</v>
      </c>
      <c r="G1006">
        <v>123000</v>
      </c>
      <c r="H1006">
        <v>132043</v>
      </c>
      <c r="I1006">
        <v>172851</v>
      </c>
      <c r="J1006">
        <v>98.2</v>
      </c>
    </row>
    <row r="1007" spans="1:10" x14ac:dyDescent="0.2">
      <c r="A1007">
        <v>2013</v>
      </c>
      <c r="B1007" s="1" t="s">
        <v>17</v>
      </c>
      <c r="C1007" s="1" t="s">
        <v>14</v>
      </c>
      <c r="D1007">
        <v>0</v>
      </c>
      <c r="E1007">
        <v>0</v>
      </c>
      <c r="F1007">
        <v>10293</v>
      </c>
      <c r="G1007">
        <v>92500</v>
      </c>
      <c r="H1007">
        <v>109322</v>
      </c>
      <c r="I1007">
        <v>129990</v>
      </c>
      <c r="J1007">
        <v>98.2</v>
      </c>
    </row>
    <row r="1008" spans="1:10" x14ac:dyDescent="0.2">
      <c r="A1008">
        <v>2013</v>
      </c>
      <c r="B1008" s="1" t="s">
        <v>18</v>
      </c>
      <c r="C1008" s="1" t="s">
        <v>11</v>
      </c>
      <c r="D1008">
        <v>0</v>
      </c>
      <c r="E1008">
        <v>0</v>
      </c>
      <c r="F1008">
        <v>17488</v>
      </c>
      <c r="G1008">
        <v>230000</v>
      </c>
      <c r="H1008">
        <v>270451</v>
      </c>
      <c r="I1008">
        <v>323218</v>
      </c>
      <c r="J1008">
        <v>98.2</v>
      </c>
    </row>
    <row r="1009" spans="1:10" x14ac:dyDescent="0.2">
      <c r="A1009">
        <v>2013</v>
      </c>
      <c r="B1009" s="1" t="s">
        <v>18</v>
      </c>
      <c r="C1009" s="1" t="s">
        <v>12</v>
      </c>
      <c r="D1009">
        <v>0</v>
      </c>
      <c r="E1009">
        <v>0</v>
      </c>
      <c r="F1009">
        <v>9404</v>
      </c>
      <c r="G1009">
        <v>100000</v>
      </c>
      <c r="H1009">
        <v>115434</v>
      </c>
      <c r="I1009">
        <v>140530</v>
      </c>
      <c r="J1009">
        <v>98.2</v>
      </c>
    </row>
    <row r="1010" spans="1:10" x14ac:dyDescent="0.2">
      <c r="A1010">
        <v>2013</v>
      </c>
      <c r="B1010" s="1" t="s">
        <v>18</v>
      </c>
      <c r="C1010" s="1" t="s">
        <v>13</v>
      </c>
      <c r="D1010">
        <v>0</v>
      </c>
      <c r="E1010">
        <v>0</v>
      </c>
      <c r="F1010">
        <v>29479</v>
      </c>
      <c r="G1010">
        <v>137500</v>
      </c>
      <c r="H1010">
        <v>153819</v>
      </c>
      <c r="I1010">
        <v>193228</v>
      </c>
      <c r="J1010">
        <v>98.2</v>
      </c>
    </row>
    <row r="1011" spans="1:10" x14ac:dyDescent="0.2">
      <c r="A1011">
        <v>2013</v>
      </c>
      <c r="B1011" s="1" t="s">
        <v>18</v>
      </c>
      <c r="C1011" s="1" t="s">
        <v>14</v>
      </c>
      <c r="D1011">
        <v>0</v>
      </c>
      <c r="E1011">
        <v>0</v>
      </c>
      <c r="F1011">
        <v>28111</v>
      </c>
      <c r="G1011">
        <v>95000</v>
      </c>
      <c r="H1011">
        <v>109823</v>
      </c>
      <c r="I1011">
        <v>133503</v>
      </c>
      <c r="J1011">
        <v>98.2</v>
      </c>
    </row>
    <row r="1012" spans="1:10" x14ac:dyDescent="0.2">
      <c r="A1012">
        <v>2013</v>
      </c>
      <c r="B1012" s="1" t="s">
        <v>19</v>
      </c>
      <c r="C1012" s="1" t="s">
        <v>11</v>
      </c>
      <c r="D1012">
        <v>0</v>
      </c>
      <c r="E1012">
        <v>0</v>
      </c>
      <c r="F1012">
        <v>39465</v>
      </c>
      <c r="G1012">
        <v>375000</v>
      </c>
      <c r="H1012">
        <v>468099</v>
      </c>
      <c r="I1012">
        <v>526986</v>
      </c>
      <c r="J1012">
        <v>98.2</v>
      </c>
    </row>
    <row r="1013" spans="1:10" x14ac:dyDescent="0.2">
      <c r="A1013">
        <v>2013</v>
      </c>
      <c r="B1013" s="1" t="s">
        <v>19</v>
      </c>
      <c r="C1013" s="1" t="s">
        <v>12</v>
      </c>
      <c r="D1013">
        <v>0</v>
      </c>
      <c r="E1013">
        <v>0</v>
      </c>
      <c r="F1013">
        <v>29236</v>
      </c>
      <c r="G1013">
        <v>158000</v>
      </c>
      <c r="H1013">
        <v>176017</v>
      </c>
      <c r="I1013">
        <v>222037</v>
      </c>
      <c r="J1013">
        <v>98.2</v>
      </c>
    </row>
    <row r="1014" spans="1:10" x14ac:dyDescent="0.2">
      <c r="A1014">
        <v>2013</v>
      </c>
      <c r="B1014" s="1" t="s">
        <v>19</v>
      </c>
      <c r="C1014" s="1" t="s">
        <v>13</v>
      </c>
      <c r="D1014">
        <v>0</v>
      </c>
      <c r="E1014">
        <v>0</v>
      </c>
      <c r="F1014">
        <v>35759</v>
      </c>
      <c r="G1014">
        <v>243000</v>
      </c>
      <c r="H1014">
        <v>270751</v>
      </c>
      <c r="I1014">
        <v>341487</v>
      </c>
      <c r="J1014">
        <v>98.2</v>
      </c>
    </row>
    <row r="1015" spans="1:10" x14ac:dyDescent="0.2">
      <c r="A1015">
        <v>2013</v>
      </c>
      <c r="B1015" s="1" t="s">
        <v>19</v>
      </c>
      <c r="C1015" s="1" t="s">
        <v>14</v>
      </c>
      <c r="D1015">
        <v>0</v>
      </c>
      <c r="E1015">
        <v>0</v>
      </c>
      <c r="F1015">
        <v>40331</v>
      </c>
      <c r="G1015">
        <v>200000</v>
      </c>
      <c r="H1015">
        <v>224122</v>
      </c>
      <c r="I1015">
        <v>281059</v>
      </c>
      <c r="J1015">
        <v>98.2</v>
      </c>
    </row>
    <row r="1016" spans="1:10" x14ac:dyDescent="0.2">
      <c r="A1016">
        <v>2013</v>
      </c>
      <c r="B1016" s="1" t="s">
        <v>20</v>
      </c>
      <c r="C1016" s="1" t="s">
        <v>11</v>
      </c>
      <c r="D1016">
        <v>0</v>
      </c>
      <c r="E1016">
        <v>0</v>
      </c>
      <c r="F1016">
        <v>26983</v>
      </c>
      <c r="G1016">
        <v>275000</v>
      </c>
      <c r="H1016">
        <v>327083</v>
      </c>
      <c r="I1016">
        <v>386456</v>
      </c>
      <c r="J1016">
        <v>98.2</v>
      </c>
    </row>
    <row r="1017" spans="1:10" x14ac:dyDescent="0.2">
      <c r="A1017">
        <v>2013</v>
      </c>
      <c r="B1017" s="1" t="s">
        <v>20</v>
      </c>
      <c r="C1017" s="1" t="s">
        <v>12</v>
      </c>
      <c r="D1017">
        <v>0</v>
      </c>
      <c r="E1017">
        <v>0</v>
      </c>
      <c r="F1017">
        <v>14958</v>
      </c>
      <c r="G1017">
        <v>135972</v>
      </c>
      <c r="H1017">
        <v>160358</v>
      </c>
      <c r="I1017">
        <v>191082</v>
      </c>
      <c r="J1017">
        <v>98.2</v>
      </c>
    </row>
    <row r="1018" spans="1:10" x14ac:dyDescent="0.2">
      <c r="A1018">
        <v>2013</v>
      </c>
      <c r="B1018" s="1" t="s">
        <v>20</v>
      </c>
      <c r="C1018" s="1" t="s">
        <v>13</v>
      </c>
      <c r="D1018">
        <v>0</v>
      </c>
      <c r="E1018">
        <v>0</v>
      </c>
      <c r="F1018">
        <v>20856</v>
      </c>
      <c r="G1018">
        <v>184995</v>
      </c>
      <c r="H1018">
        <v>206975</v>
      </c>
      <c r="I1018">
        <v>259973</v>
      </c>
      <c r="J1018">
        <v>98.2</v>
      </c>
    </row>
    <row r="1019" spans="1:10" x14ac:dyDescent="0.2">
      <c r="A1019">
        <v>2013</v>
      </c>
      <c r="B1019" s="1" t="s">
        <v>20</v>
      </c>
      <c r="C1019" s="1" t="s">
        <v>14</v>
      </c>
      <c r="D1019">
        <v>0</v>
      </c>
      <c r="E1019">
        <v>0</v>
      </c>
      <c r="F1019">
        <v>27107</v>
      </c>
      <c r="G1019">
        <v>161000</v>
      </c>
      <c r="H1019">
        <v>183498</v>
      </c>
      <c r="I1019">
        <v>226253</v>
      </c>
      <c r="J1019">
        <v>98.2</v>
      </c>
    </row>
    <row r="1020" spans="1:10" x14ac:dyDescent="0.2">
      <c r="A1020">
        <v>2013</v>
      </c>
      <c r="B1020" s="1" t="s">
        <v>21</v>
      </c>
      <c r="C1020" s="1" t="s">
        <v>11</v>
      </c>
      <c r="D1020">
        <v>0</v>
      </c>
      <c r="E1020">
        <v>0</v>
      </c>
      <c r="F1020">
        <v>11240</v>
      </c>
      <c r="G1020">
        <v>200000</v>
      </c>
      <c r="H1020">
        <v>221998</v>
      </c>
      <c r="I1020">
        <v>281059</v>
      </c>
      <c r="J1020">
        <v>98.2</v>
      </c>
    </row>
    <row r="1021" spans="1:10" x14ac:dyDescent="0.2">
      <c r="A1021">
        <v>2013</v>
      </c>
      <c r="B1021" s="1" t="s">
        <v>21</v>
      </c>
      <c r="C1021" s="1" t="s">
        <v>12</v>
      </c>
      <c r="D1021">
        <v>0</v>
      </c>
      <c r="E1021">
        <v>0</v>
      </c>
      <c r="F1021">
        <v>2715</v>
      </c>
      <c r="G1021">
        <v>106000</v>
      </c>
      <c r="H1021">
        <v>116929</v>
      </c>
      <c r="I1021">
        <v>148961</v>
      </c>
      <c r="J1021">
        <v>98.2</v>
      </c>
    </row>
    <row r="1022" spans="1:10" x14ac:dyDescent="0.2">
      <c r="A1022">
        <v>2013</v>
      </c>
      <c r="B1022" s="1" t="s">
        <v>21</v>
      </c>
      <c r="C1022" s="1" t="s">
        <v>13</v>
      </c>
      <c r="D1022">
        <v>0</v>
      </c>
      <c r="E1022">
        <v>0</v>
      </c>
      <c r="F1022">
        <v>10777</v>
      </c>
      <c r="G1022">
        <v>125000</v>
      </c>
      <c r="H1022">
        <v>138275</v>
      </c>
      <c r="I1022">
        <v>175662</v>
      </c>
      <c r="J1022">
        <v>98.2</v>
      </c>
    </row>
    <row r="1023" spans="1:10" x14ac:dyDescent="0.2">
      <c r="A1023">
        <v>2013</v>
      </c>
      <c r="B1023" s="1" t="s">
        <v>21</v>
      </c>
      <c r="C1023" s="1" t="s">
        <v>14</v>
      </c>
      <c r="D1023">
        <v>0</v>
      </c>
      <c r="E1023">
        <v>0</v>
      </c>
      <c r="F1023">
        <v>11620</v>
      </c>
      <c r="G1023">
        <v>100000</v>
      </c>
      <c r="H1023">
        <v>113619</v>
      </c>
      <c r="I1023">
        <v>140530</v>
      </c>
      <c r="J1023">
        <v>98.2</v>
      </c>
    </row>
    <row r="1024" spans="1:10" x14ac:dyDescent="0.2">
      <c r="A1024">
        <v>2013</v>
      </c>
      <c r="B1024" s="1" t="s">
        <v>22</v>
      </c>
      <c r="C1024" s="1" t="s">
        <v>11</v>
      </c>
      <c r="D1024">
        <v>0</v>
      </c>
      <c r="E1024">
        <v>0</v>
      </c>
      <c r="F1024">
        <v>18315</v>
      </c>
      <c r="G1024">
        <v>240000</v>
      </c>
      <c r="H1024">
        <v>276248</v>
      </c>
      <c r="I1024">
        <v>337271</v>
      </c>
      <c r="J1024">
        <v>98.2</v>
      </c>
    </row>
    <row r="1025" spans="1:10" x14ac:dyDescent="0.2">
      <c r="A1025">
        <v>2013</v>
      </c>
      <c r="B1025" s="1" t="s">
        <v>22</v>
      </c>
      <c r="C1025" s="1" t="s">
        <v>12</v>
      </c>
      <c r="D1025">
        <v>0</v>
      </c>
      <c r="E1025">
        <v>0</v>
      </c>
      <c r="F1025">
        <v>7018</v>
      </c>
      <c r="G1025">
        <v>105000</v>
      </c>
      <c r="H1025">
        <v>115583</v>
      </c>
      <c r="I1025">
        <v>147556</v>
      </c>
      <c r="J1025">
        <v>98.2</v>
      </c>
    </row>
    <row r="1026" spans="1:10" x14ac:dyDescent="0.2">
      <c r="A1026">
        <v>2013</v>
      </c>
      <c r="B1026" s="1" t="s">
        <v>22</v>
      </c>
      <c r="C1026" s="1" t="s">
        <v>13</v>
      </c>
      <c r="D1026">
        <v>0</v>
      </c>
      <c r="E1026">
        <v>0</v>
      </c>
      <c r="F1026">
        <v>22355</v>
      </c>
      <c r="G1026">
        <v>143000</v>
      </c>
      <c r="H1026">
        <v>156288</v>
      </c>
      <c r="I1026">
        <v>200957</v>
      </c>
      <c r="J1026">
        <v>98.2</v>
      </c>
    </row>
    <row r="1027" spans="1:10" x14ac:dyDescent="0.2">
      <c r="A1027">
        <v>2013</v>
      </c>
      <c r="B1027" s="1" t="s">
        <v>22</v>
      </c>
      <c r="C1027" s="1" t="s">
        <v>14</v>
      </c>
      <c r="D1027">
        <v>0</v>
      </c>
      <c r="E1027">
        <v>0</v>
      </c>
      <c r="F1027">
        <v>19257</v>
      </c>
      <c r="G1027">
        <v>120000</v>
      </c>
      <c r="H1027">
        <v>132553</v>
      </c>
      <c r="I1027">
        <v>168635</v>
      </c>
      <c r="J1027">
        <v>98.2</v>
      </c>
    </row>
    <row r="1028" spans="1:10" x14ac:dyDescent="0.2">
      <c r="A1028">
        <v>2013</v>
      </c>
      <c r="B1028" s="1" t="s">
        <v>23</v>
      </c>
      <c r="C1028" s="1" t="s">
        <v>11</v>
      </c>
      <c r="D1028">
        <v>0</v>
      </c>
      <c r="E1028">
        <v>0</v>
      </c>
      <c r="F1028">
        <v>15905</v>
      </c>
      <c r="G1028">
        <v>220000</v>
      </c>
      <c r="H1028">
        <v>250625</v>
      </c>
      <c r="I1028">
        <v>309165</v>
      </c>
      <c r="J1028">
        <v>98.2</v>
      </c>
    </row>
    <row r="1029" spans="1:10" x14ac:dyDescent="0.2">
      <c r="A1029">
        <v>2013</v>
      </c>
      <c r="B1029" s="1" t="s">
        <v>23</v>
      </c>
      <c r="C1029" s="1" t="s">
        <v>12</v>
      </c>
      <c r="D1029">
        <v>0</v>
      </c>
      <c r="E1029">
        <v>0</v>
      </c>
      <c r="F1029">
        <v>5688</v>
      </c>
      <c r="G1029">
        <v>102000</v>
      </c>
      <c r="H1029">
        <v>116257</v>
      </c>
      <c r="I1029">
        <v>143340</v>
      </c>
      <c r="J1029">
        <v>98.2</v>
      </c>
    </row>
    <row r="1030" spans="1:10" x14ac:dyDescent="0.2">
      <c r="A1030">
        <v>2013</v>
      </c>
      <c r="B1030" s="1" t="s">
        <v>23</v>
      </c>
      <c r="C1030" s="1" t="s">
        <v>13</v>
      </c>
      <c r="D1030">
        <v>0</v>
      </c>
      <c r="E1030">
        <v>0</v>
      </c>
      <c r="F1030">
        <v>23302</v>
      </c>
      <c r="G1030">
        <v>130000</v>
      </c>
      <c r="H1030">
        <v>144760</v>
      </c>
      <c r="I1030">
        <v>182688</v>
      </c>
      <c r="J1030">
        <v>98.2</v>
      </c>
    </row>
    <row r="1031" spans="1:10" x14ac:dyDescent="0.2">
      <c r="A1031">
        <v>2013</v>
      </c>
      <c r="B1031" s="1" t="s">
        <v>23</v>
      </c>
      <c r="C1031" s="1" t="s">
        <v>14</v>
      </c>
      <c r="D1031">
        <v>0</v>
      </c>
      <c r="E1031">
        <v>0</v>
      </c>
      <c r="F1031">
        <v>21709</v>
      </c>
      <c r="G1031">
        <v>105000</v>
      </c>
      <c r="H1031">
        <v>119112</v>
      </c>
      <c r="I1031">
        <v>147556</v>
      </c>
      <c r="J1031">
        <v>98.2</v>
      </c>
    </row>
    <row r="1032" spans="1:10" x14ac:dyDescent="0.2">
      <c r="A1032">
        <v>2013</v>
      </c>
      <c r="B1032" s="1" t="s">
        <v>10</v>
      </c>
      <c r="C1032" s="1" t="s">
        <v>24</v>
      </c>
      <c r="D1032">
        <v>0</v>
      </c>
      <c r="E1032">
        <v>1</v>
      </c>
      <c r="F1032">
        <v>65357</v>
      </c>
      <c r="G1032">
        <v>141500</v>
      </c>
      <c r="H1032">
        <v>166649</v>
      </c>
      <c r="I1032">
        <v>198849</v>
      </c>
      <c r="J1032">
        <v>98.2</v>
      </c>
    </row>
    <row r="1033" spans="1:10" x14ac:dyDescent="0.2">
      <c r="A1033">
        <v>2013</v>
      </c>
      <c r="B1033" s="1" t="s">
        <v>15</v>
      </c>
      <c r="C1033" s="1" t="s">
        <v>24</v>
      </c>
      <c r="D1033">
        <v>0</v>
      </c>
      <c r="E1033">
        <v>1</v>
      </c>
      <c r="F1033">
        <v>95602</v>
      </c>
      <c r="G1033">
        <v>200000</v>
      </c>
      <c r="H1033">
        <v>243842</v>
      </c>
      <c r="I1033">
        <v>281059</v>
      </c>
      <c r="J1033">
        <v>98.2</v>
      </c>
    </row>
    <row r="1034" spans="1:10" x14ac:dyDescent="0.2">
      <c r="A1034">
        <v>2013</v>
      </c>
      <c r="B1034" s="1" t="s">
        <v>16</v>
      </c>
      <c r="C1034" s="1" t="s">
        <v>24</v>
      </c>
      <c r="D1034">
        <v>0</v>
      </c>
      <c r="E1034">
        <v>1</v>
      </c>
      <c r="F1034">
        <v>111321</v>
      </c>
      <c r="G1034">
        <v>323500</v>
      </c>
      <c r="H1034">
        <v>473863</v>
      </c>
      <c r="I1034">
        <v>454613</v>
      </c>
      <c r="J1034">
        <v>98.2</v>
      </c>
    </row>
    <row r="1035" spans="1:10" x14ac:dyDescent="0.2">
      <c r="A1035">
        <v>2013</v>
      </c>
      <c r="B1035" s="1" t="s">
        <v>17</v>
      </c>
      <c r="C1035" s="1" t="s">
        <v>24</v>
      </c>
      <c r="D1035">
        <v>0</v>
      </c>
      <c r="E1035">
        <v>1</v>
      </c>
      <c r="F1035">
        <v>30043</v>
      </c>
      <c r="G1035">
        <v>122500</v>
      </c>
      <c r="H1035">
        <v>141290</v>
      </c>
      <c r="I1035">
        <v>172149</v>
      </c>
      <c r="J1035">
        <v>98.2</v>
      </c>
    </row>
    <row r="1036" spans="1:10" x14ac:dyDescent="0.2">
      <c r="A1036">
        <v>2013</v>
      </c>
      <c r="B1036" s="1" t="s">
        <v>18</v>
      </c>
      <c r="C1036" s="1" t="s">
        <v>24</v>
      </c>
      <c r="D1036">
        <v>0</v>
      </c>
      <c r="E1036">
        <v>1</v>
      </c>
      <c r="F1036">
        <v>84482</v>
      </c>
      <c r="G1036">
        <v>132000</v>
      </c>
      <c r="H1036">
        <v>159050</v>
      </c>
      <c r="I1036">
        <v>185499</v>
      </c>
      <c r="J1036">
        <v>98.2</v>
      </c>
    </row>
    <row r="1037" spans="1:10" x14ac:dyDescent="0.2">
      <c r="A1037">
        <v>2013</v>
      </c>
      <c r="B1037" s="1" t="s">
        <v>19</v>
      </c>
      <c r="C1037" s="1" t="s">
        <v>24</v>
      </c>
      <c r="D1037">
        <v>0</v>
      </c>
      <c r="E1037">
        <v>1</v>
      </c>
      <c r="F1037">
        <v>144791</v>
      </c>
      <c r="G1037">
        <v>235000</v>
      </c>
      <c r="H1037">
        <v>292425</v>
      </c>
      <c r="I1037">
        <v>330244</v>
      </c>
      <c r="J1037">
        <v>98.2</v>
      </c>
    </row>
    <row r="1038" spans="1:10" x14ac:dyDescent="0.2">
      <c r="A1038">
        <v>2013</v>
      </c>
      <c r="B1038" s="1" t="s">
        <v>20</v>
      </c>
      <c r="C1038" s="1" t="s">
        <v>24</v>
      </c>
      <c r="D1038">
        <v>0</v>
      </c>
      <c r="E1038">
        <v>1</v>
      </c>
      <c r="F1038">
        <v>89904</v>
      </c>
      <c r="G1038">
        <v>190000</v>
      </c>
      <c r="H1038">
        <v>228189</v>
      </c>
      <c r="I1038">
        <v>267006</v>
      </c>
      <c r="J1038">
        <v>98.2</v>
      </c>
    </row>
    <row r="1039" spans="1:10" x14ac:dyDescent="0.2">
      <c r="A1039">
        <v>2013</v>
      </c>
      <c r="B1039" s="1" t="s">
        <v>21</v>
      </c>
      <c r="C1039" s="1" t="s">
        <v>24</v>
      </c>
      <c r="D1039">
        <v>0</v>
      </c>
      <c r="E1039">
        <v>1</v>
      </c>
      <c r="F1039">
        <v>36352</v>
      </c>
      <c r="G1039">
        <v>135000</v>
      </c>
      <c r="H1039">
        <v>154686</v>
      </c>
      <c r="I1039">
        <v>189715</v>
      </c>
      <c r="J1039">
        <v>98.2</v>
      </c>
    </row>
    <row r="1040" spans="1:10" x14ac:dyDescent="0.2">
      <c r="A1040">
        <v>2013</v>
      </c>
      <c r="B1040" s="1" t="s">
        <v>22</v>
      </c>
      <c r="C1040" s="1" t="s">
        <v>24</v>
      </c>
      <c r="D1040">
        <v>0</v>
      </c>
      <c r="E1040">
        <v>1</v>
      </c>
      <c r="F1040">
        <v>66945</v>
      </c>
      <c r="G1040">
        <v>149995</v>
      </c>
      <c r="H1040">
        <v>178012</v>
      </c>
      <c r="I1040">
        <v>210787</v>
      </c>
      <c r="J1040">
        <v>98.2</v>
      </c>
    </row>
    <row r="1041" spans="1:10" x14ac:dyDescent="0.2">
      <c r="A1041">
        <v>2013</v>
      </c>
      <c r="B1041" s="1" t="s">
        <v>23</v>
      </c>
      <c r="C1041" s="1" t="s">
        <v>24</v>
      </c>
      <c r="D1041">
        <v>0</v>
      </c>
      <c r="E1041">
        <v>1</v>
      </c>
      <c r="F1041">
        <v>66604</v>
      </c>
      <c r="G1041">
        <v>134950</v>
      </c>
      <c r="H1041">
        <v>159247</v>
      </c>
      <c r="I1041">
        <v>189645</v>
      </c>
      <c r="J1041">
        <v>98.2</v>
      </c>
    </row>
    <row r="1042" spans="1:10" x14ac:dyDescent="0.2">
      <c r="A1042">
        <v>2013</v>
      </c>
      <c r="B1042" s="1" t="s">
        <v>25</v>
      </c>
      <c r="C1042" s="1" t="s">
        <v>11</v>
      </c>
      <c r="D1042">
        <v>1</v>
      </c>
      <c r="E1042">
        <v>0</v>
      </c>
      <c r="F1042">
        <v>194002</v>
      </c>
      <c r="G1042">
        <v>260000</v>
      </c>
      <c r="H1042">
        <v>335077</v>
      </c>
      <c r="I1042">
        <v>365377</v>
      </c>
      <c r="J1042">
        <v>98.2</v>
      </c>
    </row>
    <row r="1043" spans="1:10" x14ac:dyDescent="0.2">
      <c r="A1043">
        <v>2013</v>
      </c>
      <c r="B1043" s="1" t="s">
        <v>25</v>
      </c>
      <c r="C1043" s="1" t="s">
        <v>12</v>
      </c>
      <c r="D1043">
        <v>1</v>
      </c>
      <c r="E1043">
        <v>0</v>
      </c>
      <c r="F1043">
        <v>150721</v>
      </c>
      <c r="G1043">
        <v>175000</v>
      </c>
      <c r="H1043">
        <v>251756</v>
      </c>
      <c r="I1043">
        <v>245927</v>
      </c>
      <c r="J1043">
        <v>98.2</v>
      </c>
    </row>
    <row r="1044" spans="1:10" x14ac:dyDescent="0.2">
      <c r="A1044">
        <v>2013</v>
      </c>
      <c r="B1044" s="1" t="s">
        <v>25</v>
      </c>
      <c r="C1044" s="1" t="s">
        <v>13</v>
      </c>
      <c r="D1044">
        <v>1</v>
      </c>
      <c r="E1044">
        <v>0</v>
      </c>
      <c r="F1044">
        <v>215145</v>
      </c>
      <c r="G1044">
        <v>167500</v>
      </c>
      <c r="H1044">
        <v>208154</v>
      </c>
      <c r="I1044">
        <v>235387</v>
      </c>
      <c r="J1044">
        <v>98.2</v>
      </c>
    </row>
    <row r="1045" spans="1:10" x14ac:dyDescent="0.2">
      <c r="A1045">
        <v>2013</v>
      </c>
      <c r="B1045" s="1" t="s">
        <v>25</v>
      </c>
      <c r="C1045" s="1" t="s">
        <v>14</v>
      </c>
      <c r="D1045">
        <v>1</v>
      </c>
      <c r="E1045">
        <v>0</v>
      </c>
      <c r="F1045">
        <v>231771</v>
      </c>
      <c r="G1045">
        <v>152500</v>
      </c>
      <c r="H1045">
        <v>207001</v>
      </c>
      <c r="I1045">
        <v>214308</v>
      </c>
      <c r="J1045">
        <v>98.2</v>
      </c>
    </row>
    <row r="1046" spans="1:10" x14ac:dyDescent="0.2">
      <c r="A1046">
        <v>2013</v>
      </c>
      <c r="B1046" s="1" t="s">
        <v>25</v>
      </c>
      <c r="C1046" s="1" t="s">
        <v>24</v>
      </c>
      <c r="D1046">
        <v>1</v>
      </c>
      <c r="E1046">
        <v>1</v>
      </c>
      <c r="F1046">
        <v>791639</v>
      </c>
      <c r="G1046">
        <v>185000</v>
      </c>
      <c r="H1046">
        <v>247222</v>
      </c>
      <c r="I1046">
        <v>259980</v>
      </c>
      <c r="J1046">
        <v>98.2</v>
      </c>
    </row>
    <row r="1047" spans="1:10" x14ac:dyDescent="0.2">
      <c r="A1047">
        <v>2014</v>
      </c>
      <c r="B1047" s="1" t="s">
        <v>10</v>
      </c>
      <c r="C1047" s="1" t="s">
        <v>11</v>
      </c>
      <c r="D1047">
        <v>0</v>
      </c>
      <c r="E1047">
        <v>0</v>
      </c>
      <c r="F1047">
        <v>28666</v>
      </c>
      <c r="G1047">
        <v>219950</v>
      </c>
      <c r="H1047">
        <v>247120</v>
      </c>
      <c r="I1047">
        <v>304750</v>
      </c>
      <c r="J1047">
        <v>99.6</v>
      </c>
    </row>
    <row r="1048" spans="1:10" x14ac:dyDescent="0.2">
      <c r="A1048">
        <v>2014</v>
      </c>
      <c r="B1048" s="1" t="s">
        <v>10</v>
      </c>
      <c r="C1048" s="1" t="s">
        <v>12</v>
      </c>
      <c r="D1048">
        <v>0</v>
      </c>
      <c r="E1048">
        <v>0</v>
      </c>
      <c r="F1048">
        <v>4949</v>
      </c>
      <c r="G1048">
        <v>97700</v>
      </c>
      <c r="H1048">
        <v>108729</v>
      </c>
      <c r="I1048">
        <v>135367</v>
      </c>
      <c r="J1048">
        <v>99.6</v>
      </c>
    </row>
    <row r="1049" spans="1:10" x14ac:dyDescent="0.2">
      <c r="A1049">
        <v>2014</v>
      </c>
      <c r="B1049" s="1" t="s">
        <v>10</v>
      </c>
      <c r="C1049" s="1" t="s">
        <v>13</v>
      </c>
      <c r="D1049">
        <v>0</v>
      </c>
      <c r="E1049">
        <v>0</v>
      </c>
      <c r="F1049">
        <v>24251</v>
      </c>
      <c r="G1049">
        <v>136000</v>
      </c>
      <c r="H1049">
        <v>147444</v>
      </c>
      <c r="I1049">
        <v>188434</v>
      </c>
      <c r="J1049">
        <v>99.6</v>
      </c>
    </row>
    <row r="1050" spans="1:10" x14ac:dyDescent="0.2">
      <c r="A1050">
        <v>2014</v>
      </c>
      <c r="B1050" s="1" t="s">
        <v>10</v>
      </c>
      <c r="C1050" s="1" t="s">
        <v>14</v>
      </c>
      <c r="D1050">
        <v>0</v>
      </c>
      <c r="E1050">
        <v>0</v>
      </c>
      <c r="F1050">
        <v>20339</v>
      </c>
      <c r="G1050">
        <v>119400</v>
      </c>
      <c r="H1050">
        <v>128295</v>
      </c>
      <c r="I1050">
        <v>165434</v>
      </c>
      <c r="J1050">
        <v>99.6</v>
      </c>
    </row>
    <row r="1051" spans="1:10" x14ac:dyDescent="0.2">
      <c r="A1051">
        <v>2014</v>
      </c>
      <c r="B1051" s="1" t="s">
        <v>15</v>
      </c>
      <c r="C1051" s="1" t="s">
        <v>11</v>
      </c>
      <c r="D1051">
        <v>0</v>
      </c>
      <c r="E1051">
        <v>0</v>
      </c>
      <c r="F1051">
        <v>33058</v>
      </c>
      <c r="G1051">
        <v>300000</v>
      </c>
      <c r="H1051">
        <v>371094</v>
      </c>
      <c r="I1051">
        <v>415663</v>
      </c>
      <c r="J1051">
        <v>99.6</v>
      </c>
    </row>
    <row r="1052" spans="1:10" x14ac:dyDescent="0.2">
      <c r="A1052">
        <v>2014</v>
      </c>
      <c r="B1052" s="1" t="s">
        <v>15</v>
      </c>
      <c r="C1052" s="1" t="s">
        <v>12</v>
      </c>
      <c r="D1052">
        <v>0</v>
      </c>
      <c r="E1052">
        <v>0</v>
      </c>
      <c r="F1052">
        <v>18828</v>
      </c>
      <c r="G1052">
        <v>150000</v>
      </c>
      <c r="H1052">
        <v>171219</v>
      </c>
      <c r="I1052">
        <v>207831</v>
      </c>
      <c r="J1052">
        <v>99.6</v>
      </c>
    </row>
    <row r="1053" spans="1:10" x14ac:dyDescent="0.2">
      <c r="A1053">
        <v>2014</v>
      </c>
      <c r="B1053" s="1" t="s">
        <v>15</v>
      </c>
      <c r="C1053" s="1" t="s">
        <v>13</v>
      </c>
      <c r="D1053">
        <v>0</v>
      </c>
      <c r="E1053">
        <v>0</v>
      </c>
      <c r="F1053">
        <v>28838</v>
      </c>
      <c r="G1053">
        <v>216538</v>
      </c>
      <c r="H1053">
        <v>246088</v>
      </c>
      <c r="I1053">
        <v>300022</v>
      </c>
      <c r="J1053">
        <v>99.6</v>
      </c>
    </row>
    <row r="1054" spans="1:10" x14ac:dyDescent="0.2">
      <c r="A1054">
        <v>2014</v>
      </c>
      <c r="B1054" s="1" t="s">
        <v>15</v>
      </c>
      <c r="C1054" s="1" t="s">
        <v>14</v>
      </c>
      <c r="D1054">
        <v>0</v>
      </c>
      <c r="E1054">
        <v>0</v>
      </c>
      <c r="F1054">
        <v>31645</v>
      </c>
      <c r="G1054">
        <v>185000</v>
      </c>
      <c r="H1054">
        <v>212610</v>
      </c>
      <c r="I1054">
        <v>256325</v>
      </c>
      <c r="J1054">
        <v>99.6</v>
      </c>
    </row>
    <row r="1055" spans="1:10" x14ac:dyDescent="0.2">
      <c r="A1055">
        <v>2014</v>
      </c>
      <c r="B1055" s="1" t="s">
        <v>16</v>
      </c>
      <c r="C1055" s="1" t="s">
        <v>11</v>
      </c>
      <c r="D1055">
        <v>0</v>
      </c>
      <c r="E1055">
        <v>0</v>
      </c>
      <c r="F1055">
        <v>5652</v>
      </c>
      <c r="G1055">
        <v>635000</v>
      </c>
      <c r="H1055">
        <v>907769</v>
      </c>
      <c r="I1055">
        <v>879819</v>
      </c>
      <c r="J1055">
        <v>99.6</v>
      </c>
    </row>
    <row r="1056" spans="1:10" x14ac:dyDescent="0.2">
      <c r="A1056">
        <v>2014</v>
      </c>
      <c r="B1056" s="1" t="s">
        <v>16</v>
      </c>
      <c r="C1056" s="1" t="s">
        <v>12</v>
      </c>
      <c r="D1056">
        <v>0</v>
      </c>
      <c r="E1056">
        <v>0</v>
      </c>
      <c r="F1056">
        <v>66579</v>
      </c>
      <c r="G1056">
        <v>330000</v>
      </c>
      <c r="H1056">
        <v>456397</v>
      </c>
      <c r="I1056">
        <v>457229</v>
      </c>
      <c r="J1056">
        <v>99.6</v>
      </c>
    </row>
    <row r="1057" spans="1:10" x14ac:dyDescent="0.2">
      <c r="A1057">
        <v>2014</v>
      </c>
      <c r="B1057" s="1" t="s">
        <v>16</v>
      </c>
      <c r="C1057" s="1" t="s">
        <v>13</v>
      </c>
      <c r="D1057">
        <v>0</v>
      </c>
      <c r="E1057">
        <v>0</v>
      </c>
      <c r="F1057">
        <v>15529</v>
      </c>
      <c r="G1057">
        <v>415000</v>
      </c>
      <c r="H1057">
        <v>553303</v>
      </c>
      <c r="I1057">
        <v>575000</v>
      </c>
      <c r="J1057">
        <v>99.6</v>
      </c>
    </row>
    <row r="1058" spans="1:10" x14ac:dyDescent="0.2">
      <c r="A1058">
        <v>2014</v>
      </c>
      <c r="B1058" s="1" t="s">
        <v>16</v>
      </c>
      <c r="C1058" s="1" t="s">
        <v>14</v>
      </c>
      <c r="D1058">
        <v>0</v>
      </c>
      <c r="E1058">
        <v>0</v>
      </c>
      <c r="F1058">
        <v>30862</v>
      </c>
      <c r="G1058">
        <v>375000</v>
      </c>
      <c r="H1058">
        <v>589568</v>
      </c>
      <c r="I1058">
        <v>519578</v>
      </c>
      <c r="J1058">
        <v>99.6</v>
      </c>
    </row>
    <row r="1059" spans="1:10" x14ac:dyDescent="0.2">
      <c r="A1059">
        <v>2014</v>
      </c>
      <c r="B1059" s="1" t="s">
        <v>17</v>
      </c>
      <c r="C1059" s="1" t="s">
        <v>11</v>
      </c>
      <c r="D1059">
        <v>0</v>
      </c>
      <c r="E1059">
        <v>0</v>
      </c>
      <c r="F1059">
        <v>7822</v>
      </c>
      <c r="G1059">
        <v>209495</v>
      </c>
      <c r="H1059">
        <v>238646</v>
      </c>
      <c r="I1059">
        <v>290264</v>
      </c>
      <c r="J1059">
        <v>99.6</v>
      </c>
    </row>
    <row r="1060" spans="1:10" x14ac:dyDescent="0.2">
      <c r="A1060">
        <v>2014</v>
      </c>
      <c r="B1060" s="1" t="s">
        <v>17</v>
      </c>
      <c r="C1060" s="1" t="s">
        <v>12</v>
      </c>
      <c r="D1060">
        <v>0</v>
      </c>
      <c r="E1060">
        <v>0</v>
      </c>
      <c r="F1060">
        <v>3895</v>
      </c>
      <c r="G1060">
        <v>90000</v>
      </c>
      <c r="H1060">
        <v>101319</v>
      </c>
      <c r="I1060">
        <v>124699</v>
      </c>
      <c r="J1060">
        <v>99.6</v>
      </c>
    </row>
    <row r="1061" spans="1:10" x14ac:dyDescent="0.2">
      <c r="A1061">
        <v>2014</v>
      </c>
      <c r="B1061" s="1" t="s">
        <v>17</v>
      </c>
      <c r="C1061" s="1" t="s">
        <v>13</v>
      </c>
      <c r="D1061">
        <v>0</v>
      </c>
      <c r="E1061">
        <v>0</v>
      </c>
      <c r="F1061">
        <v>11926</v>
      </c>
      <c r="G1061">
        <v>127000</v>
      </c>
      <c r="H1061">
        <v>138807</v>
      </c>
      <c r="I1061">
        <v>175964</v>
      </c>
      <c r="J1061">
        <v>99.6</v>
      </c>
    </row>
    <row r="1062" spans="1:10" x14ac:dyDescent="0.2">
      <c r="A1062">
        <v>2014</v>
      </c>
      <c r="B1062" s="1" t="s">
        <v>17</v>
      </c>
      <c r="C1062" s="1" t="s">
        <v>14</v>
      </c>
      <c r="D1062">
        <v>0</v>
      </c>
      <c r="E1062">
        <v>0</v>
      </c>
      <c r="F1062">
        <v>11728</v>
      </c>
      <c r="G1062">
        <v>95948</v>
      </c>
      <c r="H1062">
        <v>114028</v>
      </c>
      <c r="I1062">
        <v>132939</v>
      </c>
      <c r="J1062">
        <v>99.6</v>
      </c>
    </row>
    <row r="1063" spans="1:10" x14ac:dyDescent="0.2">
      <c r="A1063">
        <v>2014</v>
      </c>
      <c r="B1063" s="1" t="s">
        <v>18</v>
      </c>
      <c r="C1063" s="1" t="s">
        <v>11</v>
      </c>
      <c r="D1063">
        <v>0</v>
      </c>
      <c r="E1063">
        <v>0</v>
      </c>
      <c r="F1063">
        <v>21366</v>
      </c>
      <c r="G1063">
        <v>236995</v>
      </c>
      <c r="H1063">
        <v>279321</v>
      </c>
      <c r="I1063">
        <v>328367</v>
      </c>
      <c r="J1063">
        <v>99.6</v>
      </c>
    </row>
    <row r="1064" spans="1:10" x14ac:dyDescent="0.2">
      <c r="A1064">
        <v>2014</v>
      </c>
      <c r="B1064" s="1" t="s">
        <v>18</v>
      </c>
      <c r="C1064" s="1" t="s">
        <v>12</v>
      </c>
      <c r="D1064">
        <v>0</v>
      </c>
      <c r="E1064">
        <v>0</v>
      </c>
      <c r="F1064">
        <v>11909</v>
      </c>
      <c r="G1064">
        <v>108000</v>
      </c>
      <c r="H1064">
        <v>121279</v>
      </c>
      <c r="I1064">
        <v>149639</v>
      </c>
      <c r="J1064">
        <v>99.6</v>
      </c>
    </row>
    <row r="1065" spans="1:10" x14ac:dyDescent="0.2">
      <c r="A1065">
        <v>2014</v>
      </c>
      <c r="B1065" s="1" t="s">
        <v>18</v>
      </c>
      <c r="C1065" s="1" t="s">
        <v>13</v>
      </c>
      <c r="D1065">
        <v>0</v>
      </c>
      <c r="E1065">
        <v>0</v>
      </c>
      <c r="F1065">
        <v>34677</v>
      </c>
      <c r="G1065">
        <v>143250</v>
      </c>
      <c r="H1065">
        <v>161297</v>
      </c>
      <c r="I1065">
        <v>198479</v>
      </c>
      <c r="J1065">
        <v>99.6</v>
      </c>
    </row>
    <row r="1066" spans="1:10" x14ac:dyDescent="0.2">
      <c r="A1066">
        <v>2014</v>
      </c>
      <c r="B1066" s="1" t="s">
        <v>18</v>
      </c>
      <c r="C1066" s="1" t="s">
        <v>14</v>
      </c>
      <c r="D1066">
        <v>0</v>
      </c>
      <c r="E1066">
        <v>0</v>
      </c>
      <c r="F1066">
        <v>33511</v>
      </c>
      <c r="G1066">
        <v>100000</v>
      </c>
      <c r="H1066">
        <v>114975</v>
      </c>
      <c r="I1066">
        <v>138554</v>
      </c>
      <c r="J1066">
        <v>99.6</v>
      </c>
    </row>
    <row r="1067" spans="1:10" x14ac:dyDescent="0.2">
      <c r="A1067">
        <v>2014</v>
      </c>
      <c r="B1067" s="1" t="s">
        <v>19</v>
      </c>
      <c r="C1067" s="1" t="s">
        <v>11</v>
      </c>
      <c r="D1067">
        <v>0</v>
      </c>
      <c r="E1067">
        <v>0</v>
      </c>
      <c r="F1067">
        <v>43662</v>
      </c>
      <c r="G1067">
        <v>407000</v>
      </c>
      <c r="H1067">
        <v>504487</v>
      </c>
      <c r="I1067">
        <v>563916</v>
      </c>
      <c r="J1067">
        <v>99.6</v>
      </c>
    </row>
    <row r="1068" spans="1:10" x14ac:dyDescent="0.2">
      <c r="A1068">
        <v>2014</v>
      </c>
      <c r="B1068" s="1" t="s">
        <v>19</v>
      </c>
      <c r="C1068" s="1" t="s">
        <v>12</v>
      </c>
      <c r="D1068">
        <v>0</v>
      </c>
      <c r="E1068">
        <v>0</v>
      </c>
      <c r="F1068">
        <v>38291</v>
      </c>
      <c r="G1068">
        <v>169000</v>
      </c>
      <c r="H1068">
        <v>188749</v>
      </c>
      <c r="I1068">
        <v>234157</v>
      </c>
      <c r="J1068">
        <v>99.6</v>
      </c>
    </row>
    <row r="1069" spans="1:10" x14ac:dyDescent="0.2">
      <c r="A1069">
        <v>2014</v>
      </c>
      <c r="B1069" s="1" t="s">
        <v>19</v>
      </c>
      <c r="C1069" s="1" t="s">
        <v>13</v>
      </c>
      <c r="D1069">
        <v>0</v>
      </c>
      <c r="E1069">
        <v>0</v>
      </c>
      <c r="F1069">
        <v>38531</v>
      </c>
      <c r="G1069">
        <v>262500</v>
      </c>
      <c r="H1069">
        <v>296703</v>
      </c>
      <c r="I1069">
        <v>363705</v>
      </c>
      <c r="J1069">
        <v>99.6</v>
      </c>
    </row>
    <row r="1070" spans="1:10" x14ac:dyDescent="0.2">
      <c r="A1070">
        <v>2014</v>
      </c>
      <c r="B1070" s="1" t="s">
        <v>19</v>
      </c>
      <c r="C1070" s="1" t="s">
        <v>14</v>
      </c>
      <c r="D1070">
        <v>0</v>
      </c>
      <c r="E1070">
        <v>0</v>
      </c>
      <c r="F1070">
        <v>46369</v>
      </c>
      <c r="G1070">
        <v>220000</v>
      </c>
      <c r="H1070">
        <v>244616</v>
      </c>
      <c r="I1070">
        <v>304819</v>
      </c>
      <c r="J1070">
        <v>99.6</v>
      </c>
    </row>
    <row r="1071" spans="1:10" x14ac:dyDescent="0.2">
      <c r="A1071">
        <v>2014</v>
      </c>
      <c r="B1071" s="1" t="s">
        <v>20</v>
      </c>
      <c r="C1071" s="1" t="s">
        <v>11</v>
      </c>
      <c r="D1071">
        <v>0</v>
      </c>
      <c r="E1071">
        <v>0</v>
      </c>
      <c r="F1071">
        <v>30899</v>
      </c>
      <c r="G1071">
        <v>295000</v>
      </c>
      <c r="H1071">
        <v>346091</v>
      </c>
      <c r="I1071">
        <v>408735</v>
      </c>
      <c r="J1071">
        <v>99.6</v>
      </c>
    </row>
    <row r="1072" spans="1:10" x14ac:dyDescent="0.2">
      <c r="A1072">
        <v>2014</v>
      </c>
      <c r="B1072" s="1" t="s">
        <v>20</v>
      </c>
      <c r="C1072" s="1" t="s">
        <v>12</v>
      </c>
      <c r="D1072">
        <v>0</v>
      </c>
      <c r="E1072">
        <v>0</v>
      </c>
      <c r="F1072">
        <v>19293</v>
      </c>
      <c r="G1072">
        <v>142000</v>
      </c>
      <c r="H1072">
        <v>169065</v>
      </c>
      <c r="I1072">
        <v>196747</v>
      </c>
      <c r="J1072">
        <v>99.6</v>
      </c>
    </row>
    <row r="1073" spans="1:10" x14ac:dyDescent="0.2">
      <c r="A1073">
        <v>2014</v>
      </c>
      <c r="B1073" s="1" t="s">
        <v>20</v>
      </c>
      <c r="C1073" s="1" t="s">
        <v>13</v>
      </c>
      <c r="D1073">
        <v>0</v>
      </c>
      <c r="E1073">
        <v>0</v>
      </c>
      <c r="F1073">
        <v>23538</v>
      </c>
      <c r="G1073">
        <v>195000</v>
      </c>
      <c r="H1073">
        <v>219205</v>
      </c>
      <c r="I1073">
        <v>270181</v>
      </c>
      <c r="J1073">
        <v>99.6</v>
      </c>
    </row>
    <row r="1074" spans="1:10" x14ac:dyDescent="0.2">
      <c r="A1074">
        <v>2014</v>
      </c>
      <c r="B1074" s="1" t="s">
        <v>20</v>
      </c>
      <c r="C1074" s="1" t="s">
        <v>14</v>
      </c>
      <c r="D1074">
        <v>0</v>
      </c>
      <c r="E1074">
        <v>0</v>
      </c>
      <c r="F1074">
        <v>31648</v>
      </c>
      <c r="G1074">
        <v>171000</v>
      </c>
      <c r="H1074">
        <v>195505</v>
      </c>
      <c r="I1074">
        <v>236928</v>
      </c>
      <c r="J1074">
        <v>99.6</v>
      </c>
    </row>
    <row r="1075" spans="1:10" x14ac:dyDescent="0.2">
      <c r="A1075">
        <v>2014</v>
      </c>
      <c r="B1075" s="1" t="s">
        <v>21</v>
      </c>
      <c r="C1075" s="1" t="s">
        <v>11</v>
      </c>
      <c r="D1075">
        <v>0</v>
      </c>
      <c r="E1075">
        <v>0</v>
      </c>
      <c r="F1075">
        <v>12973</v>
      </c>
      <c r="G1075">
        <v>210000</v>
      </c>
      <c r="H1075">
        <v>231099</v>
      </c>
      <c r="I1075">
        <v>290964</v>
      </c>
      <c r="J1075">
        <v>99.6</v>
      </c>
    </row>
    <row r="1076" spans="1:10" x14ac:dyDescent="0.2">
      <c r="A1076">
        <v>2014</v>
      </c>
      <c r="B1076" s="1" t="s">
        <v>21</v>
      </c>
      <c r="C1076" s="1" t="s">
        <v>12</v>
      </c>
      <c r="D1076">
        <v>0</v>
      </c>
      <c r="E1076">
        <v>0</v>
      </c>
      <c r="F1076">
        <v>3728</v>
      </c>
      <c r="G1076">
        <v>114500</v>
      </c>
      <c r="H1076">
        <v>124945</v>
      </c>
      <c r="I1076">
        <v>158645</v>
      </c>
      <c r="J1076">
        <v>99.6</v>
      </c>
    </row>
    <row r="1077" spans="1:10" x14ac:dyDescent="0.2">
      <c r="A1077">
        <v>2014</v>
      </c>
      <c r="B1077" s="1" t="s">
        <v>21</v>
      </c>
      <c r="C1077" s="1" t="s">
        <v>13</v>
      </c>
      <c r="D1077">
        <v>0</v>
      </c>
      <c r="E1077">
        <v>0</v>
      </c>
      <c r="F1077">
        <v>12130</v>
      </c>
      <c r="G1077">
        <v>130000</v>
      </c>
      <c r="H1077">
        <v>143870</v>
      </c>
      <c r="I1077">
        <v>180120</v>
      </c>
      <c r="J1077">
        <v>99.6</v>
      </c>
    </row>
    <row r="1078" spans="1:10" x14ac:dyDescent="0.2">
      <c r="A1078">
        <v>2014</v>
      </c>
      <c r="B1078" s="1" t="s">
        <v>21</v>
      </c>
      <c r="C1078" s="1" t="s">
        <v>14</v>
      </c>
      <c r="D1078">
        <v>0</v>
      </c>
      <c r="E1078">
        <v>0</v>
      </c>
      <c r="F1078">
        <v>13495</v>
      </c>
      <c r="G1078">
        <v>106000</v>
      </c>
      <c r="H1078">
        <v>118944</v>
      </c>
      <c r="I1078">
        <v>146867</v>
      </c>
      <c r="J1078">
        <v>99.6</v>
      </c>
    </row>
    <row r="1079" spans="1:10" x14ac:dyDescent="0.2">
      <c r="A1079">
        <v>2014</v>
      </c>
      <c r="B1079" s="1" t="s">
        <v>22</v>
      </c>
      <c r="C1079" s="1" t="s">
        <v>11</v>
      </c>
      <c r="D1079">
        <v>0</v>
      </c>
      <c r="E1079">
        <v>0</v>
      </c>
      <c r="F1079">
        <v>21427</v>
      </c>
      <c r="G1079">
        <v>249995</v>
      </c>
      <c r="H1079">
        <v>293108</v>
      </c>
      <c r="I1079">
        <v>346379</v>
      </c>
      <c r="J1079">
        <v>99.6</v>
      </c>
    </row>
    <row r="1080" spans="1:10" x14ac:dyDescent="0.2">
      <c r="A1080">
        <v>2014</v>
      </c>
      <c r="B1080" s="1" t="s">
        <v>22</v>
      </c>
      <c r="C1080" s="1" t="s">
        <v>12</v>
      </c>
      <c r="D1080">
        <v>0</v>
      </c>
      <c r="E1080">
        <v>0</v>
      </c>
      <c r="F1080">
        <v>9011</v>
      </c>
      <c r="G1080">
        <v>110000</v>
      </c>
      <c r="H1080">
        <v>122867</v>
      </c>
      <c r="I1080">
        <v>152410</v>
      </c>
      <c r="J1080">
        <v>99.6</v>
      </c>
    </row>
    <row r="1081" spans="1:10" x14ac:dyDescent="0.2">
      <c r="A1081">
        <v>2014</v>
      </c>
      <c r="B1081" s="1" t="s">
        <v>22</v>
      </c>
      <c r="C1081" s="1" t="s">
        <v>13</v>
      </c>
      <c r="D1081">
        <v>0</v>
      </c>
      <c r="E1081">
        <v>0</v>
      </c>
      <c r="F1081">
        <v>25952</v>
      </c>
      <c r="G1081">
        <v>150000</v>
      </c>
      <c r="H1081">
        <v>164919</v>
      </c>
      <c r="I1081">
        <v>207831</v>
      </c>
      <c r="J1081">
        <v>99.6</v>
      </c>
    </row>
    <row r="1082" spans="1:10" x14ac:dyDescent="0.2">
      <c r="A1082">
        <v>2014</v>
      </c>
      <c r="B1082" s="1" t="s">
        <v>22</v>
      </c>
      <c r="C1082" s="1" t="s">
        <v>14</v>
      </c>
      <c r="D1082">
        <v>0</v>
      </c>
      <c r="E1082">
        <v>0</v>
      </c>
      <c r="F1082">
        <v>23178</v>
      </c>
      <c r="G1082">
        <v>125000</v>
      </c>
      <c r="H1082">
        <v>139712</v>
      </c>
      <c r="I1082">
        <v>173193</v>
      </c>
      <c r="J1082">
        <v>99.6</v>
      </c>
    </row>
    <row r="1083" spans="1:10" x14ac:dyDescent="0.2">
      <c r="A1083">
        <v>2014</v>
      </c>
      <c r="B1083" s="1" t="s">
        <v>23</v>
      </c>
      <c r="C1083" s="1" t="s">
        <v>11</v>
      </c>
      <c r="D1083">
        <v>0</v>
      </c>
      <c r="E1083">
        <v>0</v>
      </c>
      <c r="F1083">
        <v>18843</v>
      </c>
      <c r="G1083">
        <v>230000</v>
      </c>
      <c r="H1083">
        <v>261652</v>
      </c>
      <c r="I1083">
        <v>318675</v>
      </c>
      <c r="J1083">
        <v>99.6</v>
      </c>
    </row>
    <row r="1084" spans="1:10" x14ac:dyDescent="0.2">
      <c r="A1084">
        <v>2014</v>
      </c>
      <c r="B1084" s="1" t="s">
        <v>23</v>
      </c>
      <c r="C1084" s="1" t="s">
        <v>12</v>
      </c>
      <c r="D1084">
        <v>0</v>
      </c>
      <c r="E1084">
        <v>0</v>
      </c>
      <c r="F1084">
        <v>7288</v>
      </c>
      <c r="G1084">
        <v>105410</v>
      </c>
      <c r="H1084">
        <v>119541</v>
      </c>
      <c r="I1084">
        <v>146050</v>
      </c>
      <c r="J1084">
        <v>99.6</v>
      </c>
    </row>
    <row r="1085" spans="1:10" x14ac:dyDescent="0.2">
      <c r="A1085">
        <v>2014</v>
      </c>
      <c r="B1085" s="1" t="s">
        <v>23</v>
      </c>
      <c r="C1085" s="1" t="s">
        <v>13</v>
      </c>
      <c r="D1085">
        <v>0</v>
      </c>
      <c r="E1085">
        <v>0</v>
      </c>
      <c r="F1085">
        <v>27141</v>
      </c>
      <c r="G1085">
        <v>135000</v>
      </c>
      <c r="H1085">
        <v>150043</v>
      </c>
      <c r="I1085">
        <v>187048</v>
      </c>
      <c r="J1085">
        <v>99.6</v>
      </c>
    </row>
    <row r="1086" spans="1:10" x14ac:dyDescent="0.2">
      <c r="A1086">
        <v>2014</v>
      </c>
      <c r="B1086" s="1" t="s">
        <v>23</v>
      </c>
      <c r="C1086" s="1" t="s">
        <v>14</v>
      </c>
      <c r="D1086">
        <v>0</v>
      </c>
      <c r="E1086">
        <v>0</v>
      </c>
      <c r="F1086">
        <v>25620</v>
      </c>
      <c r="G1086">
        <v>111950</v>
      </c>
      <c r="H1086">
        <v>124924</v>
      </c>
      <c r="I1086">
        <v>155111</v>
      </c>
      <c r="J1086">
        <v>99.6</v>
      </c>
    </row>
    <row r="1087" spans="1:10" x14ac:dyDescent="0.2">
      <c r="A1087">
        <v>2014</v>
      </c>
      <c r="B1087" s="1" t="s">
        <v>10</v>
      </c>
      <c r="C1087" s="1" t="s">
        <v>24</v>
      </c>
      <c r="D1087">
        <v>0</v>
      </c>
      <c r="E1087">
        <v>1</v>
      </c>
      <c r="F1087">
        <v>78205</v>
      </c>
      <c r="G1087">
        <v>150000</v>
      </c>
      <c r="H1087">
        <v>176550</v>
      </c>
      <c r="I1087">
        <v>207831</v>
      </c>
      <c r="J1087">
        <v>99.6</v>
      </c>
    </row>
    <row r="1088" spans="1:10" x14ac:dyDescent="0.2">
      <c r="A1088">
        <v>2014</v>
      </c>
      <c r="B1088" s="1" t="s">
        <v>15</v>
      </c>
      <c r="C1088" s="1" t="s">
        <v>24</v>
      </c>
      <c r="D1088">
        <v>0</v>
      </c>
      <c r="E1088">
        <v>1</v>
      </c>
      <c r="F1088">
        <v>112369</v>
      </c>
      <c r="G1088">
        <v>215000</v>
      </c>
      <c r="H1088">
        <v>260891</v>
      </c>
      <c r="I1088">
        <v>297892</v>
      </c>
      <c r="J1088">
        <v>99.6</v>
      </c>
    </row>
    <row r="1089" spans="1:10" x14ac:dyDescent="0.2">
      <c r="A1089">
        <v>2014</v>
      </c>
      <c r="B1089" s="1" t="s">
        <v>16</v>
      </c>
      <c r="C1089" s="1" t="s">
        <v>24</v>
      </c>
      <c r="D1089">
        <v>0</v>
      </c>
      <c r="E1089">
        <v>1</v>
      </c>
      <c r="F1089">
        <v>118622</v>
      </c>
      <c r="G1089">
        <v>365000</v>
      </c>
      <c r="H1089">
        <v>525237</v>
      </c>
      <c r="I1089">
        <v>505723</v>
      </c>
      <c r="J1089">
        <v>99.6</v>
      </c>
    </row>
    <row r="1090" spans="1:10" x14ac:dyDescent="0.2">
      <c r="A1090">
        <v>2014</v>
      </c>
      <c r="B1090" s="1" t="s">
        <v>17</v>
      </c>
      <c r="C1090" s="1" t="s">
        <v>24</v>
      </c>
      <c r="D1090">
        <v>0</v>
      </c>
      <c r="E1090">
        <v>1</v>
      </c>
      <c r="F1090">
        <v>35371</v>
      </c>
      <c r="G1090">
        <v>125995</v>
      </c>
      <c r="H1090">
        <v>148541</v>
      </c>
      <c r="I1090">
        <v>174571</v>
      </c>
      <c r="J1090">
        <v>99.6</v>
      </c>
    </row>
    <row r="1091" spans="1:10" x14ac:dyDescent="0.2">
      <c r="A1091">
        <v>2014</v>
      </c>
      <c r="B1091" s="1" t="s">
        <v>18</v>
      </c>
      <c r="C1091" s="1" t="s">
        <v>24</v>
      </c>
      <c r="D1091">
        <v>0</v>
      </c>
      <c r="E1091">
        <v>1</v>
      </c>
      <c r="F1091">
        <v>101463</v>
      </c>
      <c r="G1091">
        <v>138500</v>
      </c>
      <c r="H1091">
        <v>166154</v>
      </c>
      <c r="I1091">
        <v>191898</v>
      </c>
      <c r="J1091">
        <v>99.6</v>
      </c>
    </row>
    <row r="1092" spans="1:10" x14ac:dyDescent="0.2">
      <c r="A1092">
        <v>2014</v>
      </c>
      <c r="B1092" s="1" t="s">
        <v>19</v>
      </c>
      <c r="C1092" s="1" t="s">
        <v>24</v>
      </c>
      <c r="D1092">
        <v>0</v>
      </c>
      <c r="E1092">
        <v>1</v>
      </c>
      <c r="F1092">
        <v>166853</v>
      </c>
      <c r="G1092">
        <v>249950</v>
      </c>
      <c r="H1092">
        <v>311826</v>
      </c>
      <c r="I1092">
        <v>346316</v>
      </c>
      <c r="J1092">
        <v>99.6</v>
      </c>
    </row>
    <row r="1093" spans="1:10" x14ac:dyDescent="0.2">
      <c r="A1093">
        <v>2014</v>
      </c>
      <c r="B1093" s="1" t="s">
        <v>20</v>
      </c>
      <c r="C1093" s="1" t="s">
        <v>24</v>
      </c>
      <c r="D1093">
        <v>0</v>
      </c>
      <c r="E1093">
        <v>1</v>
      </c>
      <c r="F1093">
        <v>105378</v>
      </c>
      <c r="G1093">
        <v>200448</v>
      </c>
      <c r="H1093">
        <v>240113</v>
      </c>
      <c r="I1093">
        <v>277728</v>
      </c>
      <c r="J1093">
        <v>99.6</v>
      </c>
    </row>
    <row r="1094" spans="1:10" x14ac:dyDescent="0.2">
      <c r="A1094">
        <v>2014</v>
      </c>
      <c r="B1094" s="1" t="s">
        <v>21</v>
      </c>
      <c r="C1094" s="1" t="s">
        <v>24</v>
      </c>
      <c r="D1094">
        <v>0</v>
      </c>
      <c r="E1094">
        <v>1</v>
      </c>
      <c r="F1094">
        <v>42326</v>
      </c>
      <c r="G1094">
        <v>140000</v>
      </c>
      <c r="H1094">
        <v>160992</v>
      </c>
      <c r="I1094">
        <v>193976</v>
      </c>
      <c r="J1094">
        <v>99.6</v>
      </c>
    </row>
    <row r="1095" spans="1:10" x14ac:dyDescent="0.2">
      <c r="A1095">
        <v>2014</v>
      </c>
      <c r="B1095" s="1" t="s">
        <v>22</v>
      </c>
      <c r="C1095" s="1" t="s">
        <v>24</v>
      </c>
      <c r="D1095">
        <v>0</v>
      </c>
      <c r="E1095">
        <v>1</v>
      </c>
      <c r="F1095">
        <v>79568</v>
      </c>
      <c r="G1095">
        <v>156000</v>
      </c>
      <c r="H1095">
        <v>187334</v>
      </c>
      <c r="I1095">
        <v>216145</v>
      </c>
      <c r="J1095">
        <v>99.6</v>
      </c>
    </row>
    <row r="1096" spans="1:10" x14ac:dyDescent="0.2">
      <c r="A1096">
        <v>2014</v>
      </c>
      <c r="B1096" s="1" t="s">
        <v>23</v>
      </c>
      <c r="C1096" s="1" t="s">
        <v>24</v>
      </c>
      <c r="D1096">
        <v>0</v>
      </c>
      <c r="E1096">
        <v>1</v>
      </c>
      <c r="F1096">
        <v>78892</v>
      </c>
      <c r="G1096">
        <v>139999</v>
      </c>
      <c r="H1096">
        <v>165725</v>
      </c>
      <c r="I1096">
        <v>193975</v>
      </c>
      <c r="J1096">
        <v>99.6</v>
      </c>
    </row>
    <row r="1097" spans="1:10" x14ac:dyDescent="0.2">
      <c r="A1097">
        <v>2014</v>
      </c>
      <c r="B1097" s="1" t="s">
        <v>25</v>
      </c>
      <c r="C1097" s="1" t="s">
        <v>11</v>
      </c>
      <c r="D1097">
        <v>1</v>
      </c>
      <c r="E1097">
        <v>0</v>
      </c>
      <c r="F1097">
        <v>224479</v>
      </c>
      <c r="G1097">
        <v>276000</v>
      </c>
      <c r="H1097">
        <v>353189</v>
      </c>
      <c r="I1097">
        <v>382410</v>
      </c>
      <c r="J1097">
        <v>99.6</v>
      </c>
    </row>
    <row r="1098" spans="1:10" x14ac:dyDescent="0.2">
      <c r="A1098">
        <v>2014</v>
      </c>
      <c r="B1098" s="1" t="s">
        <v>25</v>
      </c>
      <c r="C1098" s="1" t="s">
        <v>12</v>
      </c>
      <c r="D1098">
        <v>1</v>
      </c>
      <c r="E1098">
        <v>0</v>
      </c>
      <c r="F1098">
        <v>183884</v>
      </c>
      <c r="G1098">
        <v>180000</v>
      </c>
      <c r="H1098">
        <v>266277</v>
      </c>
      <c r="I1098">
        <v>249398</v>
      </c>
      <c r="J1098">
        <v>99.6</v>
      </c>
    </row>
    <row r="1099" spans="1:10" x14ac:dyDescent="0.2">
      <c r="A1099">
        <v>2014</v>
      </c>
      <c r="B1099" s="1" t="s">
        <v>25</v>
      </c>
      <c r="C1099" s="1" t="s">
        <v>13</v>
      </c>
      <c r="D1099">
        <v>1</v>
      </c>
      <c r="E1099">
        <v>0</v>
      </c>
      <c r="F1099">
        <v>242539</v>
      </c>
      <c r="G1099">
        <v>175000</v>
      </c>
      <c r="H1099">
        <v>219385</v>
      </c>
      <c r="I1099">
        <v>242470</v>
      </c>
      <c r="J1099">
        <v>99.6</v>
      </c>
    </row>
    <row r="1100" spans="1:10" x14ac:dyDescent="0.2">
      <c r="A1100">
        <v>2014</v>
      </c>
      <c r="B1100" s="1" t="s">
        <v>25</v>
      </c>
      <c r="C1100" s="1" t="s">
        <v>14</v>
      </c>
      <c r="D1100">
        <v>1</v>
      </c>
      <c r="E1100">
        <v>0</v>
      </c>
      <c r="F1100">
        <v>268442</v>
      </c>
      <c r="G1100">
        <v>160000</v>
      </c>
      <c r="H1100">
        <v>217209</v>
      </c>
      <c r="I1100">
        <v>221687</v>
      </c>
      <c r="J1100">
        <v>99.6</v>
      </c>
    </row>
    <row r="1101" spans="1:10" x14ac:dyDescent="0.2">
      <c r="A1101">
        <v>2014</v>
      </c>
      <c r="B1101" s="1" t="s">
        <v>25</v>
      </c>
      <c r="C1101" s="1" t="s">
        <v>24</v>
      </c>
      <c r="D1101">
        <v>1</v>
      </c>
      <c r="E1101">
        <v>1</v>
      </c>
      <c r="F1101">
        <v>919344</v>
      </c>
      <c r="G1101">
        <v>195000</v>
      </c>
      <c r="H1101">
        <v>260800</v>
      </c>
      <c r="I1101">
        <v>270181</v>
      </c>
      <c r="J1101">
        <v>99.6</v>
      </c>
    </row>
    <row r="1102" spans="1:10" x14ac:dyDescent="0.2">
      <c r="A1102">
        <v>2015</v>
      </c>
      <c r="B1102" s="1" t="s">
        <v>10</v>
      </c>
      <c r="C1102" s="1" t="s">
        <v>11</v>
      </c>
      <c r="D1102">
        <v>0</v>
      </c>
      <c r="E1102">
        <v>0</v>
      </c>
      <c r="F1102">
        <v>29066</v>
      </c>
      <c r="G1102">
        <v>235000</v>
      </c>
      <c r="H1102">
        <v>264583</v>
      </c>
      <c r="I1102">
        <v>324300</v>
      </c>
      <c r="J1102">
        <v>100</v>
      </c>
    </row>
    <row r="1103" spans="1:10" x14ac:dyDescent="0.2">
      <c r="A1103">
        <v>2015</v>
      </c>
      <c r="B1103" s="1" t="s">
        <v>10</v>
      </c>
      <c r="C1103" s="1" t="s">
        <v>12</v>
      </c>
      <c r="D1103">
        <v>0</v>
      </c>
      <c r="E1103">
        <v>0</v>
      </c>
      <c r="F1103">
        <v>4994</v>
      </c>
      <c r="G1103">
        <v>105000</v>
      </c>
      <c r="H1103">
        <v>115239</v>
      </c>
      <c r="I1103">
        <v>144900</v>
      </c>
      <c r="J1103">
        <v>100</v>
      </c>
    </row>
    <row r="1104" spans="1:10" x14ac:dyDescent="0.2">
      <c r="A1104">
        <v>2015</v>
      </c>
      <c r="B1104" s="1" t="s">
        <v>10</v>
      </c>
      <c r="C1104" s="1" t="s">
        <v>13</v>
      </c>
      <c r="D1104">
        <v>0</v>
      </c>
      <c r="E1104">
        <v>0</v>
      </c>
      <c r="F1104">
        <v>24117</v>
      </c>
      <c r="G1104">
        <v>145000</v>
      </c>
      <c r="H1104">
        <v>156292</v>
      </c>
      <c r="I1104">
        <v>200100</v>
      </c>
      <c r="J1104">
        <v>100</v>
      </c>
    </row>
    <row r="1105" spans="1:10" x14ac:dyDescent="0.2">
      <c r="A1105">
        <v>2015</v>
      </c>
      <c r="B1105" s="1" t="s">
        <v>10</v>
      </c>
      <c r="C1105" s="1" t="s">
        <v>14</v>
      </c>
      <c r="D1105">
        <v>0</v>
      </c>
      <c r="E1105">
        <v>0</v>
      </c>
      <c r="F1105">
        <v>20451</v>
      </c>
      <c r="G1105">
        <v>123500</v>
      </c>
      <c r="H1105">
        <v>133514</v>
      </c>
      <c r="I1105">
        <v>170430</v>
      </c>
      <c r="J1105">
        <v>100</v>
      </c>
    </row>
    <row r="1106" spans="1:10" x14ac:dyDescent="0.2">
      <c r="A1106">
        <v>2015</v>
      </c>
      <c r="B1106" s="1" t="s">
        <v>15</v>
      </c>
      <c r="C1106" s="1" t="s">
        <v>11</v>
      </c>
      <c r="D1106">
        <v>0</v>
      </c>
      <c r="E1106">
        <v>0</v>
      </c>
      <c r="F1106">
        <v>32483</v>
      </c>
      <c r="G1106">
        <v>330000</v>
      </c>
      <c r="H1106">
        <v>400956</v>
      </c>
      <c r="I1106">
        <v>455400</v>
      </c>
      <c r="J1106">
        <v>100</v>
      </c>
    </row>
    <row r="1107" spans="1:10" x14ac:dyDescent="0.2">
      <c r="A1107">
        <v>2015</v>
      </c>
      <c r="B1107" s="1" t="s">
        <v>15</v>
      </c>
      <c r="C1107" s="1" t="s">
        <v>12</v>
      </c>
      <c r="D1107">
        <v>0</v>
      </c>
      <c r="E1107">
        <v>0</v>
      </c>
      <c r="F1107">
        <v>19012</v>
      </c>
      <c r="G1107">
        <v>160000</v>
      </c>
      <c r="H1107">
        <v>182267</v>
      </c>
      <c r="I1107">
        <v>220800</v>
      </c>
      <c r="J1107">
        <v>100</v>
      </c>
    </row>
    <row r="1108" spans="1:10" x14ac:dyDescent="0.2">
      <c r="A1108">
        <v>2015</v>
      </c>
      <c r="B1108" s="1" t="s">
        <v>15</v>
      </c>
      <c r="C1108" s="1" t="s">
        <v>13</v>
      </c>
      <c r="D1108">
        <v>0</v>
      </c>
      <c r="E1108">
        <v>0</v>
      </c>
      <c r="F1108">
        <v>27334</v>
      </c>
      <c r="G1108">
        <v>240000</v>
      </c>
      <c r="H1108">
        <v>270775</v>
      </c>
      <c r="I1108">
        <v>331200</v>
      </c>
      <c r="J1108">
        <v>100</v>
      </c>
    </row>
    <row r="1109" spans="1:10" x14ac:dyDescent="0.2">
      <c r="A1109">
        <v>2015</v>
      </c>
      <c r="B1109" s="1" t="s">
        <v>15</v>
      </c>
      <c r="C1109" s="1" t="s">
        <v>14</v>
      </c>
      <c r="D1109">
        <v>0</v>
      </c>
      <c r="E1109">
        <v>0</v>
      </c>
      <c r="F1109">
        <v>30809</v>
      </c>
      <c r="G1109">
        <v>210000</v>
      </c>
      <c r="H1109">
        <v>234490</v>
      </c>
      <c r="I1109">
        <v>289800</v>
      </c>
      <c r="J1109">
        <v>100</v>
      </c>
    </row>
    <row r="1110" spans="1:10" x14ac:dyDescent="0.2">
      <c r="A1110">
        <v>2015</v>
      </c>
      <c r="B1110" s="1" t="s">
        <v>16</v>
      </c>
      <c r="C1110" s="1" t="s">
        <v>11</v>
      </c>
      <c r="D1110">
        <v>0</v>
      </c>
      <c r="E1110">
        <v>0</v>
      </c>
      <c r="F1110">
        <v>5322</v>
      </c>
      <c r="G1110">
        <v>690000</v>
      </c>
      <c r="H1110">
        <v>928739</v>
      </c>
      <c r="I1110">
        <v>952200</v>
      </c>
      <c r="J1110">
        <v>100</v>
      </c>
    </row>
    <row r="1111" spans="1:10" x14ac:dyDescent="0.2">
      <c r="A1111">
        <v>2015</v>
      </c>
      <c r="B1111" s="1" t="s">
        <v>16</v>
      </c>
      <c r="C1111" s="1" t="s">
        <v>12</v>
      </c>
      <c r="D1111">
        <v>0</v>
      </c>
      <c r="E1111">
        <v>0</v>
      </c>
      <c r="F1111">
        <v>63336</v>
      </c>
      <c r="G1111">
        <v>365000</v>
      </c>
      <c r="H1111">
        <v>474894</v>
      </c>
      <c r="I1111">
        <v>503700</v>
      </c>
      <c r="J1111">
        <v>100</v>
      </c>
    </row>
    <row r="1112" spans="1:10" x14ac:dyDescent="0.2">
      <c r="A1112">
        <v>2015</v>
      </c>
      <c r="B1112" s="1" t="s">
        <v>16</v>
      </c>
      <c r="C1112" s="1" t="s">
        <v>13</v>
      </c>
      <c r="D1112">
        <v>0</v>
      </c>
      <c r="E1112">
        <v>0</v>
      </c>
      <c r="F1112">
        <v>15105</v>
      </c>
      <c r="G1112">
        <v>457500</v>
      </c>
      <c r="H1112">
        <v>590675</v>
      </c>
      <c r="I1112">
        <v>631350</v>
      </c>
      <c r="J1112">
        <v>100</v>
      </c>
    </row>
    <row r="1113" spans="1:10" x14ac:dyDescent="0.2">
      <c r="A1113">
        <v>2015</v>
      </c>
      <c r="B1113" s="1" t="s">
        <v>16</v>
      </c>
      <c r="C1113" s="1" t="s">
        <v>14</v>
      </c>
      <c r="D1113">
        <v>0</v>
      </c>
      <c r="E1113">
        <v>0</v>
      </c>
      <c r="F1113">
        <v>29664</v>
      </c>
      <c r="G1113">
        <v>420000</v>
      </c>
      <c r="H1113">
        <v>604378</v>
      </c>
      <c r="I1113">
        <v>579600</v>
      </c>
      <c r="J1113">
        <v>100</v>
      </c>
    </row>
    <row r="1114" spans="1:10" x14ac:dyDescent="0.2">
      <c r="A1114">
        <v>2015</v>
      </c>
      <c r="B1114" s="1" t="s">
        <v>17</v>
      </c>
      <c r="C1114" s="1" t="s">
        <v>11</v>
      </c>
      <c r="D1114">
        <v>0</v>
      </c>
      <c r="E1114">
        <v>0</v>
      </c>
      <c r="F1114">
        <v>8367</v>
      </c>
      <c r="G1114">
        <v>215995</v>
      </c>
      <c r="H1114">
        <v>244963</v>
      </c>
      <c r="I1114">
        <v>298073</v>
      </c>
      <c r="J1114">
        <v>100</v>
      </c>
    </row>
    <row r="1115" spans="1:10" x14ac:dyDescent="0.2">
      <c r="A1115">
        <v>2015</v>
      </c>
      <c r="B1115" s="1" t="s">
        <v>17</v>
      </c>
      <c r="C1115" s="1" t="s">
        <v>12</v>
      </c>
      <c r="D1115">
        <v>0</v>
      </c>
      <c r="E1115">
        <v>0</v>
      </c>
      <c r="F1115">
        <v>3820</v>
      </c>
      <c r="G1115">
        <v>92500</v>
      </c>
      <c r="H1115">
        <v>106635</v>
      </c>
      <c r="I1115">
        <v>127650</v>
      </c>
      <c r="J1115">
        <v>100</v>
      </c>
    </row>
    <row r="1116" spans="1:10" x14ac:dyDescent="0.2">
      <c r="A1116">
        <v>2015</v>
      </c>
      <c r="B1116" s="1" t="s">
        <v>17</v>
      </c>
      <c r="C1116" s="1" t="s">
        <v>13</v>
      </c>
      <c r="D1116">
        <v>0</v>
      </c>
      <c r="E1116">
        <v>0</v>
      </c>
      <c r="F1116">
        <v>12159</v>
      </c>
      <c r="G1116">
        <v>130000</v>
      </c>
      <c r="H1116">
        <v>142458</v>
      </c>
      <c r="I1116">
        <v>179400</v>
      </c>
      <c r="J1116">
        <v>100</v>
      </c>
    </row>
    <row r="1117" spans="1:10" x14ac:dyDescent="0.2">
      <c r="A1117">
        <v>2015</v>
      </c>
      <c r="B1117" s="1" t="s">
        <v>17</v>
      </c>
      <c r="C1117" s="1" t="s">
        <v>14</v>
      </c>
      <c r="D1117">
        <v>0</v>
      </c>
      <c r="E1117">
        <v>0</v>
      </c>
      <c r="F1117">
        <v>11819</v>
      </c>
      <c r="G1117">
        <v>96995</v>
      </c>
      <c r="H1117">
        <v>115425</v>
      </c>
      <c r="I1117">
        <v>133853</v>
      </c>
      <c r="J1117">
        <v>100</v>
      </c>
    </row>
    <row r="1118" spans="1:10" x14ac:dyDescent="0.2">
      <c r="A1118">
        <v>2015</v>
      </c>
      <c r="B1118" s="1" t="s">
        <v>18</v>
      </c>
      <c r="C1118" s="1" t="s">
        <v>11</v>
      </c>
      <c r="D1118">
        <v>0</v>
      </c>
      <c r="E1118">
        <v>0</v>
      </c>
      <c r="F1118">
        <v>22799</v>
      </c>
      <c r="G1118">
        <v>247750</v>
      </c>
      <c r="H1118">
        <v>290473</v>
      </c>
      <c r="I1118">
        <v>341895</v>
      </c>
      <c r="J1118">
        <v>100</v>
      </c>
    </row>
    <row r="1119" spans="1:10" x14ac:dyDescent="0.2">
      <c r="A1119">
        <v>2015</v>
      </c>
      <c r="B1119" s="1" t="s">
        <v>18</v>
      </c>
      <c r="C1119" s="1" t="s">
        <v>12</v>
      </c>
      <c r="D1119">
        <v>0</v>
      </c>
      <c r="E1119">
        <v>0</v>
      </c>
      <c r="F1119">
        <v>13270</v>
      </c>
      <c r="G1119">
        <v>115000</v>
      </c>
      <c r="H1119">
        <v>128094</v>
      </c>
      <c r="I1119">
        <v>158700</v>
      </c>
      <c r="J1119">
        <v>100</v>
      </c>
    </row>
    <row r="1120" spans="1:10" x14ac:dyDescent="0.2">
      <c r="A1120">
        <v>2015</v>
      </c>
      <c r="B1120" s="1" t="s">
        <v>18</v>
      </c>
      <c r="C1120" s="1" t="s">
        <v>13</v>
      </c>
      <c r="D1120">
        <v>0</v>
      </c>
      <c r="E1120">
        <v>0</v>
      </c>
      <c r="F1120">
        <v>35771</v>
      </c>
      <c r="G1120">
        <v>148500</v>
      </c>
      <c r="H1120">
        <v>166975</v>
      </c>
      <c r="I1120">
        <v>204930</v>
      </c>
      <c r="J1120">
        <v>100</v>
      </c>
    </row>
    <row r="1121" spans="1:10" x14ac:dyDescent="0.2">
      <c r="A1121">
        <v>2015</v>
      </c>
      <c r="B1121" s="1" t="s">
        <v>18</v>
      </c>
      <c r="C1121" s="1" t="s">
        <v>14</v>
      </c>
      <c r="D1121">
        <v>0</v>
      </c>
      <c r="E1121">
        <v>0</v>
      </c>
      <c r="F1121">
        <v>34807</v>
      </c>
      <c r="G1121">
        <v>105000</v>
      </c>
      <c r="H1121">
        <v>120040</v>
      </c>
      <c r="I1121">
        <v>144900</v>
      </c>
      <c r="J1121">
        <v>100</v>
      </c>
    </row>
    <row r="1122" spans="1:10" x14ac:dyDescent="0.2">
      <c r="A1122">
        <v>2015</v>
      </c>
      <c r="B1122" s="1" t="s">
        <v>19</v>
      </c>
      <c r="C1122" s="1" t="s">
        <v>11</v>
      </c>
      <c r="D1122">
        <v>0</v>
      </c>
      <c r="E1122">
        <v>0</v>
      </c>
      <c r="F1122">
        <v>43098</v>
      </c>
      <c r="G1122">
        <v>430000</v>
      </c>
      <c r="H1122">
        <v>525282</v>
      </c>
      <c r="I1122">
        <v>593400</v>
      </c>
      <c r="J1122">
        <v>100</v>
      </c>
    </row>
    <row r="1123" spans="1:10" x14ac:dyDescent="0.2">
      <c r="A1123">
        <v>2015</v>
      </c>
      <c r="B1123" s="1" t="s">
        <v>19</v>
      </c>
      <c r="C1123" s="1" t="s">
        <v>12</v>
      </c>
      <c r="D1123">
        <v>0</v>
      </c>
      <c r="E1123">
        <v>0</v>
      </c>
      <c r="F1123">
        <v>38258</v>
      </c>
      <c r="G1123">
        <v>180000</v>
      </c>
      <c r="H1123">
        <v>203326</v>
      </c>
      <c r="I1123">
        <v>248400</v>
      </c>
      <c r="J1123">
        <v>100</v>
      </c>
    </row>
    <row r="1124" spans="1:10" x14ac:dyDescent="0.2">
      <c r="A1124">
        <v>2015</v>
      </c>
      <c r="B1124" s="1" t="s">
        <v>19</v>
      </c>
      <c r="C1124" s="1" t="s">
        <v>13</v>
      </c>
      <c r="D1124">
        <v>0</v>
      </c>
      <c r="E1124">
        <v>0</v>
      </c>
      <c r="F1124">
        <v>37579</v>
      </c>
      <c r="G1124">
        <v>287000</v>
      </c>
      <c r="H1124">
        <v>319458</v>
      </c>
      <c r="I1124">
        <v>396060</v>
      </c>
      <c r="J1124">
        <v>100</v>
      </c>
    </row>
    <row r="1125" spans="1:10" x14ac:dyDescent="0.2">
      <c r="A1125">
        <v>2015</v>
      </c>
      <c r="B1125" s="1" t="s">
        <v>19</v>
      </c>
      <c r="C1125" s="1" t="s">
        <v>14</v>
      </c>
      <c r="D1125">
        <v>0</v>
      </c>
      <c r="E1125">
        <v>0</v>
      </c>
      <c r="F1125">
        <v>44635</v>
      </c>
      <c r="G1125">
        <v>240000</v>
      </c>
      <c r="H1125">
        <v>266008</v>
      </c>
      <c r="I1125">
        <v>331200</v>
      </c>
      <c r="J1125">
        <v>100</v>
      </c>
    </row>
    <row r="1126" spans="1:10" x14ac:dyDescent="0.2">
      <c r="A1126">
        <v>2015</v>
      </c>
      <c r="B1126" s="1" t="s">
        <v>20</v>
      </c>
      <c r="C1126" s="1" t="s">
        <v>11</v>
      </c>
      <c r="D1126">
        <v>0</v>
      </c>
      <c r="E1126">
        <v>0</v>
      </c>
      <c r="F1126">
        <v>31606</v>
      </c>
      <c r="G1126">
        <v>313000</v>
      </c>
      <c r="H1126">
        <v>361392</v>
      </c>
      <c r="I1126">
        <v>431940</v>
      </c>
      <c r="J1126">
        <v>100</v>
      </c>
    </row>
    <row r="1127" spans="1:10" x14ac:dyDescent="0.2">
      <c r="A1127">
        <v>2015</v>
      </c>
      <c r="B1127" s="1" t="s">
        <v>20</v>
      </c>
      <c r="C1127" s="1" t="s">
        <v>12</v>
      </c>
      <c r="D1127">
        <v>0</v>
      </c>
      <c r="E1127">
        <v>0</v>
      </c>
      <c r="F1127">
        <v>19653</v>
      </c>
      <c r="G1127">
        <v>149000</v>
      </c>
      <c r="H1127">
        <v>176603</v>
      </c>
      <c r="I1127">
        <v>205620</v>
      </c>
      <c r="J1127">
        <v>100</v>
      </c>
    </row>
    <row r="1128" spans="1:10" x14ac:dyDescent="0.2">
      <c r="A1128">
        <v>2015</v>
      </c>
      <c r="B1128" s="1" t="s">
        <v>20</v>
      </c>
      <c r="C1128" s="1" t="s">
        <v>13</v>
      </c>
      <c r="D1128">
        <v>0</v>
      </c>
      <c r="E1128">
        <v>0</v>
      </c>
      <c r="F1128">
        <v>23236</v>
      </c>
      <c r="G1128">
        <v>210000</v>
      </c>
      <c r="H1128">
        <v>230929</v>
      </c>
      <c r="I1128">
        <v>289800</v>
      </c>
      <c r="J1128">
        <v>100</v>
      </c>
    </row>
    <row r="1129" spans="1:10" x14ac:dyDescent="0.2">
      <c r="A1129">
        <v>2015</v>
      </c>
      <c r="B1129" s="1" t="s">
        <v>20</v>
      </c>
      <c r="C1129" s="1" t="s">
        <v>14</v>
      </c>
      <c r="D1129">
        <v>0</v>
      </c>
      <c r="E1129">
        <v>0</v>
      </c>
      <c r="F1129">
        <v>31358</v>
      </c>
      <c r="G1129">
        <v>182000</v>
      </c>
      <c r="H1129">
        <v>208191</v>
      </c>
      <c r="I1129">
        <v>251160</v>
      </c>
      <c r="J1129">
        <v>100</v>
      </c>
    </row>
    <row r="1130" spans="1:10" x14ac:dyDescent="0.2">
      <c r="A1130">
        <v>2015</v>
      </c>
      <c r="B1130" s="1" t="s">
        <v>21</v>
      </c>
      <c r="C1130" s="1" t="s">
        <v>11</v>
      </c>
      <c r="D1130">
        <v>0</v>
      </c>
      <c r="E1130">
        <v>0</v>
      </c>
      <c r="F1130">
        <v>13621</v>
      </c>
      <c r="G1130">
        <v>215000</v>
      </c>
      <c r="H1130">
        <v>237579</v>
      </c>
      <c r="I1130">
        <v>296700</v>
      </c>
      <c r="J1130">
        <v>100</v>
      </c>
    </row>
    <row r="1131" spans="1:10" x14ac:dyDescent="0.2">
      <c r="A1131">
        <v>2015</v>
      </c>
      <c r="B1131" s="1" t="s">
        <v>21</v>
      </c>
      <c r="C1131" s="1" t="s">
        <v>12</v>
      </c>
      <c r="D1131">
        <v>0</v>
      </c>
      <c r="E1131">
        <v>0</v>
      </c>
      <c r="F1131">
        <v>3583</v>
      </c>
      <c r="G1131">
        <v>115000</v>
      </c>
      <c r="H1131">
        <v>126360</v>
      </c>
      <c r="I1131">
        <v>158700</v>
      </c>
      <c r="J1131">
        <v>100</v>
      </c>
    </row>
    <row r="1132" spans="1:10" x14ac:dyDescent="0.2">
      <c r="A1132">
        <v>2015</v>
      </c>
      <c r="B1132" s="1" t="s">
        <v>21</v>
      </c>
      <c r="C1132" s="1" t="s">
        <v>13</v>
      </c>
      <c r="D1132">
        <v>0</v>
      </c>
      <c r="E1132">
        <v>0</v>
      </c>
      <c r="F1132">
        <v>12386</v>
      </c>
      <c r="G1132">
        <v>135000</v>
      </c>
      <c r="H1132">
        <v>147465</v>
      </c>
      <c r="I1132">
        <v>186300</v>
      </c>
      <c r="J1132">
        <v>100</v>
      </c>
    </row>
    <row r="1133" spans="1:10" x14ac:dyDescent="0.2">
      <c r="A1133">
        <v>2015</v>
      </c>
      <c r="B1133" s="1" t="s">
        <v>21</v>
      </c>
      <c r="C1133" s="1" t="s">
        <v>14</v>
      </c>
      <c r="D1133">
        <v>0</v>
      </c>
      <c r="E1133">
        <v>0</v>
      </c>
      <c r="F1133">
        <v>14019</v>
      </c>
      <c r="G1133">
        <v>109000</v>
      </c>
      <c r="H1133">
        <v>121467</v>
      </c>
      <c r="I1133">
        <v>150420</v>
      </c>
      <c r="J1133">
        <v>100</v>
      </c>
    </row>
    <row r="1134" spans="1:10" x14ac:dyDescent="0.2">
      <c r="A1134">
        <v>2015</v>
      </c>
      <c r="B1134" s="1" t="s">
        <v>22</v>
      </c>
      <c r="C1134" s="1" t="s">
        <v>11</v>
      </c>
      <c r="D1134">
        <v>0</v>
      </c>
      <c r="E1134">
        <v>0</v>
      </c>
      <c r="F1134">
        <v>22537</v>
      </c>
      <c r="G1134">
        <v>266000</v>
      </c>
      <c r="H1134">
        <v>306524</v>
      </c>
      <c r="I1134">
        <v>367080</v>
      </c>
      <c r="J1134">
        <v>100</v>
      </c>
    </row>
    <row r="1135" spans="1:10" x14ac:dyDescent="0.2">
      <c r="A1135">
        <v>2015</v>
      </c>
      <c r="B1135" s="1" t="s">
        <v>22</v>
      </c>
      <c r="C1135" s="1" t="s">
        <v>12</v>
      </c>
      <c r="D1135">
        <v>0</v>
      </c>
      <c r="E1135">
        <v>0</v>
      </c>
      <c r="F1135">
        <v>9045</v>
      </c>
      <c r="G1135">
        <v>115000</v>
      </c>
      <c r="H1135">
        <v>131427</v>
      </c>
      <c r="I1135">
        <v>158700</v>
      </c>
      <c r="J1135">
        <v>100</v>
      </c>
    </row>
    <row r="1136" spans="1:10" x14ac:dyDescent="0.2">
      <c r="A1136">
        <v>2015</v>
      </c>
      <c r="B1136" s="1" t="s">
        <v>22</v>
      </c>
      <c r="C1136" s="1" t="s">
        <v>13</v>
      </c>
      <c r="D1136">
        <v>0</v>
      </c>
      <c r="E1136">
        <v>0</v>
      </c>
      <c r="F1136">
        <v>26443</v>
      </c>
      <c r="G1136">
        <v>156500</v>
      </c>
      <c r="H1136">
        <v>171891</v>
      </c>
      <c r="I1136">
        <v>215970</v>
      </c>
      <c r="J1136">
        <v>100</v>
      </c>
    </row>
    <row r="1137" spans="1:10" x14ac:dyDescent="0.2">
      <c r="A1137">
        <v>2015</v>
      </c>
      <c r="B1137" s="1" t="s">
        <v>22</v>
      </c>
      <c r="C1137" s="1" t="s">
        <v>14</v>
      </c>
      <c r="D1137">
        <v>0</v>
      </c>
      <c r="E1137">
        <v>0</v>
      </c>
      <c r="F1137">
        <v>23466</v>
      </c>
      <c r="G1137">
        <v>130000</v>
      </c>
      <c r="H1137">
        <v>145811</v>
      </c>
      <c r="I1137">
        <v>179400</v>
      </c>
      <c r="J1137">
        <v>100</v>
      </c>
    </row>
    <row r="1138" spans="1:10" x14ac:dyDescent="0.2">
      <c r="A1138">
        <v>2015</v>
      </c>
      <c r="B1138" s="1" t="s">
        <v>23</v>
      </c>
      <c r="C1138" s="1" t="s">
        <v>11</v>
      </c>
      <c r="D1138">
        <v>0</v>
      </c>
      <c r="E1138">
        <v>0</v>
      </c>
      <c r="F1138">
        <v>19423</v>
      </c>
      <c r="G1138">
        <v>239950</v>
      </c>
      <c r="H1138">
        <v>273188</v>
      </c>
      <c r="I1138">
        <v>331131</v>
      </c>
      <c r="J1138">
        <v>100</v>
      </c>
    </row>
    <row r="1139" spans="1:10" x14ac:dyDescent="0.2">
      <c r="A1139">
        <v>2015</v>
      </c>
      <c r="B1139" s="1" t="s">
        <v>23</v>
      </c>
      <c r="C1139" s="1" t="s">
        <v>12</v>
      </c>
      <c r="D1139">
        <v>0</v>
      </c>
      <c r="E1139">
        <v>0</v>
      </c>
      <c r="F1139">
        <v>7431</v>
      </c>
      <c r="G1139">
        <v>110000</v>
      </c>
      <c r="H1139">
        <v>127321</v>
      </c>
      <c r="I1139">
        <v>151800</v>
      </c>
      <c r="J1139">
        <v>100</v>
      </c>
    </row>
    <row r="1140" spans="1:10" x14ac:dyDescent="0.2">
      <c r="A1140">
        <v>2015</v>
      </c>
      <c r="B1140" s="1" t="s">
        <v>23</v>
      </c>
      <c r="C1140" s="1" t="s">
        <v>13</v>
      </c>
      <c r="D1140">
        <v>0</v>
      </c>
      <c r="E1140">
        <v>0</v>
      </c>
      <c r="F1140">
        <v>27026</v>
      </c>
      <c r="G1140">
        <v>139000</v>
      </c>
      <c r="H1140">
        <v>155462</v>
      </c>
      <c r="I1140">
        <v>191820</v>
      </c>
      <c r="J1140">
        <v>100</v>
      </c>
    </row>
    <row r="1141" spans="1:10" x14ac:dyDescent="0.2">
      <c r="A1141">
        <v>2015</v>
      </c>
      <c r="B1141" s="1" t="s">
        <v>23</v>
      </c>
      <c r="C1141" s="1" t="s">
        <v>14</v>
      </c>
      <c r="D1141">
        <v>0</v>
      </c>
      <c r="E1141">
        <v>0</v>
      </c>
      <c r="F1141">
        <v>25652</v>
      </c>
      <c r="G1141">
        <v>115000</v>
      </c>
      <c r="H1141">
        <v>129640</v>
      </c>
      <c r="I1141">
        <v>158700</v>
      </c>
      <c r="J1141">
        <v>100</v>
      </c>
    </row>
    <row r="1142" spans="1:10" x14ac:dyDescent="0.2">
      <c r="A1142">
        <v>2015</v>
      </c>
      <c r="B1142" s="1" t="s">
        <v>10</v>
      </c>
      <c r="C1142" s="1" t="s">
        <v>24</v>
      </c>
      <c r="D1142">
        <v>0</v>
      </c>
      <c r="E1142">
        <v>1</v>
      </c>
      <c r="F1142">
        <v>78628</v>
      </c>
      <c r="G1142">
        <v>160000</v>
      </c>
      <c r="H1142">
        <v>187791</v>
      </c>
      <c r="I1142">
        <v>220800</v>
      </c>
      <c r="J1142">
        <v>100</v>
      </c>
    </row>
    <row r="1143" spans="1:10" x14ac:dyDescent="0.2">
      <c r="A1143">
        <v>2015</v>
      </c>
      <c r="B1143" s="1" t="s">
        <v>15</v>
      </c>
      <c r="C1143" s="1" t="s">
        <v>24</v>
      </c>
      <c r="D1143">
        <v>0</v>
      </c>
      <c r="E1143">
        <v>1</v>
      </c>
      <c r="F1143">
        <v>109638</v>
      </c>
      <c r="G1143">
        <v>238000</v>
      </c>
      <c r="H1143">
        <v>283800</v>
      </c>
      <c r="I1143">
        <v>328440</v>
      </c>
      <c r="J1143">
        <v>100</v>
      </c>
    </row>
    <row r="1144" spans="1:10" x14ac:dyDescent="0.2">
      <c r="A1144">
        <v>2015</v>
      </c>
      <c r="B1144" s="1" t="s">
        <v>16</v>
      </c>
      <c r="C1144" s="1" t="s">
        <v>24</v>
      </c>
      <c r="D1144">
        <v>0</v>
      </c>
      <c r="E1144">
        <v>1</v>
      </c>
      <c r="F1144">
        <v>113427</v>
      </c>
      <c r="G1144">
        <v>400000</v>
      </c>
      <c r="H1144">
        <v>545470</v>
      </c>
      <c r="I1144">
        <v>552000</v>
      </c>
      <c r="J1144">
        <v>100</v>
      </c>
    </row>
    <row r="1145" spans="1:10" x14ac:dyDescent="0.2">
      <c r="A1145">
        <v>2015</v>
      </c>
      <c r="B1145" s="1" t="s">
        <v>17</v>
      </c>
      <c r="C1145" s="1" t="s">
        <v>24</v>
      </c>
      <c r="D1145">
        <v>0</v>
      </c>
      <c r="E1145">
        <v>1</v>
      </c>
      <c r="F1145">
        <v>36165</v>
      </c>
      <c r="G1145">
        <v>132500</v>
      </c>
      <c r="H1145">
        <v>153554</v>
      </c>
      <c r="I1145">
        <v>182850</v>
      </c>
      <c r="J1145">
        <v>100</v>
      </c>
    </row>
    <row r="1146" spans="1:10" x14ac:dyDescent="0.2">
      <c r="A1146">
        <v>2015</v>
      </c>
      <c r="B1146" s="1" t="s">
        <v>18</v>
      </c>
      <c r="C1146" s="1" t="s">
        <v>24</v>
      </c>
      <c r="D1146">
        <v>0</v>
      </c>
      <c r="E1146">
        <v>1</v>
      </c>
      <c r="F1146">
        <v>106647</v>
      </c>
      <c r="G1146">
        <v>145000</v>
      </c>
      <c r="H1146">
        <v>173220</v>
      </c>
      <c r="I1146">
        <v>200100</v>
      </c>
      <c r="J1146">
        <v>100</v>
      </c>
    </row>
    <row r="1147" spans="1:10" x14ac:dyDescent="0.2">
      <c r="A1147">
        <v>2015</v>
      </c>
      <c r="B1147" s="1" t="s">
        <v>19</v>
      </c>
      <c r="C1147" s="1" t="s">
        <v>24</v>
      </c>
      <c r="D1147">
        <v>0</v>
      </c>
      <c r="E1147">
        <v>1</v>
      </c>
      <c r="F1147">
        <v>163570</v>
      </c>
      <c r="G1147">
        <v>273933</v>
      </c>
      <c r="H1147">
        <v>331941</v>
      </c>
      <c r="I1147">
        <v>378028</v>
      </c>
      <c r="J1147">
        <v>100</v>
      </c>
    </row>
    <row r="1148" spans="1:10" x14ac:dyDescent="0.2">
      <c r="A1148">
        <v>2015</v>
      </c>
      <c r="B1148" s="1" t="s">
        <v>20</v>
      </c>
      <c r="C1148" s="1" t="s">
        <v>24</v>
      </c>
      <c r="D1148">
        <v>0</v>
      </c>
      <c r="E1148">
        <v>1</v>
      </c>
      <c r="F1148">
        <v>105853</v>
      </c>
      <c r="G1148">
        <v>216000</v>
      </c>
      <c r="H1148">
        <v>253061</v>
      </c>
      <c r="I1148">
        <v>298080</v>
      </c>
      <c r="J1148">
        <v>100</v>
      </c>
    </row>
    <row r="1149" spans="1:10" x14ac:dyDescent="0.2">
      <c r="A1149">
        <v>2015</v>
      </c>
      <c r="B1149" s="1" t="s">
        <v>21</v>
      </c>
      <c r="C1149" s="1" t="s">
        <v>24</v>
      </c>
      <c r="D1149">
        <v>0</v>
      </c>
      <c r="E1149">
        <v>1</v>
      </c>
      <c r="F1149">
        <v>43609</v>
      </c>
      <c r="G1149">
        <v>144995</v>
      </c>
      <c r="H1149">
        <v>165520</v>
      </c>
      <c r="I1149">
        <v>200093</v>
      </c>
      <c r="J1149">
        <v>100</v>
      </c>
    </row>
    <row r="1150" spans="1:10" x14ac:dyDescent="0.2">
      <c r="A1150">
        <v>2015</v>
      </c>
      <c r="B1150" s="1" t="s">
        <v>22</v>
      </c>
      <c r="C1150" s="1" t="s">
        <v>24</v>
      </c>
      <c r="D1150">
        <v>0</v>
      </c>
      <c r="E1150">
        <v>1</v>
      </c>
      <c r="F1150">
        <v>81491</v>
      </c>
      <c r="G1150">
        <v>164000</v>
      </c>
      <c r="H1150">
        <v>197124</v>
      </c>
      <c r="I1150">
        <v>226320</v>
      </c>
      <c r="J1150">
        <v>100</v>
      </c>
    </row>
    <row r="1151" spans="1:10" x14ac:dyDescent="0.2">
      <c r="A1151">
        <v>2015</v>
      </c>
      <c r="B1151" s="1" t="s">
        <v>23</v>
      </c>
      <c r="C1151" s="1" t="s">
        <v>24</v>
      </c>
      <c r="D1151">
        <v>0</v>
      </c>
      <c r="E1151">
        <v>1</v>
      </c>
      <c r="F1151">
        <v>79532</v>
      </c>
      <c r="G1151">
        <v>145000</v>
      </c>
      <c r="H1151">
        <v>173254</v>
      </c>
      <c r="I1151">
        <v>200100</v>
      </c>
      <c r="J1151">
        <v>100</v>
      </c>
    </row>
    <row r="1152" spans="1:10" x14ac:dyDescent="0.2">
      <c r="A1152">
        <v>2015</v>
      </c>
      <c r="B1152" s="1" t="s">
        <v>25</v>
      </c>
      <c r="C1152" s="1" t="s">
        <v>11</v>
      </c>
      <c r="D1152">
        <v>1</v>
      </c>
      <c r="E1152">
        <v>0</v>
      </c>
      <c r="F1152">
        <v>228424</v>
      </c>
      <c r="G1152">
        <v>295000</v>
      </c>
      <c r="H1152">
        <v>367228</v>
      </c>
      <c r="I1152">
        <v>407100</v>
      </c>
      <c r="J1152">
        <v>100</v>
      </c>
    </row>
    <row r="1153" spans="1:10" x14ac:dyDescent="0.2">
      <c r="A1153">
        <v>2015</v>
      </c>
      <c r="B1153" s="1" t="s">
        <v>25</v>
      </c>
      <c r="C1153" s="1" t="s">
        <v>12</v>
      </c>
      <c r="D1153">
        <v>1</v>
      </c>
      <c r="E1153">
        <v>0</v>
      </c>
      <c r="F1153">
        <v>182532</v>
      </c>
      <c r="G1153">
        <v>192000</v>
      </c>
      <c r="H1153">
        <v>274471</v>
      </c>
      <c r="I1153">
        <v>264960</v>
      </c>
      <c r="J1153">
        <v>100</v>
      </c>
    </row>
    <row r="1154" spans="1:10" x14ac:dyDescent="0.2">
      <c r="A1154">
        <v>2015</v>
      </c>
      <c r="B1154" s="1" t="s">
        <v>25</v>
      </c>
      <c r="C1154" s="1" t="s">
        <v>13</v>
      </c>
      <c r="D1154">
        <v>1</v>
      </c>
      <c r="E1154">
        <v>0</v>
      </c>
      <c r="F1154">
        <v>241182</v>
      </c>
      <c r="G1154">
        <v>182000</v>
      </c>
      <c r="H1154">
        <v>231147</v>
      </c>
      <c r="I1154">
        <v>251160</v>
      </c>
      <c r="J1154">
        <v>100</v>
      </c>
    </row>
    <row r="1155" spans="1:10" x14ac:dyDescent="0.2">
      <c r="A1155">
        <v>2015</v>
      </c>
      <c r="B1155" s="1" t="s">
        <v>25</v>
      </c>
      <c r="C1155" s="1" t="s">
        <v>14</v>
      </c>
      <c r="D1155">
        <v>1</v>
      </c>
      <c r="E1155">
        <v>0</v>
      </c>
      <c r="F1155">
        <v>266713</v>
      </c>
      <c r="G1155">
        <v>167500</v>
      </c>
      <c r="H1155">
        <v>226030</v>
      </c>
      <c r="I1155">
        <v>231150</v>
      </c>
      <c r="J1155">
        <v>100</v>
      </c>
    </row>
    <row r="1156" spans="1:10" x14ac:dyDescent="0.2">
      <c r="A1156">
        <v>2015</v>
      </c>
      <c r="B1156" s="1" t="s">
        <v>25</v>
      </c>
      <c r="C1156" s="1" t="s">
        <v>24</v>
      </c>
      <c r="D1156">
        <v>1</v>
      </c>
      <c r="E1156">
        <v>1</v>
      </c>
      <c r="F1156">
        <v>918851</v>
      </c>
      <c r="G1156">
        <v>208000</v>
      </c>
      <c r="H1156">
        <v>272098</v>
      </c>
      <c r="I1156">
        <v>287040</v>
      </c>
      <c r="J1156">
        <v>100</v>
      </c>
    </row>
    <row r="1157" spans="1:10" x14ac:dyDescent="0.2">
      <c r="A1157">
        <v>2016</v>
      </c>
      <c r="B1157" s="1" t="s">
        <v>10</v>
      </c>
      <c r="C1157" s="1" t="s">
        <v>11</v>
      </c>
      <c r="D1157">
        <v>0</v>
      </c>
      <c r="E1157">
        <v>0</v>
      </c>
      <c r="F1157">
        <v>30202</v>
      </c>
      <c r="G1157">
        <v>247000</v>
      </c>
      <c r="H1157">
        <v>275652</v>
      </c>
      <c r="I1157">
        <v>337485</v>
      </c>
      <c r="J1157">
        <v>101</v>
      </c>
    </row>
    <row r="1158" spans="1:10" x14ac:dyDescent="0.2">
      <c r="A1158">
        <v>2016</v>
      </c>
      <c r="B1158" s="1" t="s">
        <v>10</v>
      </c>
      <c r="C1158" s="1" t="s">
        <v>12</v>
      </c>
      <c r="D1158">
        <v>0</v>
      </c>
      <c r="E1158">
        <v>0</v>
      </c>
      <c r="F1158">
        <v>5767</v>
      </c>
      <c r="G1158">
        <v>112000</v>
      </c>
      <c r="H1158">
        <v>124364</v>
      </c>
      <c r="I1158">
        <v>153030</v>
      </c>
      <c r="J1158">
        <v>101</v>
      </c>
    </row>
    <row r="1159" spans="1:10" x14ac:dyDescent="0.2">
      <c r="A1159">
        <v>2016</v>
      </c>
      <c r="B1159" s="1" t="s">
        <v>10</v>
      </c>
      <c r="C1159" s="1" t="s">
        <v>13</v>
      </c>
      <c r="D1159">
        <v>0</v>
      </c>
      <c r="E1159">
        <v>0</v>
      </c>
      <c r="F1159">
        <v>25556</v>
      </c>
      <c r="G1159">
        <v>154000</v>
      </c>
      <c r="H1159">
        <v>164937</v>
      </c>
      <c r="I1159">
        <v>210416</v>
      </c>
      <c r="J1159">
        <v>101</v>
      </c>
    </row>
    <row r="1160" spans="1:10" x14ac:dyDescent="0.2">
      <c r="A1160">
        <v>2016</v>
      </c>
      <c r="B1160" s="1" t="s">
        <v>10</v>
      </c>
      <c r="C1160" s="1" t="s">
        <v>14</v>
      </c>
      <c r="D1160">
        <v>0</v>
      </c>
      <c r="E1160">
        <v>0</v>
      </c>
      <c r="F1160">
        <v>20722</v>
      </c>
      <c r="G1160">
        <v>130000</v>
      </c>
      <c r="H1160">
        <v>141795</v>
      </c>
      <c r="I1160">
        <v>177624</v>
      </c>
      <c r="J1160">
        <v>101</v>
      </c>
    </row>
    <row r="1161" spans="1:10" x14ac:dyDescent="0.2">
      <c r="A1161">
        <v>2016</v>
      </c>
      <c r="B1161" s="1" t="s">
        <v>15</v>
      </c>
      <c r="C1161" s="1" t="s">
        <v>11</v>
      </c>
      <c r="D1161">
        <v>0</v>
      </c>
      <c r="E1161">
        <v>0</v>
      </c>
      <c r="F1161">
        <v>31518</v>
      </c>
      <c r="G1161">
        <v>355000</v>
      </c>
      <c r="H1161">
        <v>428215</v>
      </c>
      <c r="I1161">
        <v>485050</v>
      </c>
      <c r="J1161">
        <v>101</v>
      </c>
    </row>
    <row r="1162" spans="1:10" x14ac:dyDescent="0.2">
      <c r="A1162">
        <v>2016</v>
      </c>
      <c r="B1162" s="1" t="s">
        <v>15</v>
      </c>
      <c r="C1162" s="1" t="s">
        <v>12</v>
      </c>
      <c r="D1162">
        <v>0</v>
      </c>
      <c r="E1162">
        <v>0</v>
      </c>
      <c r="F1162">
        <v>19962</v>
      </c>
      <c r="G1162">
        <v>177000</v>
      </c>
      <c r="H1162">
        <v>199574</v>
      </c>
      <c r="I1162">
        <v>241842</v>
      </c>
      <c r="J1162">
        <v>101</v>
      </c>
    </row>
    <row r="1163" spans="1:10" x14ac:dyDescent="0.2">
      <c r="A1163">
        <v>2016</v>
      </c>
      <c r="B1163" s="1" t="s">
        <v>15</v>
      </c>
      <c r="C1163" s="1" t="s">
        <v>13</v>
      </c>
      <c r="D1163">
        <v>0</v>
      </c>
      <c r="E1163">
        <v>0</v>
      </c>
      <c r="F1163">
        <v>27251</v>
      </c>
      <c r="G1163">
        <v>264000</v>
      </c>
      <c r="H1163">
        <v>294868</v>
      </c>
      <c r="I1163">
        <v>360713</v>
      </c>
      <c r="J1163">
        <v>101</v>
      </c>
    </row>
    <row r="1164" spans="1:10" x14ac:dyDescent="0.2">
      <c r="A1164">
        <v>2016</v>
      </c>
      <c r="B1164" s="1" t="s">
        <v>15</v>
      </c>
      <c r="C1164" s="1" t="s">
        <v>14</v>
      </c>
      <c r="D1164">
        <v>0</v>
      </c>
      <c r="E1164">
        <v>0</v>
      </c>
      <c r="F1164">
        <v>29296</v>
      </c>
      <c r="G1164">
        <v>235000</v>
      </c>
      <c r="H1164">
        <v>255314</v>
      </c>
      <c r="I1164">
        <v>321089</v>
      </c>
      <c r="J1164">
        <v>101</v>
      </c>
    </row>
    <row r="1165" spans="1:10" x14ac:dyDescent="0.2">
      <c r="A1165">
        <v>2016</v>
      </c>
      <c r="B1165" s="1" t="s">
        <v>16</v>
      </c>
      <c r="C1165" s="1" t="s">
        <v>11</v>
      </c>
      <c r="D1165">
        <v>0</v>
      </c>
      <c r="E1165">
        <v>0</v>
      </c>
      <c r="F1165">
        <v>4505</v>
      </c>
      <c r="G1165">
        <v>750000</v>
      </c>
      <c r="H1165">
        <v>1001816</v>
      </c>
      <c r="I1165">
        <v>1024752</v>
      </c>
      <c r="J1165">
        <v>101</v>
      </c>
    </row>
    <row r="1166" spans="1:10" x14ac:dyDescent="0.2">
      <c r="A1166">
        <v>2016</v>
      </c>
      <c r="B1166" s="1" t="s">
        <v>16</v>
      </c>
      <c r="C1166" s="1" t="s">
        <v>12</v>
      </c>
      <c r="D1166">
        <v>0</v>
      </c>
      <c r="E1166">
        <v>0</v>
      </c>
      <c r="F1166">
        <v>60263</v>
      </c>
      <c r="G1166">
        <v>400000</v>
      </c>
      <c r="H1166">
        <v>518144</v>
      </c>
      <c r="I1166">
        <v>546535</v>
      </c>
      <c r="J1166">
        <v>101</v>
      </c>
    </row>
    <row r="1167" spans="1:10" x14ac:dyDescent="0.2">
      <c r="A1167">
        <v>2016</v>
      </c>
      <c r="B1167" s="1" t="s">
        <v>16</v>
      </c>
      <c r="C1167" s="1" t="s">
        <v>13</v>
      </c>
      <c r="D1167">
        <v>0</v>
      </c>
      <c r="E1167">
        <v>0</v>
      </c>
      <c r="F1167">
        <v>13018</v>
      </c>
      <c r="G1167">
        <v>502500</v>
      </c>
      <c r="H1167">
        <v>632243</v>
      </c>
      <c r="I1167">
        <v>686584</v>
      </c>
      <c r="J1167">
        <v>101</v>
      </c>
    </row>
    <row r="1168" spans="1:10" x14ac:dyDescent="0.2">
      <c r="A1168">
        <v>2016</v>
      </c>
      <c r="B1168" s="1" t="s">
        <v>16</v>
      </c>
      <c r="C1168" s="1" t="s">
        <v>14</v>
      </c>
      <c r="D1168">
        <v>0</v>
      </c>
      <c r="E1168">
        <v>0</v>
      </c>
      <c r="F1168">
        <v>25529</v>
      </c>
      <c r="G1168">
        <v>460000</v>
      </c>
      <c r="H1168">
        <v>649466</v>
      </c>
      <c r="I1168">
        <v>628515</v>
      </c>
      <c r="J1168">
        <v>101</v>
      </c>
    </row>
    <row r="1169" spans="1:10" x14ac:dyDescent="0.2">
      <c r="A1169">
        <v>2016</v>
      </c>
      <c r="B1169" s="1" t="s">
        <v>17</v>
      </c>
      <c r="C1169" s="1" t="s">
        <v>11</v>
      </c>
      <c r="D1169">
        <v>0</v>
      </c>
      <c r="E1169">
        <v>0</v>
      </c>
      <c r="F1169">
        <v>8505</v>
      </c>
      <c r="G1169">
        <v>220000</v>
      </c>
      <c r="H1169">
        <v>251736</v>
      </c>
      <c r="I1169">
        <v>300594</v>
      </c>
      <c r="J1169">
        <v>101</v>
      </c>
    </row>
    <row r="1170" spans="1:10" x14ac:dyDescent="0.2">
      <c r="A1170">
        <v>2016</v>
      </c>
      <c r="B1170" s="1" t="s">
        <v>17</v>
      </c>
      <c r="C1170" s="1" t="s">
        <v>12</v>
      </c>
      <c r="D1170">
        <v>0</v>
      </c>
      <c r="E1170">
        <v>0</v>
      </c>
      <c r="F1170">
        <v>3949</v>
      </c>
      <c r="G1170">
        <v>93000</v>
      </c>
      <c r="H1170">
        <v>109736</v>
      </c>
      <c r="I1170">
        <v>127069</v>
      </c>
      <c r="J1170">
        <v>101</v>
      </c>
    </row>
    <row r="1171" spans="1:10" x14ac:dyDescent="0.2">
      <c r="A1171">
        <v>2016</v>
      </c>
      <c r="B1171" s="1" t="s">
        <v>17</v>
      </c>
      <c r="C1171" s="1" t="s">
        <v>13</v>
      </c>
      <c r="D1171">
        <v>0</v>
      </c>
      <c r="E1171">
        <v>0</v>
      </c>
      <c r="F1171">
        <v>12502</v>
      </c>
      <c r="G1171">
        <v>132950</v>
      </c>
      <c r="H1171">
        <v>145389</v>
      </c>
      <c r="I1171">
        <v>181654</v>
      </c>
      <c r="J1171">
        <v>101</v>
      </c>
    </row>
    <row r="1172" spans="1:10" x14ac:dyDescent="0.2">
      <c r="A1172">
        <v>2016</v>
      </c>
      <c r="B1172" s="1" t="s">
        <v>17</v>
      </c>
      <c r="C1172" s="1" t="s">
        <v>14</v>
      </c>
      <c r="D1172">
        <v>0</v>
      </c>
      <c r="E1172">
        <v>0</v>
      </c>
      <c r="F1172">
        <v>12151</v>
      </c>
      <c r="G1172">
        <v>98000</v>
      </c>
      <c r="H1172">
        <v>116957</v>
      </c>
      <c r="I1172">
        <v>133901</v>
      </c>
      <c r="J1172">
        <v>101</v>
      </c>
    </row>
    <row r="1173" spans="1:10" x14ac:dyDescent="0.2">
      <c r="A1173">
        <v>2016</v>
      </c>
      <c r="B1173" s="1" t="s">
        <v>18</v>
      </c>
      <c r="C1173" s="1" t="s">
        <v>11</v>
      </c>
      <c r="D1173">
        <v>0</v>
      </c>
      <c r="E1173">
        <v>0</v>
      </c>
      <c r="F1173">
        <v>24185</v>
      </c>
      <c r="G1173">
        <v>257000</v>
      </c>
      <c r="H1173">
        <v>302957</v>
      </c>
      <c r="I1173">
        <v>351149</v>
      </c>
      <c r="J1173">
        <v>101</v>
      </c>
    </row>
    <row r="1174" spans="1:10" x14ac:dyDescent="0.2">
      <c r="A1174">
        <v>2016</v>
      </c>
      <c r="B1174" s="1" t="s">
        <v>18</v>
      </c>
      <c r="C1174" s="1" t="s">
        <v>12</v>
      </c>
      <c r="D1174">
        <v>0</v>
      </c>
      <c r="E1174">
        <v>0</v>
      </c>
      <c r="F1174">
        <v>14660</v>
      </c>
      <c r="G1174">
        <v>122500</v>
      </c>
      <c r="H1174">
        <v>135623</v>
      </c>
      <c r="I1174">
        <v>167376</v>
      </c>
      <c r="J1174">
        <v>101</v>
      </c>
    </row>
    <row r="1175" spans="1:10" x14ac:dyDescent="0.2">
      <c r="A1175">
        <v>2016</v>
      </c>
      <c r="B1175" s="1" t="s">
        <v>18</v>
      </c>
      <c r="C1175" s="1" t="s">
        <v>13</v>
      </c>
      <c r="D1175">
        <v>0</v>
      </c>
      <c r="E1175">
        <v>0</v>
      </c>
      <c r="F1175">
        <v>37554</v>
      </c>
      <c r="G1175">
        <v>153500</v>
      </c>
      <c r="H1175">
        <v>173063</v>
      </c>
      <c r="I1175">
        <v>209733</v>
      </c>
      <c r="J1175">
        <v>101</v>
      </c>
    </row>
    <row r="1176" spans="1:10" x14ac:dyDescent="0.2">
      <c r="A1176">
        <v>2016</v>
      </c>
      <c r="B1176" s="1" t="s">
        <v>18</v>
      </c>
      <c r="C1176" s="1" t="s">
        <v>14</v>
      </c>
      <c r="D1176">
        <v>0</v>
      </c>
      <c r="E1176">
        <v>0</v>
      </c>
      <c r="F1176">
        <v>36049</v>
      </c>
      <c r="G1176">
        <v>106000</v>
      </c>
      <c r="H1176">
        <v>122989</v>
      </c>
      <c r="I1176">
        <v>144832</v>
      </c>
      <c r="J1176">
        <v>101</v>
      </c>
    </row>
    <row r="1177" spans="1:10" x14ac:dyDescent="0.2">
      <c r="A1177">
        <v>2016</v>
      </c>
      <c r="B1177" s="1" t="s">
        <v>19</v>
      </c>
      <c r="C1177" s="1" t="s">
        <v>11</v>
      </c>
      <c r="D1177">
        <v>0</v>
      </c>
      <c r="E1177">
        <v>0</v>
      </c>
      <c r="F1177">
        <v>40487</v>
      </c>
      <c r="G1177">
        <v>469000</v>
      </c>
      <c r="H1177">
        <v>558501</v>
      </c>
      <c r="I1177">
        <v>640812</v>
      </c>
      <c r="J1177">
        <v>101</v>
      </c>
    </row>
    <row r="1178" spans="1:10" x14ac:dyDescent="0.2">
      <c r="A1178">
        <v>2016</v>
      </c>
      <c r="B1178" s="1" t="s">
        <v>19</v>
      </c>
      <c r="C1178" s="1" t="s">
        <v>12</v>
      </c>
      <c r="D1178">
        <v>0</v>
      </c>
      <c r="E1178">
        <v>0</v>
      </c>
      <c r="F1178">
        <v>38871</v>
      </c>
      <c r="G1178">
        <v>200000</v>
      </c>
      <c r="H1178">
        <v>220523</v>
      </c>
      <c r="I1178">
        <v>273267</v>
      </c>
      <c r="J1178">
        <v>101</v>
      </c>
    </row>
    <row r="1179" spans="1:10" x14ac:dyDescent="0.2">
      <c r="A1179">
        <v>2016</v>
      </c>
      <c r="B1179" s="1" t="s">
        <v>19</v>
      </c>
      <c r="C1179" s="1" t="s">
        <v>13</v>
      </c>
      <c r="D1179">
        <v>0</v>
      </c>
      <c r="E1179">
        <v>0</v>
      </c>
      <c r="F1179">
        <v>36983</v>
      </c>
      <c r="G1179">
        <v>317500</v>
      </c>
      <c r="H1179">
        <v>346584</v>
      </c>
      <c r="I1179">
        <v>433812</v>
      </c>
      <c r="J1179">
        <v>101</v>
      </c>
    </row>
    <row r="1180" spans="1:10" x14ac:dyDescent="0.2">
      <c r="A1180">
        <v>2016</v>
      </c>
      <c r="B1180" s="1" t="s">
        <v>19</v>
      </c>
      <c r="C1180" s="1" t="s">
        <v>14</v>
      </c>
      <c r="D1180">
        <v>0</v>
      </c>
      <c r="E1180">
        <v>0</v>
      </c>
      <c r="F1180">
        <v>41702</v>
      </c>
      <c r="G1180">
        <v>265000</v>
      </c>
      <c r="H1180">
        <v>289786</v>
      </c>
      <c r="I1180">
        <v>362079</v>
      </c>
      <c r="J1180">
        <v>101</v>
      </c>
    </row>
    <row r="1181" spans="1:10" x14ac:dyDescent="0.2">
      <c r="A1181">
        <v>2016</v>
      </c>
      <c r="B1181" s="1" t="s">
        <v>20</v>
      </c>
      <c r="C1181" s="1" t="s">
        <v>11</v>
      </c>
      <c r="D1181">
        <v>0</v>
      </c>
      <c r="E1181">
        <v>0</v>
      </c>
      <c r="F1181">
        <v>31462</v>
      </c>
      <c r="G1181">
        <v>330000</v>
      </c>
      <c r="H1181">
        <v>379111</v>
      </c>
      <c r="I1181">
        <v>450891</v>
      </c>
      <c r="J1181">
        <v>101</v>
      </c>
    </row>
    <row r="1182" spans="1:10" x14ac:dyDescent="0.2">
      <c r="A1182">
        <v>2016</v>
      </c>
      <c r="B1182" s="1" t="s">
        <v>20</v>
      </c>
      <c r="C1182" s="1" t="s">
        <v>12</v>
      </c>
      <c r="D1182">
        <v>0</v>
      </c>
      <c r="E1182">
        <v>0</v>
      </c>
      <c r="F1182">
        <v>20771</v>
      </c>
      <c r="G1182">
        <v>156000</v>
      </c>
      <c r="H1182">
        <v>186318</v>
      </c>
      <c r="I1182">
        <v>213149</v>
      </c>
      <c r="J1182">
        <v>101</v>
      </c>
    </row>
    <row r="1183" spans="1:10" x14ac:dyDescent="0.2">
      <c r="A1183">
        <v>2016</v>
      </c>
      <c r="B1183" s="1" t="s">
        <v>20</v>
      </c>
      <c r="C1183" s="1" t="s">
        <v>13</v>
      </c>
      <c r="D1183">
        <v>0</v>
      </c>
      <c r="E1183">
        <v>0</v>
      </c>
      <c r="F1183">
        <v>24214</v>
      </c>
      <c r="G1183">
        <v>225000</v>
      </c>
      <c r="H1183">
        <v>246045</v>
      </c>
      <c r="I1183">
        <v>307426</v>
      </c>
      <c r="J1183">
        <v>101</v>
      </c>
    </row>
    <row r="1184" spans="1:10" x14ac:dyDescent="0.2">
      <c r="A1184">
        <v>2016</v>
      </c>
      <c r="B1184" s="1" t="s">
        <v>20</v>
      </c>
      <c r="C1184" s="1" t="s">
        <v>14</v>
      </c>
      <c r="D1184">
        <v>0</v>
      </c>
      <c r="E1184">
        <v>0</v>
      </c>
      <c r="F1184">
        <v>31168</v>
      </c>
      <c r="G1184">
        <v>193000</v>
      </c>
      <c r="H1184">
        <v>219911</v>
      </c>
      <c r="I1184">
        <v>263703</v>
      </c>
      <c r="J1184">
        <v>101</v>
      </c>
    </row>
    <row r="1185" spans="1:10" x14ac:dyDescent="0.2">
      <c r="A1185">
        <v>2016</v>
      </c>
      <c r="B1185" s="1" t="s">
        <v>21</v>
      </c>
      <c r="C1185" s="1" t="s">
        <v>11</v>
      </c>
      <c r="D1185">
        <v>0</v>
      </c>
      <c r="E1185">
        <v>0</v>
      </c>
      <c r="F1185">
        <v>14354</v>
      </c>
      <c r="G1185">
        <v>223000</v>
      </c>
      <c r="H1185">
        <v>247632</v>
      </c>
      <c r="I1185">
        <v>304693</v>
      </c>
      <c r="J1185">
        <v>101</v>
      </c>
    </row>
    <row r="1186" spans="1:10" x14ac:dyDescent="0.2">
      <c r="A1186">
        <v>2016</v>
      </c>
      <c r="B1186" s="1" t="s">
        <v>21</v>
      </c>
      <c r="C1186" s="1" t="s">
        <v>12</v>
      </c>
      <c r="D1186">
        <v>0</v>
      </c>
      <c r="E1186">
        <v>0</v>
      </c>
      <c r="F1186">
        <v>3856</v>
      </c>
      <c r="G1186">
        <v>118000</v>
      </c>
      <c r="H1186">
        <v>128713</v>
      </c>
      <c r="I1186">
        <v>161228</v>
      </c>
      <c r="J1186">
        <v>101</v>
      </c>
    </row>
    <row r="1187" spans="1:10" x14ac:dyDescent="0.2">
      <c r="A1187">
        <v>2016</v>
      </c>
      <c r="B1187" s="1" t="s">
        <v>21</v>
      </c>
      <c r="C1187" s="1" t="s">
        <v>13</v>
      </c>
      <c r="D1187">
        <v>0</v>
      </c>
      <c r="E1187">
        <v>0</v>
      </c>
      <c r="F1187">
        <v>13114</v>
      </c>
      <c r="G1187">
        <v>140000</v>
      </c>
      <c r="H1187">
        <v>153641</v>
      </c>
      <c r="I1187">
        <v>191287</v>
      </c>
      <c r="J1187">
        <v>101</v>
      </c>
    </row>
    <row r="1188" spans="1:10" x14ac:dyDescent="0.2">
      <c r="A1188">
        <v>2016</v>
      </c>
      <c r="B1188" s="1" t="s">
        <v>21</v>
      </c>
      <c r="C1188" s="1" t="s">
        <v>14</v>
      </c>
      <c r="D1188">
        <v>0</v>
      </c>
      <c r="E1188">
        <v>0</v>
      </c>
      <c r="F1188">
        <v>14358</v>
      </c>
      <c r="G1188">
        <v>110000</v>
      </c>
      <c r="H1188">
        <v>124378</v>
      </c>
      <c r="I1188">
        <v>150297</v>
      </c>
      <c r="J1188">
        <v>101</v>
      </c>
    </row>
    <row r="1189" spans="1:10" x14ac:dyDescent="0.2">
      <c r="A1189">
        <v>2016</v>
      </c>
      <c r="B1189" s="1" t="s">
        <v>22</v>
      </c>
      <c r="C1189" s="1" t="s">
        <v>11</v>
      </c>
      <c r="D1189">
        <v>0</v>
      </c>
      <c r="E1189">
        <v>0</v>
      </c>
      <c r="F1189">
        <v>23330</v>
      </c>
      <c r="G1189">
        <v>280000</v>
      </c>
      <c r="H1189">
        <v>320254</v>
      </c>
      <c r="I1189">
        <v>382574</v>
      </c>
      <c r="J1189">
        <v>101</v>
      </c>
    </row>
    <row r="1190" spans="1:10" x14ac:dyDescent="0.2">
      <c r="A1190">
        <v>2016</v>
      </c>
      <c r="B1190" s="1" t="s">
        <v>22</v>
      </c>
      <c r="C1190" s="1" t="s">
        <v>12</v>
      </c>
      <c r="D1190">
        <v>0</v>
      </c>
      <c r="E1190">
        <v>0</v>
      </c>
      <c r="F1190">
        <v>10263</v>
      </c>
      <c r="G1190">
        <v>120000</v>
      </c>
      <c r="H1190">
        <v>136258</v>
      </c>
      <c r="I1190">
        <v>163960</v>
      </c>
      <c r="J1190">
        <v>101</v>
      </c>
    </row>
    <row r="1191" spans="1:10" x14ac:dyDescent="0.2">
      <c r="A1191">
        <v>2016</v>
      </c>
      <c r="B1191" s="1" t="s">
        <v>22</v>
      </c>
      <c r="C1191" s="1" t="s">
        <v>13</v>
      </c>
      <c r="D1191">
        <v>0</v>
      </c>
      <c r="E1191">
        <v>0</v>
      </c>
      <c r="F1191">
        <v>27845</v>
      </c>
      <c r="G1191">
        <v>164995</v>
      </c>
      <c r="H1191">
        <v>180718</v>
      </c>
      <c r="I1191">
        <v>225439</v>
      </c>
      <c r="J1191">
        <v>101</v>
      </c>
    </row>
    <row r="1192" spans="1:10" x14ac:dyDescent="0.2">
      <c r="A1192">
        <v>2016</v>
      </c>
      <c r="B1192" s="1" t="s">
        <v>22</v>
      </c>
      <c r="C1192" s="1" t="s">
        <v>14</v>
      </c>
      <c r="D1192">
        <v>0</v>
      </c>
      <c r="E1192">
        <v>0</v>
      </c>
      <c r="F1192">
        <v>23960</v>
      </c>
      <c r="G1192">
        <v>135500</v>
      </c>
      <c r="H1192">
        <v>152209</v>
      </c>
      <c r="I1192">
        <v>185139</v>
      </c>
      <c r="J1192">
        <v>101</v>
      </c>
    </row>
    <row r="1193" spans="1:10" x14ac:dyDescent="0.2">
      <c r="A1193">
        <v>2016</v>
      </c>
      <c r="B1193" s="1" t="s">
        <v>23</v>
      </c>
      <c r="C1193" s="1" t="s">
        <v>11</v>
      </c>
      <c r="D1193">
        <v>0</v>
      </c>
      <c r="E1193">
        <v>0</v>
      </c>
      <c r="F1193">
        <v>20313</v>
      </c>
      <c r="G1193">
        <v>249950</v>
      </c>
      <c r="H1193">
        <v>282968</v>
      </c>
      <c r="I1193">
        <v>341516</v>
      </c>
      <c r="J1193">
        <v>101</v>
      </c>
    </row>
    <row r="1194" spans="1:10" x14ac:dyDescent="0.2">
      <c r="A1194">
        <v>2016</v>
      </c>
      <c r="B1194" s="1" t="s">
        <v>23</v>
      </c>
      <c r="C1194" s="1" t="s">
        <v>12</v>
      </c>
      <c r="D1194">
        <v>0</v>
      </c>
      <c r="E1194">
        <v>0</v>
      </c>
      <c r="F1194">
        <v>8410</v>
      </c>
      <c r="G1194">
        <v>114972</v>
      </c>
      <c r="H1194">
        <v>133781</v>
      </c>
      <c r="I1194">
        <v>157091</v>
      </c>
      <c r="J1194">
        <v>101</v>
      </c>
    </row>
    <row r="1195" spans="1:10" x14ac:dyDescent="0.2">
      <c r="A1195">
        <v>2016</v>
      </c>
      <c r="B1195" s="1" t="s">
        <v>23</v>
      </c>
      <c r="C1195" s="1" t="s">
        <v>13</v>
      </c>
      <c r="D1195">
        <v>0</v>
      </c>
      <c r="E1195">
        <v>0</v>
      </c>
      <c r="F1195">
        <v>28191</v>
      </c>
      <c r="G1195">
        <v>144995</v>
      </c>
      <c r="H1195">
        <v>161473</v>
      </c>
      <c r="I1195">
        <v>198112</v>
      </c>
      <c r="J1195">
        <v>101</v>
      </c>
    </row>
    <row r="1196" spans="1:10" x14ac:dyDescent="0.2">
      <c r="A1196">
        <v>2016</v>
      </c>
      <c r="B1196" s="1" t="s">
        <v>23</v>
      </c>
      <c r="C1196" s="1" t="s">
        <v>14</v>
      </c>
      <c r="D1196">
        <v>0</v>
      </c>
      <c r="E1196">
        <v>0</v>
      </c>
      <c r="F1196">
        <v>25344</v>
      </c>
      <c r="G1196">
        <v>118000</v>
      </c>
      <c r="H1196">
        <v>133188</v>
      </c>
      <c r="I1196">
        <v>161228</v>
      </c>
      <c r="J1196">
        <v>101</v>
      </c>
    </row>
    <row r="1197" spans="1:10" x14ac:dyDescent="0.2">
      <c r="A1197">
        <v>2016</v>
      </c>
      <c r="B1197" s="1" t="s">
        <v>10</v>
      </c>
      <c r="C1197" s="1" t="s">
        <v>24</v>
      </c>
      <c r="D1197">
        <v>0</v>
      </c>
      <c r="E1197">
        <v>1</v>
      </c>
      <c r="F1197">
        <v>82247</v>
      </c>
      <c r="G1197">
        <v>168450</v>
      </c>
      <c r="H1197">
        <v>196917</v>
      </c>
      <c r="I1197">
        <v>230159</v>
      </c>
      <c r="J1197">
        <v>101</v>
      </c>
    </row>
    <row r="1198" spans="1:10" x14ac:dyDescent="0.2">
      <c r="A1198">
        <v>2016</v>
      </c>
      <c r="B1198" s="1" t="s">
        <v>15</v>
      </c>
      <c r="C1198" s="1" t="s">
        <v>24</v>
      </c>
      <c r="D1198">
        <v>0</v>
      </c>
      <c r="E1198">
        <v>1</v>
      </c>
      <c r="F1198">
        <v>108027</v>
      </c>
      <c r="G1198">
        <v>258000</v>
      </c>
      <c r="H1198">
        <v>305437</v>
      </c>
      <c r="I1198">
        <v>352515</v>
      </c>
      <c r="J1198">
        <v>101</v>
      </c>
    </row>
    <row r="1199" spans="1:10" x14ac:dyDescent="0.2">
      <c r="A1199">
        <v>2016</v>
      </c>
      <c r="B1199" s="1" t="s">
        <v>16</v>
      </c>
      <c r="C1199" s="1" t="s">
        <v>24</v>
      </c>
      <c r="D1199">
        <v>0</v>
      </c>
      <c r="E1199">
        <v>1</v>
      </c>
      <c r="F1199">
        <v>103315</v>
      </c>
      <c r="G1199">
        <v>442000</v>
      </c>
      <c r="H1199">
        <v>586060</v>
      </c>
      <c r="I1199">
        <v>603921</v>
      </c>
      <c r="J1199">
        <v>101</v>
      </c>
    </row>
    <row r="1200" spans="1:10" x14ac:dyDescent="0.2">
      <c r="A1200">
        <v>2016</v>
      </c>
      <c r="B1200" s="1" t="s">
        <v>17</v>
      </c>
      <c r="C1200" s="1" t="s">
        <v>24</v>
      </c>
      <c r="D1200">
        <v>0</v>
      </c>
      <c r="E1200">
        <v>1</v>
      </c>
      <c r="F1200">
        <v>37107</v>
      </c>
      <c r="G1200">
        <v>134950</v>
      </c>
      <c r="H1200">
        <v>156659</v>
      </c>
      <c r="I1200">
        <v>184387</v>
      </c>
      <c r="J1200">
        <v>101</v>
      </c>
    </row>
    <row r="1201" spans="1:10" x14ac:dyDescent="0.2">
      <c r="A1201">
        <v>2016</v>
      </c>
      <c r="B1201" s="1" t="s">
        <v>18</v>
      </c>
      <c r="C1201" s="1" t="s">
        <v>24</v>
      </c>
      <c r="D1201">
        <v>0</v>
      </c>
      <c r="E1201">
        <v>1</v>
      </c>
      <c r="F1201">
        <v>112448</v>
      </c>
      <c r="G1201">
        <v>150000</v>
      </c>
      <c r="H1201">
        <v>180066</v>
      </c>
      <c r="I1201">
        <v>204950</v>
      </c>
      <c r="J1201">
        <v>101</v>
      </c>
    </row>
    <row r="1202" spans="1:10" x14ac:dyDescent="0.2">
      <c r="A1202">
        <v>2016</v>
      </c>
      <c r="B1202" s="1" t="s">
        <v>19</v>
      </c>
      <c r="C1202" s="1" t="s">
        <v>24</v>
      </c>
      <c r="D1202">
        <v>0</v>
      </c>
      <c r="E1202">
        <v>1</v>
      </c>
      <c r="F1202">
        <v>158043</v>
      </c>
      <c r="G1202">
        <v>295500</v>
      </c>
      <c r="H1202">
        <v>354880</v>
      </c>
      <c r="I1202">
        <v>403752</v>
      </c>
      <c r="J1202">
        <v>101</v>
      </c>
    </row>
    <row r="1203" spans="1:10" x14ac:dyDescent="0.2">
      <c r="A1203">
        <v>2016</v>
      </c>
      <c r="B1203" s="1" t="s">
        <v>20</v>
      </c>
      <c r="C1203" s="1" t="s">
        <v>24</v>
      </c>
      <c r="D1203">
        <v>0</v>
      </c>
      <c r="E1203">
        <v>1</v>
      </c>
      <c r="F1203">
        <v>107615</v>
      </c>
      <c r="G1203">
        <v>229950</v>
      </c>
      <c r="H1203">
        <v>265851</v>
      </c>
      <c r="I1203">
        <v>314189</v>
      </c>
      <c r="J1203">
        <v>101</v>
      </c>
    </row>
    <row r="1204" spans="1:10" x14ac:dyDescent="0.2">
      <c r="A1204">
        <v>2016</v>
      </c>
      <c r="B1204" s="1" t="s">
        <v>21</v>
      </c>
      <c r="C1204" s="1" t="s">
        <v>24</v>
      </c>
      <c r="D1204">
        <v>0</v>
      </c>
      <c r="E1204">
        <v>1</v>
      </c>
      <c r="F1204">
        <v>45682</v>
      </c>
      <c r="G1204">
        <v>149000</v>
      </c>
      <c r="H1204">
        <v>171873</v>
      </c>
      <c r="I1204">
        <v>203584</v>
      </c>
      <c r="J1204">
        <v>101</v>
      </c>
    </row>
    <row r="1205" spans="1:10" x14ac:dyDescent="0.2">
      <c r="A1205">
        <v>2016</v>
      </c>
      <c r="B1205" s="1" t="s">
        <v>22</v>
      </c>
      <c r="C1205" s="1" t="s">
        <v>24</v>
      </c>
      <c r="D1205">
        <v>0</v>
      </c>
      <c r="E1205">
        <v>1</v>
      </c>
      <c r="F1205">
        <v>85398</v>
      </c>
      <c r="G1205">
        <v>170000</v>
      </c>
      <c r="H1205">
        <v>205496</v>
      </c>
      <c r="I1205">
        <v>232277</v>
      </c>
      <c r="J1205">
        <v>101</v>
      </c>
    </row>
    <row r="1206" spans="1:10" x14ac:dyDescent="0.2">
      <c r="A1206">
        <v>2016</v>
      </c>
      <c r="B1206" s="1" t="s">
        <v>23</v>
      </c>
      <c r="C1206" s="1" t="s">
        <v>24</v>
      </c>
      <c r="D1206">
        <v>0</v>
      </c>
      <c r="E1206">
        <v>1</v>
      </c>
      <c r="F1206">
        <v>82258</v>
      </c>
      <c r="G1206">
        <v>150000</v>
      </c>
      <c r="H1206">
        <v>179929</v>
      </c>
      <c r="I1206">
        <v>204950</v>
      </c>
      <c r="J1206">
        <v>101</v>
      </c>
    </row>
    <row r="1207" spans="1:10" x14ac:dyDescent="0.2">
      <c r="A1207">
        <v>2016</v>
      </c>
      <c r="B1207" s="1" t="s">
        <v>25</v>
      </c>
      <c r="C1207" s="1" t="s">
        <v>11</v>
      </c>
      <c r="D1207">
        <v>1</v>
      </c>
      <c r="E1207">
        <v>0</v>
      </c>
      <c r="F1207">
        <v>228953</v>
      </c>
      <c r="G1207">
        <v>308000</v>
      </c>
      <c r="H1207">
        <v>380679</v>
      </c>
      <c r="I1207">
        <v>420832</v>
      </c>
      <c r="J1207">
        <v>101</v>
      </c>
    </row>
    <row r="1208" spans="1:10" x14ac:dyDescent="0.2">
      <c r="A1208">
        <v>2016</v>
      </c>
      <c r="B1208" s="1" t="s">
        <v>25</v>
      </c>
      <c r="C1208" s="1" t="s">
        <v>12</v>
      </c>
      <c r="D1208">
        <v>1</v>
      </c>
      <c r="E1208">
        <v>0</v>
      </c>
      <c r="F1208">
        <v>186862</v>
      </c>
      <c r="G1208">
        <v>205000</v>
      </c>
      <c r="H1208">
        <v>288098</v>
      </c>
      <c r="I1208">
        <v>280099</v>
      </c>
      <c r="J1208">
        <v>101</v>
      </c>
    </row>
    <row r="1209" spans="1:10" x14ac:dyDescent="0.2">
      <c r="A1209">
        <v>2016</v>
      </c>
      <c r="B1209" s="1" t="s">
        <v>25</v>
      </c>
      <c r="C1209" s="1" t="s">
        <v>13</v>
      </c>
      <c r="D1209">
        <v>1</v>
      </c>
      <c r="E1209">
        <v>0</v>
      </c>
      <c r="F1209">
        <v>246249</v>
      </c>
      <c r="G1209">
        <v>190000</v>
      </c>
      <c r="H1209">
        <v>240315</v>
      </c>
      <c r="I1209">
        <v>259604</v>
      </c>
      <c r="J1209">
        <v>101</v>
      </c>
    </row>
    <row r="1210" spans="1:10" x14ac:dyDescent="0.2">
      <c r="A1210">
        <v>2016</v>
      </c>
      <c r="B1210" s="1" t="s">
        <v>25</v>
      </c>
      <c r="C1210" s="1" t="s">
        <v>14</v>
      </c>
      <c r="D1210">
        <v>1</v>
      </c>
      <c r="E1210">
        <v>0</v>
      </c>
      <c r="F1210">
        <v>260307</v>
      </c>
      <c r="G1210">
        <v>173000</v>
      </c>
      <c r="H1210">
        <v>232832</v>
      </c>
      <c r="I1210">
        <v>236376</v>
      </c>
      <c r="J1210">
        <v>101</v>
      </c>
    </row>
    <row r="1211" spans="1:10" x14ac:dyDescent="0.2">
      <c r="A1211">
        <v>2016</v>
      </c>
      <c r="B1211" s="1" t="s">
        <v>25</v>
      </c>
      <c r="C1211" s="1" t="s">
        <v>24</v>
      </c>
      <c r="D1211">
        <v>1</v>
      </c>
      <c r="E1211">
        <v>1</v>
      </c>
      <c r="F1211">
        <v>922371</v>
      </c>
      <c r="G1211">
        <v>219950</v>
      </c>
      <c r="H1211">
        <v>282725</v>
      </c>
      <c r="I1211">
        <v>300526</v>
      </c>
      <c r="J1211">
        <v>101</v>
      </c>
    </row>
    <row r="1212" spans="1:10" x14ac:dyDescent="0.2">
      <c r="A1212">
        <v>2017</v>
      </c>
      <c r="B1212" s="1" t="s">
        <v>10</v>
      </c>
      <c r="C1212" s="1" t="s">
        <v>11</v>
      </c>
      <c r="D1212">
        <v>0</v>
      </c>
      <c r="E1212">
        <v>0</v>
      </c>
      <c r="F1212">
        <v>29843</v>
      </c>
      <c r="G1212">
        <v>264000</v>
      </c>
      <c r="H1212">
        <v>291215</v>
      </c>
      <c r="I1212">
        <v>351660</v>
      </c>
      <c r="J1212">
        <v>103.6</v>
      </c>
    </row>
    <row r="1213" spans="1:10" x14ac:dyDescent="0.2">
      <c r="A1213">
        <v>2017</v>
      </c>
      <c r="B1213" s="1" t="s">
        <v>10</v>
      </c>
      <c r="C1213" s="1" t="s">
        <v>12</v>
      </c>
      <c r="D1213">
        <v>0</v>
      </c>
      <c r="E1213">
        <v>0</v>
      </c>
      <c r="F1213">
        <v>5354</v>
      </c>
      <c r="G1213">
        <v>114950</v>
      </c>
      <c r="H1213">
        <v>126750</v>
      </c>
      <c r="I1213">
        <v>153119</v>
      </c>
      <c r="J1213">
        <v>103.6</v>
      </c>
    </row>
    <row r="1214" spans="1:10" x14ac:dyDescent="0.2">
      <c r="A1214">
        <v>2017</v>
      </c>
      <c r="B1214" s="1" t="s">
        <v>10</v>
      </c>
      <c r="C1214" s="1" t="s">
        <v>13</v>
      </c>
      <c r="D1214">
        <v>0</v>
      </c>
      <c r="E1214">
        <v>0</v>
      </c>
      <c r="F1214">
        <v>26276</v>
      </c>
      <c r="G1214">
        <v>164995</v>
      </c>
      <c r="H1214">
        <v>174983</v>
      </c>
      <c r="I1214">
        <v>219781</v>
      </c>
      <c r="J1214">
        <v>103.6</v>
      </c>
    </row>
    <row r="1215" spans="1:10" x14ac:dyDescent="0.2">
      <c r="A1215">
        <v>2017</v>
      </c>
      <c r="B1215" s="1" t="s">
        <v>10</v>
      </c>
      <c r="C1215" s="1" t="s">
        <v>14</v>
      </c>
      <c r="D1215">
        <v>0</v>
      </c>
      <c r="E1215">
        <v>0</v>
      </c>
      <c r="F1215">
        <v>19245</v>
      </c>
      <c r="G1215">
        <v>137500</v>
      </c>
      <c r="H1215">
        <v>149345</v>
      </c>
      <c r="I1215">
        <v>183156</v>
      </c>
      <c r="J1215">
        <v>103.6</v>
      </c>
    </row>
    <row r="1216" spans="1:10" x14ac:dyDescent="0.2">
      <c r="A1216">
        <v>2017</v>
      </c>
      <c r="B1216" s="1" t="s">
        <v>15</v>
      </c>
      <c r="C1216" s="1" t="s">
        <v>11</v>
      </c>
      <c r="D1216">
        <v>0</v>
      </c>
      <c r="E1216">
        <v>0</v>
      </c>
      <c r="F1216">
        <v>31214</v>
      </c>
      <c r="G1216">
        <v>379995</v>
      </c>
      <c r="H1216">
        <v>447954</v>
      </c>
      <c r="I1216">
        <v>506171</v>
      </c>
      <c r="J1216">
        <v>103.6</v>
      </c>
    </row>
    <row r="1217" spans="1:10" x14ac:dyDescent="0.2">
      <c r="A1217">
        <v>2017</v>
      </c>
      <c r="B1217" s="1" t="s">
        <v>15</v>
      </c>
      <c r="C1217" s="1" t="s">
        <v>12</v>
      </c>
      <c r="D1217">
        <v>0</v>
      </c>
      <c r="E1217">
        <v>0</v>
      </c>
      <c r="F1217">
        <v>17387</v>
      </c>
      <c r="G1217">
        <v>189995</v>
      </c>
      <c r="H1217">
        <v>212146</v>
      </c>
      <c r="I1217">
        <v>253082</v>
      </c>
      <c r="J1217">
        <v>103.6</v>
      </c>
    </row>
    <row r="1218" spans="1:10" x14ac:dyDescent="0.2">
      <c r="A1218">
        <v>2017</v>
      </c>
      <c r="B1218" s="1" t="s">
        <v>15</v>
      </c>
      <c r="C1218" s="1" t="s">
        <v>13</v>
      </c>
      <c r="D1218">
        <v>0</v>
      </c>
      <c r="E1218">
        <v>0</v>
      </c>
      <c r="F1218">
        <v>27759</v>
      </c>
      <c r="G1218">
        <v>280000</v>
      </c>
      <c r="H1218">
        <v>312793</v>
      </c>
      <c r="I1218">
        <v>372973</v>
      </c>
      <c r="J1218">
        <v>103.6</v>
      </c>
    </row>
    <row r="1219" spans="1:10" x14ac:dyDescent="0.2">
      <c r="A1219">
        <v>2017</v>
      </c>
      <c r="B1219" s="1" t="s">
        <v>15</v>
      </c>
      <c r="C1219" s="1" t="s">
        <v>14</v>
      </c>
      <c r="D1219">
        <v>0</v>
      </c>
      <c r="E1219">
        <v>0</v>
      </c>
      <c r="F1219">
        <v>26520</v>
      </c>
      <c r="G1219">
        <v>249000</v>
      </c>
      <c r="H1219">
        <v>269375</v>
      </c>
      <c r="I1219">
        <v>331680</v>
      </c>
      <c r="J1219">
        <v>103.6</v>
      </c>
    </row>
    <row r="1220" spans="1:10" x14ac:dyDescent="0.2">
      <c r="A1220">
        <v>2017</v>
      </c>
      <c r="B1220" s="1" t="s">
        <v>16</v>
      </c>
      <c r="C1220" s="1" t="s">
        <v>11</v>
      </c>
      <c r="D1220">
        <v>0</v>
      </c>
      <c r="E1220">
        <v>0</v>
      </c>
      <c r="F1220">
        <v>4095</v>
      </c>
      <c r="G1220">
        <v>780000</v>
      </c>
      <c r="H1220">
        <v>1042373</v>
      </c>
      <c r="I1220">
        <v>1038996</v>
      </c>
      <c r="J1220">
        <v>103.6</v>
      </c>
    </row>
    <row r="1221" spans="1:10" x14ac:dyDescent="0.2">
      <c r="A1221">
        <v>2017</v>
      </c>
      <c r="B1221" s="1" t="s">
        <v>16</v>
      </c>
      <c r="C1221" s="1" t="s">
        <v>12</v>
      </c>
      <c r="D1221">
        <v>0</v>
      </c>
      <c r="E1221">
        <v>0</v>
      </c>
      <c r="F1221">
        <v>52714</v>
      </c>
      <c r="G1221">
        <v>422000</v>
      </c>
      <c r="H1221">
        <v>555913</v>
      </c>
      <c r="I1221">
        <v>562124</v>
      </c>
      <c r="J1221">
        <v>103.6</v>
      </c>
    </row>
    <row r="1222" spans="1:10" x14ac:dyDescent="0.2">
      <c r="A1222">
        <v>2017</v>
      </c>
      <c r="B1222" s="1" t="s">
        <v>16</v>
      </c>
      <c r="C1222" s="1" t="s">
        <v>13</v>
      </c>
      <c r="D1222">
        <v>0</v>
      </c>
      <c r="E1222">
        <v>0</v>
      </c>
      <c r="F1222">
        <v>12849</v>
      </c>
      <c r="G1222">
        <v>525000</v>
      </c>
      <c r="H1222">
        <v>659204</v>
      </c>
      <c r="I1222">
        <v>699324</v>
      </c>
      <c r="J1222">
        <v>103.6</v>
      </c>
    </row>
    <row r="1223" spans="1:10" x14ac:dyDescent="0.2">
      <c r="A1223">
        <v>2017</v>
      </c>
      <c r="B1223" s="1" t="s">
        <v>16</v>
      </c>
      <c r="C1223" s="1" t="s">
        <v>14</v>
      </c>
      <c r="D1223">
        <v>0</v>
      </c>
      <c r="E1223">
        <v>0</v>
      </c>
      <c r="F1223">
        <v>23726</v>
      </c>
      <c r="G1223">
        <v>485000</v>
      </c>
      <c r="H1223">
        <v>669657</v>
      </c>
      <c r="I1223">
        <v>646042</v>
      </c>
      <c r="J1223">
        <v>103.6</v>
      </c>
    </row>
    <row r="1224" spans="1:10" x14ac:dyDescent="0.2">
      <c r="A1224">
        <v>2017</v>
      </c>
      <c r="B1224" s="1" t="s">
        <v>17</v>
      </c>
      <c r="C1224" s="1" t="s">
        <v>11</v>
      </c>
      <c r="D1224">
        <v>0</v>
      </c>
      <c r="E1224">
        <v>0</v>
      </c>
      <c r="F1224">
        <v>9401</v>
      </c>
      <c r="G1224">
        <v>229950</v>
      </c>
      <c r="H1224">
        <v>260341</v>
      </c>
      <c r="I1224">
        <v>306304</v>
      </c>
      <c r="J1224">
        <v>103.6</v>
      </c>
    </row>
    <row r="1225" spans="1:10" x14ac:dyDescent="0.2">
      <c r="A1225">
        <v>2017</v>
      </c>
      <c r="B1225" s="1" t="s">
        <v>17</v>
      </c>
      <c r="C1225" s="1" t="s">
        <v>12</v>
      </c>
      <c r="D1225">
        <v>0</v>
      </c>
      <c r="E1225">
        <v>0</v>
      </c>
      <c r="F1225">
        <v>3928</v>
      </c>
      <c r="G1225">
        <v>92500</v>
      </c>
      <c r="H1225">
        <v>108349</v>
      </c>
      <c r="I1225">
        <v>123214</v>
      </c>
      <c r="J1225">
        <v>103.6</v>
      </c>
    </row>
    <row r="1226" spans="1:10" x14ac:dyDescent="0.2">
      <c r="A1226">
        <v>2017</v>
      </c>
      <c r="B1226" s="1" t="s">
        <v>17</v>
      </c>
      <c r="C1226" s="1" t="s">
        <v>13</v>
      </c>
      <c r="D1226">
        <v>0</v>
      </c>
      <c r="E1226">
        <v>0</v>
      </c>
      <c r="F1226">
        <v>13397</v>
      </c>
      <c r="G1226">
        <v>134950</v>
      </c>
      <c r="H1226">
        <v>146678</v>
      </c>
      <c r="I1226">
        <v>179760</v>
      </c>
      <c r="J1226">
        <v>103.6</v>
      </c>
    </row>
    <row r="1227" spans="1:10" x14ac:dyDescent="0.2">
      <c r="A1227">
        <v>2017</v>
      </c>
      <c r="B1227" s="1" t="s">
        <v>17</v>
      </c>
      <c r="C1227" s="1" t="s">
        <v>14</v>
      </c>
      <c r="D1227">
        <v>0</v>
      </c>
      <c r="E1227">
        <v>0</v>
      </c>
      <c r="F1227">
        <v>12307</v>
      </c>
      <c r="G1227">
        <v>97845</v>
      </c>
      <c r="H1227">
        <v>115678</v>
      </c>
      <c r="I1227">
        <v>130334</v>
      </c>
      <c r="J1227">
        <v>103.6</v>
      </c>
    </row>
    <row r="1228" spans="1:10" x14ac:dyDescent="0.2">
      <c r="A1228">
        <v>2017</v>
      </c>
      <c r="B1228" s="1" t="s">
        <v>18</v>
      </c>
      <c r="C1228" s="1" t="s">
        <v>11</v>
      </c>
      <c r="D1228">
        <v>0</v>
      </c>
      <c r="E1228">
        <v>0</v>
      </c>
      <c r="F1228">
        <v>25251</v>
      </c>
      <c r="G1228">
        <v>267500</v>
      </c>
      <c r="H1228">
        <v>316836</v>
      </c>
      <c r="I1228">
        <v>356322</v>
      </c>
      <c r="J1228">
        <v>103.6</v>
      </c>
    </row>
    <row r="1229" spans="1:10" x14ac:dyDescent="0.2">
      <c r="A1229">
        <v>2017</v>
      </c>
      <c r="B1229" s="1" t="s">
        <v>18</v>
      </c>
      <c r="C1229" s="1" t="s">
        <v>12</v>
      </c>
      <c r="D1229">
        <v>0</v>
      </c>
      <c r="E1229">
        <v>0</v>
      </c>
      <c r="F1229">
        <v>13964</v>
      </c>
      <c r="G1229">
        <v>124950</v>
      </c>
      <c r="H1229">
        <v>143885</v>
      </c>
      <c r="I1229">
        <v>166439</v>
      </c>
      <c r="J1229">
        <v>103.6</v>
      </c>
    </row>
    <row r="1230" spans="1:10" x14ac:dyDescent="0.2">
      <c r="A1230">
        <v>2017</v>
      </c>
      <c r="B1230" s="1" t="s">
        <v>18</v>
      </c>
      <c r="C1230" s="1" t="s">
        <v>13</v>
      </c>
      <c r="D1230">
        <v>0</v>
      </c>
      <c r="E1230">
        <v>0</v>
      </c>
      <c r="F1230">
        <v>39597</v>
      </c>
      <c r="G1230">
        <v>160000</v>
      </c>
      <c r="H1230">
        <v>180553</v>
      </c>
      <c r="I1230">
        <v>213127</v>
      </c>
      <c r="J1230">
        <v>103.6</v>
      </c>
    </row>
    <row r="1231" spans="1:10" x14ac:dyDescent="0.2">
      <c r="A1231">
        <v>2017</v>
      </c>
      <c r="B1231" s="1" t="s">
        <v>18</v>
      </c>
      <c r="C1231" s="1" t="s">
        <v>14</v>
      </c>
      <c r="D1231">
        <v>0</v>
      </c>
      <c r="E1231">
        <v>0</v>
      </c>
      <c r="F1231">
        <v>35838</v>
      </c>
      <c r="G1231">
        <v>110000</v>
      </c>
      <c r="H1231">
        <v>126974</v>
      </c>
      <c r="I1231">
        <v>146525</v>
      </c>
      <c r="J1231">
        <v>103.6</v>
      </c>
    </row>
    <row r="1232" spans="1:10" x14ac:dyDescent="0.2">
      <c r="A1232">
        <v>2017</v>
      </c>
      <c r="B1232" s="1" t="s">
        <v>19</v>
      </c>
      <c r="C1232" s="1" t="s">
        <v>11</v>
      </c>
      <c r="D1232">
        <v>0</v>
      </c>
      <c r="E1232">
        <v>0</v>
      </c>
      <c r="F1232">
        <v>40421</v>
      </c>
      <c r="G1232">
        <v>487000</v>
      </c>
      <c r="H1232">
        <v>581645</v>
      </c>
      <c r="I1232">
        <v>648707</v>
      </c>
      <c r="J1232">
        <v>103.6</v>
      </c>
    </row>
    <row r="1233" spans="1:10" x14ac:dyDescent="0.2">
      <c r="A1233">
        <v>2017</v>
      </c>
      <c r="B1233" s="1" t="s">
        <v>19</v>
      </c>
      <c r="C1233" s="1" t="s">
        <v>12</v>
      </c>
      <c r="D1233">
        <v>0</v>
      </c>
      <c r="E1233">
        <v>0</v>
      </c>
      <c r="F1233">
        <v>34611</v>
      </c>
      <c r="G1233">
        <v>210000</v>
      </c>
      <c r="H1233">
        <v>230356</v>
      </c>
      <c r="I1233">
        <v>279730</v>
      </c>
      <c r="J1233">
        <v>103.6</v>
      </c>
    </row>
    <row r="1234" spans="1:10" x14ac:dyDescent="0.2">
      <c r="A1234">
        <v>2017</v>
      </c>
      <c r="B1234" s="1" t="s">
        <v>19</v>
      </c>
      <c r="C1234" s="1" t="s">
        <v>13</v>
      </c>
      <c r="D1234">
        <v>0</v>
      </c>
      <c r="E1234">
        <v>0</v>
      </c>
      <c r="F1234">
        <v>37930</v>
      </c>
      <c r="G1234">
        <v>330000</v>
      </c>
      <c r="H1234">
        <v>358934</v>
      </c>
      <c r="I1234">
        <v>439575</v>
      </c>
      <c r="J1234">
        <v>103.6</v>
      </c>
    </row>
    <row r="1235" spans="1:10" x14ac:dyDescent="0.2">
      <c r="A1235">
        <v>2017</v>
      </c>
      <c r="B1235" s="1" t="s">
        <v>19</v>
      </c>
      <c r="C1235" s="1" t="s">
        <v>14</v>
      </c>
      <c r="D1235">
        <v>0</v>
      </c>
      <c r="E1235">
        <v>0</v>
      </c>
      <c r="F1235">
        <v>38647</v>
      </c>
      <c r="G1235">
        <v>275000</v>
      </c>
      <c r="H1235">
        <v>300177</v>
      </c>
      <c r="I1235">
        <v>366313</v>
      </c>
      <c r="J1235">
        <v>103.6</v>
      </c>
    </row>
    <row r="1236" spans="1:10" x14ac:dyDescent="0.2">
      <c r="A1236">
        <v>2017</v>
      </c>
      <c r="B1236" s="1" t="s">
        <v>20</v>
      </c>
      <c r="C1236" s="1" t="s">
        <v>11</v>
      </c>
      <c r="D1236">
        <v>0</v>
      </c>
      <c r="E1236">
        <v>0</v>
      </c>
      <c r="F1236">
        <v>31453</v>
      </c>
      <c r="G1236">
        <v>350000</v>
      </c>
      <c r="H1236">
        <v>401686</v>
      </c>
      <c r="I1236">
        <v>466216</v>
      </c>
      <c r="J1236">
        <v>103.6</v>
      </c>
    </row>
    <row r="1237" spans="1:10" x14ac:dyDescent="0.2">
      <c r="A1237">
        <v>2017</v>
      </c>
      <c r="B1237" s="1" t="s">
        <v>20</v>
      </c>
      <c r="C1237" s="1" t="s">
        <v>12</v>
      </c>
      <c r="D1237">
        <v>0</v>
      </c>
      <c r="E1237">
        <v>0</v>
      </c>
      <c r="F1237">
        <v>19300</v>
      </c>
      <c r="G1237">
        <v>164000</v>
      </c>
      <c r="H1237">
        <v>195874</v>
      </c>
      <c r="I1237">
        <v>218456</v>
      </c>
      <c r="J1237">
        <v>103.6</v>
      </c>
    </row>
    <row r="1238" spans="1:10" x14ac:dyDescent="0.2">
      <c r="A1238">
        <v>2017</v>
      </c>
      <c r="B1238" s="1" t="s">
        <v>20</v>
      </c>
      <c r="C1238" s="1" t="s">
        <v>13</v>
      </c>
      <c r="D1238">
        <v>0</v>
      </c>
      <c r="E1238">
        <v>0</v>
      </c>
      <c r="F1238">
        <v>24655</v>
      </c>
      <c r="G1238">
        <v>235000</v>
      </c>
      <c r="H1238">
        <v>258733</v>
      </c>
      <c r="I1238">
        <v>313031</v>
      </c>
      <c r="J1238">
        <v>103.6</v>
      </c>
    </row>
    <row r="1239" spans="1:10" x14ac:dyDescent="0.2">
      <c r="A1239">
        <v>2017</v>
      </c>
      <c r="B1239" s="1" t="s">
        <v>20</v>
      </c>
      <c r="C1239" s="1" t="s">
        <v>14</v>
      </c>
      <c r="D1239">
        <v>0</v>
      </c>
      <c r="E1239">
        <v>0</v>
      </c>
      <c r="F1239">
        <v>29598</v>
      </c>
      <c r="G1239">
        <v>205000</v>
      </c>
      <c r="H1239">
        <v>228745</v>
      </c>
      <c r="I1239">
        <v>273069</v>
      </c>
      <c r="J1239">
        <v>103.6</v>
      </c>
    </row>
    <row r="1240" spans="1:10" x14ac:dyDescent="0.2">
      <c r="A1240">
        <v>2017</v>
      </c>
      <c r="B1240" s="1" t="s">
        <v>21</v>
      </c>
      <c r="C1240" s="1" t="s">
        <v>11</v>
      </c>
      <c r="D1240">
        <v>0</v>
      </c>
      <c r="E1240">
        <v>0</v>
      </c>
      <c r="F1240">
        <v>15017</v>
      </c>
      <c r="G1240">
        <v>230000</v>
      </c>
      <c r="H1240">
        <v>255768</v>
      </c>
      <c r="I1240">
        <v>306371</v>
      </c>
      <c r="J1240">
        <v>103.6</v>
      </c>
    </row>
    <row r="1241" spans="1:10" x14ac:dyDescent="0.2">
      <c r="A1241">
        <v>2017</v>
      </c>
      <c r="B1241" s="1" t="s">
        <v>21</v>
      </c>
      <c r="C1241" s="1" t="s">
        <v>12</v>
      </c>
      <c r="D1241">
        <v>0</v>
      </c>
      <c r="E1241">
        <v>0</v>
      </c>
      <c r="F1241">
        <v>3955</v>
      </c>
      <c r="G1241">
        <v>120000</v>
      </c>
      <c r="H1241">
        <v>133714</v>
      </c>
      <c r="I1241">
        <v>159846</v>
      </c>
      <c r="J1241">
        <v>103.6</v>
      </c>
    </row>
    <row r="1242" spans="1:10" x14ac:dyDescent="0.2">
      <c r="A1242">
        <v>2017</v>
      </c>
      <c r="B1242" s="1" t="s">
        <v>21</v>
      </c>
      <c r="C1242" s="1" t="s">
        <v>13</v>
      </c>
      <c r="D1242">
        <v>0</v>
      </c>
      <c r="E1242">
        <v>0</v>
      </c>
      <c r="F1242">
        <v>14069</v>
      </c>
      <c r="G1242">
        <v>145000</v>
      </c>
      <c r="H1242">
        <v>159428</v>
      </c>
      <c r="I1242">
        <v>193147</v>
      </c>
      <c r="J1242">
        <v>103.6</v>
      </c>
    </row>
    <row r="1243" spans="1:10" x14ac:dyDescent="0.2">
      <c r="A1243">
        <v>2017</v>
      </c>
      <c r="B1243" s="1" t="s">
        <v>21</v>
      </c>
      <c r="C1243" s="1" t="s">
        <v>14</v>
      </c>
      <c r="D1243">
        <v>0</v>
      </c>
      <c r="E1243">
        <v>0</v>
      </c>
      <c r="F1243">
        <v>15056</v>
      </c>
      <c r="G1243">
        <v>112000</v>
      </c>
      <c r="H1243">
        <v>126086</v>
      </c>
      <c r="I1243">
        <v>149189</v>
      </c>
      <c r="J1243">
        <v>103.6</v>
      </c>
    </row>
    <row r="1244" spans="1:10" x14ac:dyDescent="0.2">
      <c r="A1244">
        <v>2017</v>
      </c>
      <c r="B1244" s="1" t="s">
        <v>22</v>
      </c>
      <c r="C1244" s="1" t="s">
        <v>11</v>
      </c>
      <c r="D1244">
        <v>0</v>
      </c>
      <c r="E1244">
        <v>0</v>
      </c>
      <c r="F1244">
        <v>23692</v>
      </c>
      <c r="G1244">
        <v>294850</v>
      </c>
      <c r="H1244">
        <v>336954</v>
      </c>
      <c r="I1244">
        <v>392754</v>
      </c>
      <c r="J1244">
        <v>103.6</v>
      </c>
    </row>
    <row r="1245" spans="1:10" x14ac:dyDescent="0.2">
      <c r="A1245">
        <v>2017</v>
      </c>
      <c r="B1245" s="1" t="s">
        <v>22</v>
      </c>
      <c r="C1245" s="1" t="s">
        <v>12</v>
      </c>
      <c r="D1245">
        <v>0</v>
      </c>
      <c r="E1245">
        <v>0</v>
      </c>
      <c r="F1245">
        <v>9798</v>
      </c>
      <c r="G1245">
        <v>125000</v>
      </c>
      <c r="H1245">
        <v>144035</v>
      </c>
      <c r="I1245">
        <v>166506</v>
      </c>
      <c r="J1245">
        <v>103.6</v>
      </c>
    </row>
    <row r="1246" spans="1:10" x14ac:dyDescent="0.2">
      <c r="A1246">
        <v>2017</v>
      </c>
      <c r="B1246" s="1" t="s">
        <v>22</v>
      </c>
      <c r="C1246" s="1" t="s">
        <v>13</v>
      </c>
      <c r="D1246">
        <v>0</v>
      </c>
      <c r="E1246">
        <v>0</v>
      </c>
      <c r="F1246">
        <v>28869</v>
      </c>
      <c r="G1246">
        <v>173000</v>
      </c>
      <c r="H1246">
        <v>191104</v>
      </c>
      <c r="I1246">
        <v>230444</v>
      </c>
      <c r="J1246">
        <v>103.6</v>
      </c>
    </row>
    <row r="1247" spans="1:10" x14ac:dyDescent="0.2">
      <c r="A1247">
        <v>2017</v>
      </c>
      <c r="B1247" s="1" t="s">
        <v>22</v>
      </c>
      <c r="C1247" s="1" t="s">
        <v>14</v>
      </c>
      <c r="D1247">
        <v>0</v>
      </c>
      <c r="E1247">
        <v>0</v>
      </c>
      <c r="F1247">
        <v>23651</v>
      </c>
      <c r="G1247">
        <v>145000</v>
      </c>
      <c r="H1247">
        <v>159570</v>
      </c>
      <c r="I1247">
        <v>193147</v>
      </c>
      <c r="J1247">
        <v>103.6</v>
      </c>
    </row>
    <row r="1248" spans="1:10" x14ac:dyDescent="0.2">
      <c r="A1248">
        <v>2017</v>
      </c>
      <c r="B1248" s="1" t="s">
        <v>23</v>
      </c>
      <c r="C1248" s="1" t="s">
        <v>11</v>
      </c>
      <c r="D1248">
        <v>0</v>
      </c>
      <c r="E1248">
        <v>0</v>
      </c>
      <c r="F1248">
        <v>21196</v>
      </c>
      <c r="G1248">
        <v>255000</v>
      </c>
      <c r="H1248">
        <v>295513</v>
      </c>
      <c r="I1248">
        <v>339672</v>
      </c>
      <c r="J1248">
        <v>103.6</v>
      </c>
    </row>
    <row r="1249" spans="1:10" x14ac:dyDescent="0.2">
      <c r="A1249">
        <v>2017</v>
      </c>
      <c r="B1249" s="1" t="s">
        <v>23</v>
      </c>
      <c r="C1249" s="1" t="s">
        <v>12</v>
      </c>
      <c r="D1249">
        <v>0</v>
      </c>
      <c r="E1249">
        <v>0</v>
      </c>
      <c r="F1249">
        <v>8455</v>
      </c>
      <c r="G1249">
        <v>119950</v>
      </c>
      <c r="H1249">
        <v>137675</v>
      </c>
      <c r="I1249">
        <v>159779</v>
      </c>
      <c r="J1249">
        <v>103.6</v>
      </c>
    </row>
    <row r="1250" spans="1:10" x14ac:dyDescent="0.2">
      <c r="A1250">
        <v>2017</v>
      </c>
      <c r="B1250" s="1" t="s">
        <v>23</v>
      </c>
      <c r="C1250" s="1" t="s">
        <v>13</v>
      </c>
      <c r="D1250">
        <v>0</v>
      </c>
      <c r="E1250">
        <v>0</v>
      </c>
      <c r="F1250">
        <v>29780</v>
      </c>
      <c r="G1250">
        <v>149950</v>
      </c>
      <c r="H1250">
        <v>166788</v>
      </c>
      <c r="I1250">
        <v>199740</v>
      </c>
      <c r="J1250">
        <v>103.6</v>
      </c>
    </row>
    <row r="1251" spans="1:10" x14ac:dyDescent="0.2">
      <c r="A1251">
        <v>2017</v>
      </c>
      <c r="B1251" s="1" t="s">
        <v>23</v>
      </c>
      <c r="C1251" s="1" t="s">
        <v>14</v>
      </c>
      <c r="D1251">
        <v>0</v>
      </c>
      <c r="E1251">
        <v>0</v>
      </c>
      <c r="F1251">
        <v>25839</v>
      </c>
      <c r="G1251">
        <v>120000</v>
      </c>
      <c r="H1251">
        <v>136429</v>
      </c>
      <c r="I1251">
        <v>159846</v>
      </c>
      <c r="J1251">
        <v>103.6</v>
      </c>
    </row>
    <row r="1252" spans="1:10" x14ac:dyDescent="0.2">
      <c r="A1252">
        <v>2017</v>
      </c>
      <c r="B1252" s="1" t="s">
        <v>10</v>
      </c>
      <c r="C1252" s="1" t="s">
        <v>24</v>
      </c>
      <c r="D1252">
        <v>0</v>
      </c>
      <c r="E1252">
        <v>1</v>
      </c>
      <c r="F1252">
        <v>80718</v>
      </c>
      <c r="G1252">
        <v>180000</v>
      </c>
      <c r="H1252">
        <v>208644</v>
      </c>
      <c r="I1252">
        <v>239768</v>
      </c>
      <c r="J1252">
        <v>103.6</v>
      </c>
    </row>
    <row r="1253" spans="1:10" x14ac:dyDescent="0.2">
      <c r="A1253">
        <v>2017</v>
      </c>
      <c r="B1253" s="1" t="s">
        <v>15</v>
      </c>
      <c r="C1253" s="1" t="s">
        <v>24</v>
      </c>
      <c r="D1253">
        <v>0</v>
      </c>
      <c r="E1253">
        <v>1</v>
      </c>
      <c r="F1253">
        <v>102880</v>
      </c>
      <c r="G1253">
        <v>278000</v>
      </c>
      <c r="H1253">
        <v>325599</v>
      </c>
      <c r="I1253">
        <v>370309</v>
      </c>
      <c r="J1253">
        <v>103.6</v>
      </c>
    </row>
    <row r="1254" spans="1:10" x14ac:dyDescent="0.2">
      <c r="A1254">
        <v>2017</v>
      </c>
      <c r="B1254" s="1" t="s">
        <v>16</v>
      </c>
      <c r="C1254" s="1" t="s">
        <v>24</v>
      </c>
      <c r="D1254">
        <v>0</v>
      </c>
      <c r="E1254">
        <v>1</v>
      </c>
      <c r="F1254">
        <v>93384</v>
      </c>
      <c r="G1254">
        <v>465000</v>
      </c>
      <c r="H1254">
        <v>620356</v>
      </c>
      <c r="I1254">
        <v>619402</v>
      </c>
      <c r="J1254">
        <v>103.6</v>
      </c>
    </row>
    <row r="1255" spans="1:10" x14ac:dyDescent="0.2">
      <c r="A1255">
        <v>2017</v>
      </c>
      <c r="B1255" s="1" t="s">
        <v>17</v>
      </c>
      <c r="C1255" s="1" t="s">
        <v>24</v>
      </c>
      <c r="D1255">
        <v>0</v>
      </c>
      <c r="E1255">
        <v>1</v>
      </c>
      <c r="F1255">
        <v>39033</v>
      </c>
      <c r="G1255">
        <v>136000</v>
      </c>
      <c r="H1255">
        <v>160422</v>
      </c>
      <c r="I1255">
        <v>181158</v>
      </c>
      <c r="J1255">
        <v>103.6</v>
      </c>
    </row>
    <row r="1256" spans="1:10" x14ac:dyDescent="0.2">
      <c r="A1256">
        <v>2017</v>
      </c>
      <c r="B1256" s="1" t="s">
        <v>18</v>
      </c>
      <c r="C1256" s="1" t="s">
        <v>24</v>
      </c>
      <c r="D1256">
        <v>0</v>
      </c>
      <c r="E1256">
        <v>1</v>
      </c>
      <c r="F1256">
        <v>114650</v>
      </c>
      <c r="G1256">
        <v>157000</v>
      </c>
      <c r="H1256">
        <v>189354</v>
      </c>
      <c r="I1256">
        <v>209131</v>
      </c>
      <c r="J1256">
        <v>103.6</v>
      </c>
    </row>
    <row r="1257" spans="1:10" x14ac:dyDescent="0.2">
      <c r="A1257">
        <v>2017</v>
      </c>
      <c r="B1257" s="1" t="s">
        <v>19</v>
      </c>
      <c r="C1257" s="1" t="s">
        <v>24</v>
      </c>
      <c r="D1257">
        <v>0</v>
      </c>
      <c r="E1257">
        <v>1</v>
      </c>
      <c r="F1257">
        <v>151609</v>
      </c>
      <c r="G1257">
        <v>315000</v>
      </c>
      <c r="H1257">
        <v>373981</v>
      </c>
      <c r="I1257">
        <v>419595</v>
      </c>
      <c r="J1257">
        <v>103.6</v>
      </c>
    </row>
    <row r="1258" spans="1:10" x14ac:dyDescent="0.2">
      <c r="A1258">
        <v>2017</v>
      </c>
      <c r="B1258" s="1" t="s">
        <v>20</v>
      </c>
      <c r="C1258" s="1" t="s">
        <v>24</v>
      </c>
      <c r="D1258">
        <v>0</v>
      </c>
      <c r="E1258">
        <v>1</v>
      </c>
      <c r="F1258">
        <v>105006</v>
      </c>
      <c r="G1258">
        <v>242500</v>
      </c>
      <c r="H1258">
        <v>281546</v>
      </c>
      <c r="I1258">
        <v>323021</v>
      </c>
      <c r="J1258">
        <v>103.6</v>
      </c>
    </row>
    <row r="1259" spans="1:10" x14ac:dyDescent="0.2">
      <c r="A1259">
        <v>2017</v>
      </c>
      <c r="B1259" s="1" t="s">
        <v>21</v>
      </c>
      <c r="C1259" s="1" t="s">
        <v>24</v>
      </c>
      <c r="D1259">
        <v>0</v>
      </c>
      <c r="E1259">
        <v>1</v>
      </c>
      <c r="F1259">
        <v>48097</v>
      </c>
      <c r="G1259">
        <v>152000</v>
      </c>
      <c r="H1259">
        <v>176956</v>
      </c>
      <c r="I1259">
        <v>202471</v>
      </c>
      <c r="J1259">
        <v>103.6</v>
      </c>
    </row>
    <row r="1260" spans="1:10" x14ac:dyDescent="0.2">
      <c r="A1260">
        <v>2017</v>
      </c>
      <c r="B1260" s="1" t="s">
        <v>22</v>
      </c>
      <c r="C1260" s="1" t="s">
        <v>24</v>
      </c>
      <c r="D1260">
        <v>0</v>
      </c>
      <c r="E1260">
        <v>1</v>
      </c>
      <c r="F1260">
        <v>86010</v>
      </c>
      <c r="G1260">
        <v>180000</v>
      </c>
      <c r="H1260">
        <v>217246</v>
      </c>
      <c r="I1260">
        <v>239768</v>
      </c>
      <c r="J1260">
        <v>103.6</v>
      </c>
    </row>
    <row r="1261" spans="1:10" x14ac:dyDescent="0.2">
      <c r="A1261">
        <v>2017</v>
      </c>
      <c r="B1261" s="1" t="s">
        <v>23</v>
      </c>
      <c r="C1261" s="1" t="s">
        <v>24</v>
      </c>
      <c r="D1261">
        <v>0</v>
      </c>
      <c r="E1261">
        <v>1</v>
      </c>
      <c r="F1261">
        <v>85270</v>
      </c>
      <c r="G1261">
        <v>155000</v>
      </c>
      <c r="H1261">
        <v>186699</v>
      </c>
      <c r="I1261">
        <v>206467</v>
      </c>
      <c r="J1261">
        <v>103.6</v>
      </c>
    </row>
    <row r="1262" spans="1:10" x14ac:dyDescent="0.2">
      <c r="A1262">
        <v>2017</v>
      </c>
      <c r="B1262" s="1" t="s">
        <v>25</v>
      </c>
      <c r="C1262" s="1" t="s">
        <v>11</v>
      </c>
      <c r="D1262">
        <v>1</v>
      </c>
      <c r="E1262">
        <v>0</v>
      </c>
      <c r="F1262">
        <v>231661</v>
      </c>
      <c r="G1262">
        <v>324000</v>
      </c>
      <c r="H1262">
        <v>395659</v>
      </c>
      <c r="I1262">
        <v>431583</v>
      </c>
      <c r="J1262">
        <v>103.6</v>
      </c>
    </row>
    <row r="1263" spans="1:10" x14ac:dyDescent="0.2">
      <c r="A1263">
        <v>2017</v>
      </c>
      <c r="B1263" s="1" t="s">
        <v>25</v>
      </c>
      <c r="C1263" s="1" t="s">
        <v>12</v>
      </c>
      <c r="D1263">
        <v>1</v>
      </c>
      <c r="E1263">
        <v>0</v>
      </c>
      <c r="F1263">
        <v>169539</v>
      </c>
      <c r="G1263">
        <v>210000</v>
      </c>
      <c r="H1263">
        <v>300722</v>
      </c>
      <c r="I1263">
        <v>279730</v>
      </c>
      <c r="J1263">
        <v>103.6</v>
      </c>
    </row>
    <row r="1264" spans="1:10" x14ac:dyDescent="0.2">
      <c r="A1264">
        <v>2017</v>
      </c>
      <c r="B1264" s="1" t="s">
        <v>25</v>
      </c>
      <c r="C1264" s="1" t="s">
        <v>13</v>
      </c>
      <c r="D1264">
        <v>1</v>
      </c>
      <c r="E1264">
        <v>0</v>
      </c>
      <c r="F1264">
        <v>255195</v>
      </c>
      <c r="G1264">
        <v>200000</v>
      </c>
      <c r="H1264">
        <v>249177</v>
      </c>
      <c r="I1264">
        <v>266409</v>
      </c>
      <c r="J1264">
        <v>103.6</v>
      </c>
    </row>
    <row r="1265" spans="1:10" x14ac:dyDescent="0.2">
      <c r="A1265">
        <v>2017</v>
      </c>
      <c r="B1265" s="1" t="s">
        <v>25</v>
      </c>
      <c r="C1265" s="1" t="s">
        <v>14</v>
      </c>
      <c r="D1265">
        <v>1</v>
      </c>
      <c r="E1265">
        <v>0</v>
      </c>
      <c r="F1265">
        <v>250452</v>
      </c>
      <c r="G1265">
        <v>177950</v>
      </c>
      <c r="H1265">
        <v>237394</v>
      </c>
      <c r="I1265">
        <v>237038</v>
      </c>
      <c r="J1265">
        <v>103.6</v>
      </c>
    </row>
    <row r="1266" spans="1:10" x14ac:dyDescent="0.2">
      <c r="A1266">
        <v>2017</v>
      </c>
      <c r="B1266" s="1" t="s">
        <v>25</v>
      </c>
      <c r="C1266" s="1" t="s">
        <v>24</v>
      </c>
      <c r="D1266">
        <v>1</v>
      </c>
      <c r="E1266">
        <v>1</v>
      </c>
      <c r="F1266">
        <v>906847</v>
      </c>
      <c r="G1266">
        <v>228500</v>
      </c>
      <c r="H1266">
        <v>292979</v>
      </c>
      <c r="I1266">
        <v>304373</v>
      </c>
      <c r="J1266">
        <v>103.6</v>
      </c>
    </row>
    <row r="1267" spans="1:10" x14ac:dyDescent="0.2">
      <c r="A1267">
        <v>2018</v>
      </c>
      <c r="B1267" s="1" t="s">
        <v>10</v>
      </c>
      <c r="C1267" s="1" t="s">
        <v>11</v>
      </c>
      <c r="D1267">
        <v>0</v>
      </c>
      <c r="E1267">
        <v>0</v>
      </c>
      <c r="F1267">
        <v>29364</v>
      </c>
      <c r="G1267">
        <v>275000</v>
      </c>
      <c r="H1267">
        <v>305423</v>
      </c>
      <c r="I1267">
        <v>358019</v>
      </c>
      <c r="J1267">
        <v>106</v>
      </c>
    </row>
    <row r="1268" spans="1:10" x14ac:dyDescent="0.2">
      <c r="A1268">
        <v>2018</v>
      </c>
      <c r="B1268" s="1" t="s">
        <v>10</v>
      </c>
      <c r="C1268" s="1" t="s">
        <v>12</v>
      </c>
      <c r="D1268">
        <v>0</v>
      </c>
      <c r="E1268">
        <v>0</v>
      </c>
      <c r="F1268">
        <v>5003</v>
      </c>
      <c r="G1268">
        <v>120000</v>
      </c>
      <c r="H1268">
        <v>132361</v>
      </c>
      <c r="I1268">
        <v>156226</v>
      </c>
      <c r="J1268">
        <v>106</v>
      </c>
    </row>
    <row r="1269" spans="1:10" x14ac:dyDescent="0.2">
      <c r="A1269">
        <v>2018</v>
      </c>
      <c r="B1269" s="1" t="s">
        <v>10</v>
      </c>
      <c r="C1269" s="1" t="s">
        <v>13</v>
      </c>
      <c r="D1269">
        <v>0</v>
      </c>
      <c r="E1269">
        <v>0</v>
      </c>
      <c r="F1269">
        <v>26031</v>
      </c>
      <c r="G1269">
        <v>173000</v>
      </c>
      <c r="H1269">
        <v>184473</v>
      </c>
      <c r="I1269">
        <v>225226</v>
      </c>
      <c r="J1269">
        <v>106</v>
      </c>
    </row>
    <row r="1270" spans="1:10" x14ac:dyDescent="0.2">
      <c r="A1270">
        <v>2018</v>
      </c>
      <c r="B1270" s="1" t="s">
        <v>10</v>
      </c>
      <c r="C1270" s="1" t="s">
        <v>14</v>
      </c>
      <c r="D1270">
        <v>0</v>
      </c>
      <c r="E1270">
        <v>0</v>
      </c>
      <c r="F1270">
        <v>18775</v>
      </c>
      <c r="G1270">
        <v>144950</v>
      </c>
      <c r="H1270">
        <v>155061</v>
      </c>
      <c r="I1270">
        <v>188708</v>
      </c>
      <c r="J1270">
        <v>106</v>
      </c>
    </row>
    <row r="1271" spans="1:10" x14ac:dyDescent="0.2">
      <c r="A1271">
        <v>2018</v>
      </c>
      <c r="B1271" s="1" t="s">
        <v>15</v>
      </c>
      <c r="C1271" s="1" t="s">
        <v>11</v>
      </c>
      <c r="D1271">
        <v>0</v>
      </c>
      <c r="E1271">
        <v>0</v>
      </c>
      <c r="F1271">
        <v>29697</v>
      </c>
      <c r="G1271">
        <v>390000</v>
      </c>
      <c r="H1271">
        <v>460230</v>
      </c>
      <c r="I1271">
        <v>507736</v>
      </c>
      <c r="J1271">
        <v>106</v>
      </c>
    </row>
    <row r="1272" spans="1:10" x14ac:dyDescent="0.2">
      <c r="A1272">
        <v>2018</v>
      </c>
      <c r="B1272" s="1" t="s">
        <v>15</v>
      </c>
      <c r="C1272" s="1" t="s">
        <v>12</v>
      </c>
      <c r="D1272">
        <v>0</v>
      </c>
      <c r="E1272">
        <v>0</v>
      </c>
      <c r="F1272">
        <v>16199</v>
      </c>
      <c r="G1272">
        <v>195000</v>
      </c>
      <c r="H1272">
        <v>216776</v>
      </c>
      <c r="I1272">
        <v>253868</v>
      </c>
      <c r="J1272">
        <v>106</v>
      </c>
    </row>
    <row r="1273" spans="1:10" x14ac:dyDescent="0.2">
      <c r="A1273">
        <v>2018</v>
      </c>
      <c r="B1273" s="1" t="s">
        <v>15</v>
      </c>
      <c r="C1273" s="1" t="s">
        <v>13</v>
      </c>
      <c r="D1273">
        <v>0</v>
      </c>
      <c r="E1273">
        <v>0</v>
      </c>
      <c r="F1273">
        <v>27089</v>
      </c>
      <c r="G1273">
        <v>290000</v>
      </c>
      <c r="H1273">
        <v>319918</v>
      </c>
      <c r="I1273">
        <v>377547</v>
      </c>
      <c r="J1273">
        <v>106</v>
      </c>
    </row>
    <row r="1274" spans="1:10" x14ac:dyDescent="0.2">
      <c r="A1274">
        <v>2018</v>
      </c>
      <c r="B1274" s="1" t="s">
        <v>15</v>
      </c>
      <c r="C1274" s="1" t="s">
        <v>14</v>
      </c>
      <c r="D1274">
        <v>0</v>
      </c>
      <c r="E1274">
        <v>0</v>
      </c>
      <c r="F1274">
        <v>25148</v>
      </c>
      <c r="G1274">
        <v>252000</v>
      </c>
      <c r="H1274">
        <v>273647</v>
      </c>
      <c r="I1274">
        <v>328075</v>
      </c>
      <c r="J1274">
        <v>106</v>
      </c>
    </row>
    <row r="1275" spans="1:10" x14ac:dyDescent="0.2">
      <c r="A1275">
        <v>2018</v>
      </c>
      <c r="B1275" s="1" t="s">
        <v>16</v>
      </c>
      <c r="C1275" s="1" t="s">
        <v>11</v>
      </c>
      <c r="D1275">
        <v>0</v>
      </c>
      <c r="E1275">
        <v>0</v>
      </c>
      <c r="F1275">
        <v>3993</v>
      </c>
      <c r="G1275">
        <v>773000</v>
      </c>
      <c r="H1275">
        <v>1064990</v>
      </c>
      <c r="I1275">
        <v>1006358</v>
      </c>
      <c r="J1275">
        <v>106</v>
      </c>
    </row>
    <row r="1276" spans="1:10" x14ac:dyDescent="0.2">
      <c r="A1276">
        <v>2018</v>
      </c>
      <c r="B1276" s="1" t="s">
        <v>16</v>
      </c>
      <c r="C1276" s="1" t="s">
        <v>12</v>
      </c>
      <c r="D1276">
        <v>0</v>
      </c>
      <c r="E1276">
        <v>0</v>
      </c>
      <c r="F1276">
        <v>48436</v>
      </c>
      <c r="G1276">
        <v>425000</v>
      </c>
      <c r="H1276">
        <v>551096</v>
      </c>
      <c r="I1276">
        <v>553302</v>
      </c>
      <c r="J1276">
        <v>106</v>
      </c>
    </row>
    <row r="1277" spans="1:10" x14ac:dyDescent="0.2">
      <c r="A1277">
        <v>2018</v>
      </c>
      <c r="B1277" s="1" t="s">
        <v>16</v>
      </c>
      <c r="C1277" s="1" t="s">
        <v>13</v>
      </c>
      <c r="D1277">
        <v>0</v>
      </c>
      <c r="E1277">
        <v>0</v>
      </c>
      <c r="F1277">
        <v>12241</v>
      </c>
      <c r="G1277">
        <v>530000</v>
      </c>
      <c r="H1277">
        <v>656282</v>
      </c>
      <c r="I1277">
        <v>690000</v>
      </c>
      <c r="J1277">
        <v>106</v>
      </c>
    </row>
    <row r="1278" spans="1:10" x14ac:dyDescent="0.2">
      <c r="A1278">
        <v>2018</v>
      </c>
      <c r="B1278" s="1" t="s">
        <v>16</v>
      </c>
      <c r="C1278" s="1" t="s">
        <v>14</v>
      </c>
      <c r="D1278">
        <v>0</v>
      </c>
      <c r="E1278">
        <v>0</v>
      </c>
      <c r="F1278">
        <v>22815</v>
      </c>
      <c r="G1278">
        <v>487500</v>
      </c>
      <c r="H1278">
        <v>674643</v>
      </c>
      <c r="I1278">
        <v>634670</v>
      </c>
      <c r="J1278">
        <v>106</v>
      </c>
    </row>
    <row r="1279" spans="1:10" x14ac:dyDescent="0.2">
      <c r="A1279">
        <v>2018</v>
      </c>
      <c r="B1279" s="1" t="s">
        <v>17</v>
      </c>
      <c r="C1279" s="1" t="s">
        <v>11</v>
      </c>
      <c r="D1279">
        <v>0</v>
      </c>
      <c r="E1279">
        <v>0</v>
      </c>
      <c r="F1279">
        <v>9401</v>
      </c>
      <c r="G1279">
        <v>235000</v>
      </c>
      <c r="H1279">
        <v>265183</v>
      </c>
      <c r="I1279">
        <v>305943</v>
      </c>
      <c r="J1279">
        <v>106</v>
      </c>
    </row>
    <row r="1280" spans="1:10" x14ac:dyDescent="0.2">
      <c r="A1280">
        <v>2018</v>
      </c>
      <c r="B1280" s="1" t="s">
        <v>17</v>
      </c>
      <c r="C1280" s="1" t="s">
        <v>12</v>
      </c>
      <c r="D1280">
        <v>0</v>
      </c>
      <c r="E1280">
        <v>0</v>
      </c>
      <c r="F1280">
        <v>3651</v>
      </c>
      <c r="G1280">
        <v>99000</v>
      </c>
      <c r="H1280">
        <v>113498</v>
      </c>
      <c r="I1280">
        <v>128887</v>
      </c>
      <c r="J1280">
        <v>106</v>
      </c>
    </row>
    <row r="1281" spans="1:10" x14ac:dyDescent="0.2">
      <c r="A1281">
        <v>2018</v>
      </c>
      <c r="B1281" s="1" t="s">
        <v>17</v>
      </c>
      <c r="C1281" s="1" t="s">
        <v>13</v>
      </c>
      <c r="D1281">
        <v>0</v>
      </c>
      <c r="E1281">
        <v>0</v>
      </c>
      <c r="F1281">
        <v>13053</v>
      </c>
      <c r="G1281">
        <v>136000</v>
      </c>
      <c r="H1281">
        <v>148533</v>
      </c>
      <c r="I1281">
        <v>177057</v>
      </c>
      <c r="J1281">
        <v>106</v>
      </c>
    </row>
    <row r="1282" spans="1:10" x14ac:dyDescent="0.2">
      <c r="A1282">
        <v>2018</v>
      </c>
      <c r="B1282" s="1" t="s">
        <v>17</v>
      </c>
      <c r="C1282" s="1" t="s">
        <v>14</v>
      </c>
      <c r="D1282">
        <v>0</v>
      </c>
      <c r="E1282">
        <v>0</v>
      </c>
      <c r="F1282">
        <v>12221</v>
      </c>
      <c r="G1282">
        <v>100000</v>
      </c>
      <c r="H1282">
        <v>119595</v>
      </c>
      <c r="I1282">
        <v>130189</v>
      </c>
      <c r="J1282">
        <v>106</v>
      </c>
    </row>
    <row r="1283" spans="1:10" x14ac:dyDescent="0.2">
      <c r="A1283">
        <v>2018</v>
      </c>
      <c r="B1283" s="1" t="s">
        <v>18</v>
      </c>
      <c r="C1283" s="1" t="s">
        <v>11</v>
      </c>
      <c r="D1283">
        <v>0</v>
      </c>
      <c r="E1283">
        <v>0</v>
      </c>
      <c r="F1283">
        <v>24573</v>
      </c>
      <c r="G1283">
        <v>275000</v>
      </c>
      <c r="H1283">
        <v>324366</v>
      </c>
      <c r="I1283">
        <v>358019</v>
      </c>
      <c r="J1283">
        <v>106</v>
      </c>
    </row>
    <row r="1284" spans="1:10" x14ac:dyDescent="0.2">
      <c r="A1284">
        <v>2018</v>
      </c>
      <c r="B1284" s="1" t="s">
        <v>18</v>
      </c>
      <c r="C1284" s="1" t="s">
        <v>12</v>
      </c>
      <c r="D1284">
        <v>0</v>
      </c>
      <c r="E1284">
        <v>0</v>
      </c>
      <c r="F1284">
        <v>13749</v>
      </c>
      <c r="G1284">
        <v>124000</v>
      </c>
      <c r="H1284">
        <v>142250</v>
      </c>
      <c r="I1284">
        <v>161434</v>
      </c>
      <c r="J1284">
        <v>106</v>
      </c>
    </row>
    <row r="1285" spans="1:10" x14ac:dyDescent="0.2">
      <c r="A1285">
        <v>2018</v>
      </c>
      <c r="B1285" s="1" t="s">
        <v>18</v>
      </c>
      <c r="C1285" s="1" t="s">
        <v>13</v>
      </c>
      <c r="D1285">
        <v>0</v>
      </c>
      <c r="E1285">
        <v>0</v>
      </c>
      <c r="F1285">
        <v>39126</v>
      </c>
      <c r="G1285">
        <v>165000</v>
      </c>
      <c r="H1285">
        <v>186889</v>
      </c>
      <c r="I1285">
        <v>214811</v>
      </c>
      <c r="J1285">
        <v>106</v>
      </c>
    </row>
    <row r="1286" spans="1:10" x14ac:dyDescent="0.2">
      <c r="A1286">
        <v>2018</v>
      </c>
      <c r="B1286" s="1" t="s">
        <v>18</v>
      </c>
      <c r="C1286" s="1" t="s">
        <v>14</v>
      </c>
      <c r="D1286">
        <v>0</v>
      </c>
      <c r="E1286">
        <v>0</v>
      </c>
      <c r="F1286">
        <v>35278</v>
      </c>
      <c r="G1286">
        <v>115000</v>
      </c>
      <c r="H1286">
        <v>131841</v>
      </c>
      <c r="I1286">
        <v>149717</v>
      </c>
      <c r="J1286">
        <v>106</v>
      </c>
    </row>
    <row r="1287" spans="1:10" x14ac:dyDescent="0.2">
      <c r="A1287">
        <v>2018</v>
      </c>
      <c r="B1287" s="1" t="s">
        <v>19</v>
      </c>
      <c r="C1287" s="1" t="s">
        <v>11</v>
      </c>
      <c r="D1287">
        <v>0</v>
      </c>
      <c r="E1287">
        <v>0</v>
      </c>
      <c r="F1287">
        <v>38842</v>
      </c>
      <c r="G1287">
        <v>495000</v>
      </c>
      <c r="H1287">
        <v>588638</v>
      </c>
      <c r="I1287">
        <v>644434</v>
      </c>
      <c r="J1287">
        <v>106</v>
      </c>
    </row>
    <row r="1288" spans="1:10" x14ac:dyDescent="0.2">
      <c r="A1288">
        <v>2018</v>
      </c>
      <c r="B1288" s="1" t="s">
        <v>19</v>
      </c>
      <c r="C1288" s="1" t="s">
        <v>12</v>
      </c>
      <c r="D1288">
        <v>0</v>
      </c>
      <c r="E1288">
        <v>0</v>
      </c>
      <c r="F1288">
        <v>31865</v>
      </c>
      <c r="G1288">
        <v>212500</v>
      </c>
      <c r="H1288">
        <v>232217</v>
      </c>
      <c r="I1288">
        <v>276651</v>
      </c>
      <c r="J1288">
        <v>106</v>
      </c>
    </row>
    <row r="1289" spans="1:10" x14ac:dyDescent="0.2">
      <c r="A1289">
        <v>2018</v>
      </c>
      <c r="B1289" s="1" t="s">
        <v>19</v>
      </c>
      <c r="C1289" s="1" t="s">
        <v>13</v>
      </c>
      <c r="D1289">
        <v>0</v>
      </c>
      <c r="E1289">
        <v>0</v>
      </c>
      <c r="F1289">
        <v>36794</v>
      </c>
      <c r="G1289">
        <v>335000</v>
      </c>
      <c r="H1289">
        <v>364829</v>
      </c>
      <c r="I1289">
        <v>436132</v>
      </c>
      <c r="J1289">
        <v>106</v>
      </c>
    </row>
    <row r="1290" spans="1:10" x14ac:dyDescent="0.2">
      <c r="A1290">
        <v>2018</v>
      </c>
      <c r="B1290" s="1" t="s">
        <v>19</v>
      </c>
      <c r="C1290" s="1" t="s">
        <v>14</v>
      </c>
      <c r="D1290">
        <v>0</v>
      </c>
      <c r="E1290">
        <v>0</v>
      </c>
      <c r="F1290">
        <v>35951</v>
      </c>
      <c r="G1290">
        <v>280000</v>
      </c>
      <c r="H1290">
        <v>305931</v>
      </c>
      <c r="I1290">
        <v>364528</v>
      </c>
      <c r="J1290">
        <v>106</v>
      </c>
    </row>
    <row r="1291" spans="1:10" x14ac:dyDescent="0.2">
      <c r="A1291">
        <v>2018</v>
      </c>
      <c r="B1291" s="1" t="s">
        <v>20</v>
      </c>
      <c r="C1291" s="1" t="s">
        <v>11</v>
      </c>
      <c r="D1291">
        <v>0</v>
      </c>
      <c r="E1291">
        <v>0</v>
      </c>
      <c r="F1291">
        <v>29889</v>
      </c>
      <c r="G1291">
        <v>360000</v>
      </c>
      <c r="H1291">
        <v>413842</v>
      </c>
      <c r="I1291">
        <v>468679</v>
      </c>
      <c r="J1291">
        <v>106</v>
      </c>
    </row>
    <row r="1292" spans="1:10" x14ac:dyDescent="0.2">
      <c r="A1292">
        <v>2018</v>
      </c>
      <c r="B1292" s="1" t="s">
        <v>20</v>
      </c>
      <c r="C1292" s="1" t="s">
        <v>12</v>
      </c>
      <c r="D1292">
        <v>0</v>
      </c>
      <c r="E1292">
        <v>0</v>
      </c>
      <c r="F1292">
        <v>17805</v>
      </c>
      <c r="G1292">
        <v>169000</v>
      </c>
      <c r="H1292">
        <v>199885</v>
      </c>
      <c r="I1292">
        <v>220019</v>
      </c>
      <c r="J1292">
        <v>106</v>
      </c>
    </row>
    <row r="1293" spans="1:10" x14ac:dyDescent="0.2">
      <c r="A1293">
        <v>2018</v>
      </c>
      <c r="B1293" s="1" t="s">
        <v>20</v>
      </c>
      <c r="C1293" s="1" t="s">
        <v>13</v>
      </c>
      <c r="D1293">
        <v>0</v>
      </c>
      <c r="E1293">
        <v>0</v>
      </c>
      <c r="F1293">
        <v>24090</v>
      </c>
      <c r="G1293">
        <v>245000</v>
      </c>
      <c r="H1293">
        <v>267590</v>
      </c>
      <c r="I1293">
        <v>318962</v>
      </c>
      <c r="J1293">
        <v>106</v>
      </c>
    </row>
    <row r="1294" spans="1:10" x14ac:dyDescent="0.2">
      <c r="A1294">
        <v>2018</v>
      </c>
      <c r="B1294" s="1" t="s">
        <v>20</v>
      </c>
      <c r="C1294" s="1" t="s">
        <v>14</v>
      </c>
      <c r="D1294">
        <v>0</v>
      </c>
      <c r="E1294">
        <v>0</v>
      </c>
      <c r="F1294">
        <v>27969</v>
      </c>
      <c r="G1294">
        <v>210500</v>
      </c>
      <c r="H1294">
        <v>235857</v>
      </c>
      <c r="I1294">
        <v>274047</v>
      </c>
      <c r="J1294">
        <v>106</v>
      </c>
    </row>
    <row r="1295" spans="1:10" x14ac:dyDescent="0.2">
      <c r="A1295">
        <v>2018</v>
      </c>
      <c r="B1295" s="1" t="s">
        <v>21</v>
      </c>
      <c r="C1295" s="1" t="s">
        <v>11</v>
      </c>
      <c r="D1295">
        <v>0</v>
      </c>
      <c r="E1295">
        <v>0</v>
      </c>
      <c r="F1295">
        <v>14684</v>
      </c>
      <c r="G1295">
        <v>240000</v>
      </c>
      <c r="H1295">
        <v>266852</v>
      </c>
      <c r="I1295">
        <v>312453</v>
      </c>
      <c r="J1295">
        <v>106</v>
      </c>
    </row>
    <row r="1296" spans="1:10" x14ac:dyDescent="0.2">
      <c r="A1296">
        <v>2018</v>
      </c>
      <c r="B1296" s="1" t="s">
        <v>21</v>
      </c>
      <c r="C1296" s="1" t="s">
        <v>12</v>
      </c>
      <c r="D1296">
        <v>0</v>
      </c>
      <c r="E1296">
        <v>0</v>
      </c>
      <c r="F1296">
        <v>3774</v>
      </c>
      <c r="G1296">
        <v>122500</v>
      </c>
      <c r="H1296">
        <v>137485</v>
      </c>
      <c r="I1296">
        <v>159481</v>
      </c>
      <c r="J1296">
        <v>106</v>
      </c>
    </row>
    <row r="1297" spans="1:10" x14ac:dyDescent="0.2">
      <c r="A1297">
        <v>2018</v>
      </c>
      <c r="B1297" s="1" t="s">
        <v>21</v>
      </c>
      <c r="C1297" s="1" t="s">
        <v>13</v>
      </c>
      <c r="D1297">
        <v>0</v>
      </c>
      <c r="E1297">
        <v>0</v>
      </c>
      <c r="F1297">
        <v>13876</v>
      </c>
      <c r="G1297">
        <v>150000</v>
      </c>
      <c r="H1297">
        <v>164584</v>
      </c>
      <c r="I1297">
        <v>195283</v>
      </c>
      <c r="J1297">
        <v>106</v>
      </c>
    </row>
    <row r="1298" spans="1:10" x14ac:dyDescent="0.2">
      <c r="A1298">
        <v>2018</v>
      </c>
      <c r="B1298" s="1" t="s">
        <v>21</v>
      </c>
      <c r="C1298" s="1" t="s">
        <v>14</v>
      </c>
      <c r="D1298">
        <v>0</v>
      </c>
      <c r="E1298">
        <v>0</v>
      </c>
      <c r="F1298">
        <v>15249</v>
      </c>
      <c r="G1298">
        <v>117500</v>
      </c>
      <c r="H1298">
        <v>131220</v>
      </c>
      <c r="I1298">
        <v>152972</v>
      </c>
      <c r="J1298">
        <v>106</v>
      </c>
    </row>
    <row r="1299" spans="1:10" x14ac:dyDescent="0.2">
      <c r="A1299">
        <v>2018</v>
      </c>
      <c r="B1299" s="1" t="s">
        <v>22</v>
      </c>
      <c r="C1299" s="1" t="s">
        <v>11</v>
      </c>
      <c r="D1299">
        <v>0</v>
      </c>
      <c r="E1299">
        <v>0</v>
      </c>
      <c r="F1299">
        <v>23469</v>
      </c>
      <c r="G1299">
        <v>309995</v>
      </c>
      <c r="H1299">
        <v>351448</v>
      </c>
      <c r="I1299">
        <v>403578</v>
      </c>
      <c r="J1299">
        <v>106</v>
      </c>
    </row>
    <row r="1300" spans="1:10" x14ac:dyDescent="0.2">
      <c r="A1300">
        <v>2018</v>
      </c>
      <c r="B1300" s="1" t="s">
        <v>22</v>
      </c>
      <c r="C1300" s="1" t="s">
        <v>12</v>
      </c>
      <c r="D1300">
        <v>0</v>
      </c>
      <c r="E1300">
        <v>0</v>
      </c>
      <c r="F1300">
        <v>10205</v>
      </c>
      <c r="G1300">
        <v>132000</v>
      </c>
      <c r="H1300">
        <v>151665</v>
      </c>
      <c r="I1300">
        <v>171849</v>
      </c>
      <c r="J1300">
        <v>106</v>
      </c>
    </row>
    <row r="1301" spans="1:10" x14ac:dyDescent="0.2">
      <c r="A1301">
        <v>2018</v>
      </c>
      <c r="B1301" s="1" t="s">
        <v>22</v>
      </c>
      <c r="C1301" s="1" t="s">
        <v>13</v>
      </c>
      <c r="D1301">
        <v>0</v>
      </c>
      <c r="E1301">
        <v>0</v>
      </c>
      <c r="F1301">
        <v>28983</v>
      </c>
      <c r="G1301">
        <v>182000</v>
      </c>
      <c r="H1301">
        <v>200657</v>
      </c>
      <c r="I1301">
        <v>236943</v>
      </c>
      <c r="J1301">
        <v>106</v>
      </c>
    </row>
    <row r="1302" spans="1:10" x14ac:dyDescent="0.2">
      <c r="A1302">
        <v>2018</v>
      </c>
      <c r="B1302" s="1" t="s">
        <v>22</v>
      </c>
      <c r="C1302" s="1" t="s">
        <v>14</v>
      </c>
      <c r="D1302">
        <v>0</v>
      </c>
      <c r="E1302">
        <v>0</v>
      </c>
      <c r="F1302">
        <v>22303</v>
      </c>
      <c r="G1302">
        <v>150000</v>
      </c>
      <c r="H1302">
        <v>166670</v>
      </c>
      <c r="I1302">
        <v>195283</v>
      </c>
      <c r="J1302">
        <v>106</v>
      </c>
    </row>
    <row r="1303" spans="1:10" x14ac:dyDescent="0.2">
      <c r="A1303">
        <v>2018</v>
      </c>
      <c r="B1303" s="1" t="s">
        <v>23</v>
      </c>
      <c r="C1303" s="1" t="s">
        <v>11</v>
      </c>
      <c r="D1303">
        <v>0</v>
      </c>
      <c r="E1303">
        <v>0</v>
      </c>
      <c r="F1303">
        <v>20848</v>
      </c>
      <c r="G1303">
        <v>267000</v>
      </c>
      <c r="H1303">
        <v>303251</v>
      </c>
      <c r="I1303">
        <v>347604</v>
      </c>
      <c r="J1303">
        <v>106</v>
      </c>
    </row>
    <row r="1304" spans="1:10" x14ac:dyDescent="0.2">
      <c r="A1304">
        <v>2018</v>
      </c>
      <c r="B1304" s="1" t="s">
        <v>23</v>
      </c>
      <c r="C1304" s="1" t="s">
        <v>12</v>
      </c>
      <c r="D1304">
        <v>0</v>
      </c>
      <c r="E1304">
        <v>0</v>
      </c>
      <c r="F1304">
        <v>7669</v>
      </c>
      <c r="G1304">
        <v>120000</v>
      </c>
      <c r="H1304">
        <v>138342</v>
      </c>
      <c r="I1304">
        <v>156226</v>
      </c>
      <c r="J1304">
        <v>106</v>
      </c>
    </row>
    <row r="1305" spans="1:10" x14ac:dyDescent="0.2">
      <c r="A1305">
        <v>2018</v>
      </c>
      <c r="B1305" s="1" t="s">
        <v>23</v>
      </c>
      <c r="C1305" s="1" t="s">
        <v>13</v>
      </c>
      <c r="D1305">
        <v>0</v>
      </c>
      <c r="E1305">
        <v>0</v>
      </c>
      <c r="F1305">
        <v>29922</v>
      </c>
      <c r="G1305">
        <v>155000</v>
      </c>
      <c r="H1305">
        <v>172650</v>
      </c>
      <c r="I1305">
        <v>201792</v>
      </c>
      <c r="J1305">
        <v>106</v>
      </c>
    </row>
    <row r="1306" spans="1:10" x14ac:dyDescent="0.2">
      <c r="A1306">
        <v>2018</v>
      </c>
      <c r="B1306" s="1" t="s">
        <v>23</v>
      </c>
      <c r="C1306" s="1" t="s">
        <v>14</v>
      </c>
      <c r="D1306">
        <v>0</v>
      </c>
      <c r="E1306">
        <v>0</v>
      </c>
      <c r="F1306">
        <v>25341</v>
      </c>
      <c r="G1306">
        <v>123000</v>
      </c>
      <c r="H1306">
        <v>139630</v>
      </c>
      <c r="I1306">
        <v>160132</v>
      </c>
      <c r="J1306">
        <v>106</v>
      </c>
    </row>
    <row r="1307" spans="1:10" x14ac:dyDescent="0.2">
      <c r="A1307">
        <v>2018</v>
      </c>
      <c r="B1307" s="1" t="s">
        <v>10</v>
      </c>
      <c r="C1307" s="1" t="s">
        <v>24</v>
      </c>
      <c r="D1307">
        <v>0</v>
      </c>
      <c r="E1307">
        <v>1</v>
      </c>
      <c r="F1307">
        <v>79173</v>
      </c>
      <c r="G1307">
        <v>189950</v>
      </c>
      <c r="H1307">
        <v>219064</v>
      </c>
      <c r="I1307">
        <v>247293</v>
      </c>
      <c r="J1307">
        <v>106</v>
      </c>
    </row>
    <row r="1308" spans="1:10" x14ac:dyDescent="0.2">
      <c r="A1308">
        <v>2018</v>
      </c>
      <c r="B1308" s="1" t="s">
        <v>15</v>
      </c>
      <c r="C1308" s="1" t="s">
        <v>24</v>
      </c>
      <c r="D1308">
        <v>0</v>
      </c>
      <c r="E1308">
        <v>1</v>
      </c>
      <c r="F1308">
        <v>98133</v>
      </c>
      <c r="G1308">
        <v>285000</v>
      </c>
      <c r="H1308">
        <v>333496</v>
      </c>
      <c r="I1308">
        <v>371038</v>
      </c>
      <c r="J1308">
        <v>106</v>
      </c>
    </row>
    <row r="1309" spans="1:10" x14ac:dyDescent="0.2">
      <c r="A1309">
        <v>2018</v>
      </c>
      <c r="B1309" s="1" t="s">
        <v>16</v>
      </c>
      <c r="C1309" s="1" t="s">
        <v>24</v>
      </c>
      <c r="D1309">
        <v>0</v>
      </c>
      <c r="E1309">
        <v>1</v>
      </c>
      <c r="F1309">
        <v>87485</v>
      </c>
      <c r="G1309">
        <v>467500</v>
      </c>
      <c r="H1309">
        <v>621489</v>
      </c>
      <c r="I1309">
        <v>608632</v>
      </c>
      <c r="J1309">
        <v>106</v>
      </c>
    </row>
    <row r="1310" spans="1:10" x14ac:dyDescent="0.2">
      <c r="A1310">
        <v>2018</v>
      </c>
      <c r="B1310" s="1" t="s">
        <v>17</v>
      </c>
      <c r="C1310" s="1" t="s">
        <v>24</v>
      </c>
      <c r="D1310">
        <v>0</v>
      </c>
      <c r="E1310">
        <v>1</v>
      </c>
      <c r="F1310">
        <v>38326</v>
      </c>
      <c r="G1310">
        <v>140000</v>
      </c>
      <c r="H1310">
        <v>164581</v>
      </c>
      <c r="I1310">
        <v>182264</v>
      </c>
      <c r="J1310">
        <v>106</v>
      </c>
    </row>
    <row r="1311" spans="1:10" x14ac:dyDescent="0.2">
      <c r="A1311">
        <v>2018</v>
      </c>
      <c r="B1311" s="1" t="s">
        <v>18</v>
      </c>
      <c r="C1311" s="1" t="s">
        <v>24</v>
      </c>
      <c r="D1311">
        <v>0</v>
      </c>
      <c r="E1311">
        <v>1</v>
      </c>
      <c r="F1311">
        <v>112726</v>
      </c>
      <c r="G1311">
        <v>161000</v>
      </c>
      <c r="H1311">
        <v>194186</v>
      </c>
      <c r="I1311">
        <v>209604</v>
      </c>
      <c r="J1311">
        <v>106</v>
      </c>
    </row>
    <row r="1312" spans="1:10" x14ac:dyDescent="0.2">
      <c r="A1312">
        <v>2018</v>
      </c>
      <c r="B1312" s="1" t="s">
        <v>19</v>
      </c>
      <c r="C1312" s="1" t="s">
        <v>24</v>
      </c>
      <c r="D1312">
        <v>0</v>
      </c>
      <c r="E1312">
        <v>1</v>
      </c>
      <c r="F1312">
        <v>143452</v>
      </c>
      <c r="G1312">
        <v>320000</v>
      </c>
      <c r="H1312">
        <v>381211</v>
      </c>
      <c r="I1312">
        <v>416604</v>
      </c>
      <c r="J1312">
        <v>106</v>
      </c>
    </row>
    <row r="1313" spans="1:10" x14ac:dyDescent="0.2">
      <c r="A1313">
        <v>2018</v>
      </c>
      <c r="B1313" s="1" t="s">
        <v>20</v>
      </c>
      <c r="C1313" s="1" t="s">
        <v>24</v>
      </c>
      <c r="D1313">
        <v>0</v>
      </c>
      <c r="E1313">
        <v>1</v>
      </c>
      <c r="F1313">
        <v>99753</v>
      </c>
      <c r="G1313">
        <v>250000</v>
      </c>
      <c r="H1313">
        <v>290430</v>
      </c>
      <c r="I1313">
        <v>325472</v>
      </c>
      <c r="J1313">
        <v>106</v>
      </c>
    </row>
    <row r="1314" spans="1:10" x14ac:dyDescent="0.2">
      <c r="A1314">
        <v>2018</v>
      </c>
      <c r="B1314" s="1" t="s">
        <v>21</v>
      </c>
      <c r="C1314" s="1" t="s">
        <v>24</v>
      </c>
      <c r="D1314">
        <v>0</v>
      </c>
      <c r="E1314">
        <v>1</v>
      </c>
      <c r="F1314">
        <v>47583</v>
      </c>
      <c r="G1314">
        <v>157500</v>
      </c>
      <c r="H1314">
        <v>183302</v>
      </c>
      <c r="I1314">
        <v>205047</v>
      </c>
      <c r="J1314">
        <v>106</v>
      </c>
    </row>
    <row r="1315" spans="1:10" x14ac:dyDescent="0.2">
      <c r="A1315">
        <v>2018</v>
      </c>
      <c r="B1315" s="1" t="s">
        <v>22</v>
      </c>
      <c r="C1315" s="1" t="s">
        <v>24</v>
      </c>
      <c r="D1315">
        <v>0</v>
      </c>
      <c r="E1315">
        <v>1</v>
      </c>
      <c r="F1315">
        <v>84960</v>
      </c>
      <c r="G1315">
        <v>190000</v>
      </c>
      <c r="H1315">
        <v>227504</v>
      </c>
      <c r="I1315">
        <v>247358</v>
      </c>
      <c r="J1315">
        <v>106</v>
      </c>
    </row>
    <row r="1316" spans="1:10" x14ac:dyDescent="0.2">
      <c r="A1316">
        <v>2018</v>
      </c>
      <c r="B1316" s="1" t="s">
        <v>23</v>
      </c>
      <c r="C1316" s="1" t="s">
        <v>24</v>
      </c>
      <c r="D1316">
        <v>0</v>
      </c>
      <c r="E1316">
        <v>1</v>
      </c>
      <c r="F1316">
        <v>83780</v>
      </c>
      <c r="G1316">
        <v>160000</v>
      </c>
      <c r="H1316">
        <v>192021</v>
      </c>
      <c r="I1316">
        <v>208302</v>
      </c>
      <c r="J1316">
        <v>106</v>
      </c>
    </row>
    <row r="1317" spans="1:10" x14ac:dyDescent="0.2">
      <c r="A1317">
        <v>2018</v>
      </c>
      <c r="B1317" s="1" t="s">
        <v>25</v>
      </c>
      <c r="C1317" s="1" t="s">
        <v>11</v>
      </c>
      <c r="D1317">
        <v>1</v>
      </c>
      <c r="E1317">
        <v>0</v>
      </c>
      <c r="F1317">
        <v>224824</v>
      </c>
      <c r="G1317">
        <v>334000</v>
      </c>
      <c r="H1317">
        <v>405209</v>
      </c>
      <c r="I1317">
        <v>434830</v>
      </c>
      <c r="J1317">
        <v>106</v>
      </c>
    </row>
    <row r="1318" spans="1:10" x14ac:dyDescent="0.2">
      <c r="A1318">
        <v>2018</v>
      </c>
      <c r="B1318" s="1" t="s">
        <v>25</v>
      </c>
      <c r="C1318" s="1" t="s">
        <v>12</v>
      </c>
      <c r="D1318">
        <v>1</v>
      </c>
      <c r="E1318">
        <v>0</v>
      </c>
      <c r="F1318">
        <v>158415</v>
      </c>
      <c r="G1318">
        <v>213995</v>
      </c>
      <c r="H1318">
        <v>298823</v>
      </c>
      <c r="I1318">
        <v>278597</v>
      </c>
      <c r="J1318">
        <v>106</v>
      </c>
    </row>
    <row r="1319" spans="1:10" x14ac:dyDescent="0.2">
      <c r="A1319">
        <v>2018</v>
      </c>
      <c r="B1319" s="1" t="s">
        <v>25</v>
      </c>
      <c r="C1319" s="1" t="s">
        <v>13</v>
      </c>
      <c r="D1319">
        <v>1</v>
      </c>
      <c r="E1319">
        <v>0</v>
      </c>
      <c r="F1319">
        <v>251219</v>
      </c>
      <c r="G1319">
        <v>210000</v>
      </c>
      <c r="H1319">
        <v>254334</v>
      </c>
      <c r="I1319">
        <v>273396</v>
      </c>
      <c r="J1319">
        <v>106</v>
      </c>
    </row>
    <row r="1320" spans="1:10" x14ac:dyDescent="0.2">
      <c r="A1320">
        <v>2018</v>
      </c>
      <c r="B1320" s="1" t="s">
        <v>25</v>
      </c>
      <c r="C1320" s="1" t="s">
        <v>14</v>
      </c>
      <c r="D1320">
        <v>1</v>
      </c>
      <c r="E1320">
        <v>0</v>
      </c>
      <c r="F1320">
        <v>241067</v>
      </c>
      <c r="G1320">
        <v>182000</v>
      </c>
      <c r="H1320">
        <v>241237</v>
      </c>
      <c r="I1320">
        <v>236943</v>
      </c>
      <c r="J1320">
        <v>106</v>
      </c>
    </row>
    <row r="1321" spans="1:10" x14ac:dyDescent="0.2">
      <c r="A1321">
        <v>2018</v>
      </c>
      <c r="B1321" s="1" t="s">
        <v>25</v>
      </c>
      <c r="C1321" s="1" t="s">
        <v>24</v>
      </c>
      <c r="D1321">
        <v>1</v>
      </c>
      <c r="E1321">
        <v>1</v>
      </c>
      <c r="F1321">
        <v>875525</v>
      </c>
      <c r="G1321">
        <v>235000</v>
      </c>
      <c r="H1321">
        <v>297520</v>
      </c>
      <c r="I1321">
        <v>305943</v>
      </c>
      <c r="J1321">
        <v>106</v>
      </c>
    </row>
    <row r="1322" spans="1:10" x14ac:dyDescent="0.2">
      <c r="A1322">
        <v>2019</v>
      </c>
      <c r="B1322" s="1" t="s">
        <v>10</v>
      </c>
      <c r="C1322" s="1" t="s">
        <v>11</v>
      </c>
      <c r="D1322">
        <v>0</v>
      </c>
      <c r="E1322">
        <v>0</v>
      </c>
      <c r="F1322">
        <v>28184</v>
      </c>
      <c r="G1322">
        <v>280000</v>
      </c>
      <c r="H1322">
        <v>312304</v>
      </c>
      <c r="I1322">
        <v>358442</v>
      </c>
      <c r="J1322">
        <v>107.8</v>
      </c>
    </row>
    <row r="1323" spans="1:10" x14ac:dyDescent="0.2">
      <c r="A1323">
        <v>2019</v>
      </c>
      <c r="B1323" s="1" t="s">
        <v>10</v>
      </c>
      <c r="C1323" s="1" t="s">
        <v>12</v>
      </c>
      <c r="D1323">
        <v>0</v>
      </c>
      <c r="E1323">
        <v>0</v>
      </c>
      <c r="F1323">
        <v>4454</v>
      </c>
      <c r="G1323">
        <v>115000</v>
      </c>
      <c r="H1323">
        <v>130294</v>
      </c>
      <c r="I1323">
        <v>147217</v>
      </c>
      <c r="J1323">
        <v>107.8</v>
      </c>
    </row>
    <row r="1324" spans="1:10" x14ac:dyDescent="0.2">
      <c r="A1324">
        <v>2019</v>
      </c>
      <c r="B1324" s="1" t="s">
        <v>10</v>
      </c>
      <c r="C1324" s="1" t="s">
        <v>13</v>
      </c>
      <c r="D1324">
        <v>0</v>
      </c>
      <c r="E1324">
        <v>0</v>
      </c>
      <c r="F1324">
        <v>25357</v>
      </c>
      <c r="G1324">
        <v>177500</v>
      </c>
      <c r="H1324">
        <v>188205</v>
      </c>
      <c r="I1324">
        <v>227226</v>
      </c>
      <c r="J1324">
        <v>107.8</v>
      </c>
    </row>
    <row r="1325" spans="1:10" x14ac:dyDescent="0.2">
      <c r="A1325">
        <v>2019</v>
      </c>
      <c r="B1325" s="1" t="s">
        <v>10</v>
      </c>
      <c r="C1325" s="1" t="s">
        <v>14</v>
      </c>
      <c r="D1325">
        <v>0</v>
      </c>
      <c r="E1325">
        <v>0</v>
      </c>
      <c r="F1325">
        <v>17588</v>
      </c>
      <c r="G1325">
        <v>147500</v>
      </c>
      <c r="H1325">
        <v>156947</v>
      </c>
      <c r="I1325">
        <v>188822</v>
      </c>
      <c r="J1325">
        <v>107.8</v>
      </c>
    </row>
    <row r="1326" spans="1:10" x14ac:dyDescent="0.2">
      <c r="A1326">
        <v>2019</v>
      </c>
      <c r="B1326" s="1" t="s">
        <v>15</v>
      </c>
      <c r="C1326" s="1" t="s">
        <v>11</v>
      </c>
      <c r="D1326">
        <v>0</v>
      </c>
      <c r="E1326">
        <v>0</v>
      </c>
      <c r="F1326">
        <v>29922</v>
      </c>
      <c r="G1326">
        <v>390000</v>
      </c>
      <c r="H1326">
        <v>458464</v>
      </c>
      <c r="I1326">
        <v>499258</v>
      </c>
      <c r="J1326">
        <v>107.8</v>
      </c>
    </row>
    <row r="1327" spans="1:10" x14ac:dyDescent="0.2">
      <c r="A1327">
        <v>2019</v>
      </c>
      <c r="B1327" s="1" t="s">
        <v>15</v>
      </c>
      <c r="C1327" s="1" t="s">
        <v>12</v>
      </c>
      <c r="D1327">
        <v>0</v>
      </c>
      <c r="E1327">
        <v>0</v>
      </c>
      <c r="F1327">
        <v>14400</v>
      </c>
      <c r="G1327">
        <v>197500</v>
      </c>
      <c r="H1327">
        <v>218105</v>
      </c>
      <c r="I1327">
        <v>252829</v>
      </c>
      <c r="J1327">
        <v>107.8</v>
      </c>
    </row>
    <row r="1328" spans="1:10" x14ac:dyDescent="0.2">
      <c r="A1328">
        <v>2019</v>
      </c>
      <c r="B1328" s="1" t="s">
        <v>15</v>
      </c>
      <c r="C1328" s="1" t="s">
        <v>13</v>
      </c>
      <c r="D1328">
        <v>0</v>
      </c>
      <c r="E1328">
        <v>0</v>
      </c>
      <c r="F1328">
        <v>26311</v>
      </c>
      <c r="G1328">
        <v>290000</v>
      </c>
      <c r="H1328">
        <v>319701</v>
      </c>
      <c r="I1328">
        <v>371243</v>
      </c>
      <c r="J1328">
        <v>107.8</v>
      </c>
    </row>
    <row r="1329" spans="1:10" x14ac:dyDescent="0.2">
      <c r="A1329">
        <v>2019</v>
      </c>
      <c r="B1329" s="1" t="s">
        <v>15</v>
      </c>
      <c r="C1329" s="1" t="s">
        <v>14</v>
      </c>
      <c r="D1329">
        <v>0</v>
      </c>
      <c r="E1329">
        <v>0</v>
      </c>
      <c r="F1329">
        <v>23927</v>
      </c>
      <c r="G1329">
        <v>255000</v>
      </c>
      <c r="H1329">
        <v>275475</v>
      </c>
      <c r="I1329">
        <v>326438</v>
      </c>
      <c r="J1329">
        <v>107.8</v>
      </c>
    </row>
    <row r="1330" spans="1:10" x14ac:dyDescent="0.2">
      <c r="A1330">
        <v>2019</v>
      </c>
      <c r="B1330" s="1" t="s">
        <v>16</v>
      </c>
      <c r="C1330" s="1" t="s">
        <v>11</v>
      </c>
      <c r="D1330">
        <v>0</v>
      </c>
      <c r="E1330">
        <v>0</v>
      </c>
      <c r="F1330">
        <v>4026</v>
      </c>
      <c r="G1330">
        <v>765000</v>
      </c>
      <c r="H1330">
        <v>1062147</v>
      </c>
      <c r="I1330">
        <v>979314</v>
      </c>
      <c r="J1330">
        <v>107.8</v>
      </c>
    </row>
    <row r="1331" spans="1:10" x14ac:dyDescent="0.2">
      <c r="A1331">
        <v>2019</v>
      </c>
      <c r="B1331" s="1" t="s">
        <v>16</v>
      </c>
      <c r="C1331" s="1" t="s">
        <v>12</v>
      </c>
      <c r="D1331">
        <v>0</v>
      </c>
      <c r="E1331">
        <v>0</v>
      </c>
      <c r="F1331">
        <v>44708</v>
      </c>
      <c r="G1331">
        <v>428500</v>
      </c>
      <c r="H1331">
        <v>558629</v>
      </c>
      <c r="I1331">
        <v>548544</v>
      </c>
      <c r="J1331">
        <v>107.8</v>
      </c>
    </row>
    <row r="1332" spans="1:10" x14ac:dyDescent="0.2">
      <c r="A1332">
        <v>2019</v>
      </c>
      <c r="B1332" s="1" t="s">
        <v>16</v>
      </c>
      <c r="C1332" s="1" t="s">
        <v>13</v>
      </c>
      <c r="D1332">
        <v>0</v>
      </c>
      <c r="E1332">
        <v>0</v>
      </c>
      <c r="F1332">
        <v>12540</v>
      </c>
      <c r="G1332">
        <v>525000</v>
      </c>
      <c r="H1332">
        <v>653385</v>
      </c>
      <c r="I1332">
        <v>672078</v>
      </c>
      <c r="J1332">
        <v>107.8</v>
      </c>
    </row>
    <row r="1333" spans="1:10" x14ac:dyDescent="0.2">
      <c r="A1333">
        <v>2019</v>
      </c>
      <c r="B1333" s="1" t="s">
        <v>16</v>
      </c>
      <c r="C1333" s="1" t="s">
        <v>14</v>
      </c>
      <c r="D1333">
        <v>0</v>
      </c>
      <c r="E1333">
        <v>0</v>
      </c>
      <c r="F1333">
        <v>22532</v>
      </c>
      <c r="G1333">
        <v>490000</v>
      </c>
      <c r="H1333">
        <v>677321</v>
      </c>
      <c r="I1333">
        <v>627273</v>
      </c>
      <c r="J1333">
        <v>107.8</v>
      </c>
    </row>
    <row r="1334" spans="1:10" x14ac:dyDescent="0.2">
      <c r="A1334">
        <v>2019</v>
      </c>
      <c r="B1334" s="1" t="s">
        <v>17</v>
      </c>
      <c r="C1334" s="1" t="s">
        <v>11</v>
      </c>
      <c r="D1334">
        <v>0</v>
      </c>
      <c r="E1334">
        <v>0</v>
      </c>
      <c r="F1334">
        <v>9559</v>
      </c>
      <c r="G1334">
        <v>245000</v>
      </c>
      <c r="H1334">
        <v>270042</v>
      </c>
      <c r="I1334">
        <v>313636</v>
      </c>
      <c r="J1334">
        <v>107.8</v>
      </c>
    </row>
    <row r="1335" spans="1:10" x14ac:dyDescent="0.2">
      <c r="A1335">
        <v>2019</v>
      </c>
      <c r="B1335" s="1" t="s">
        <v>17</v>
      </c>
      <c r="C1335" s="1" t="s">
        <v>12</v>
      </c>
      <c r="D1335">
        <v>0</v>
      </c>
      <c r="E1335">
        <v>0</v>
      </c>
      <c r="F1335">
        <v>3373</v>
      </c>
      <c r="G1335">
        <v>93500</v>
      </c>
      <c r="H1335">
        <v>110226</v>
      </c>
      <c r="I1335">
        <v>119694</v>
      </c>
      <c r="J1335">
        <v>107.8</v>
      </c>
    </row>
    <row r="1336" spans="1:10" x14ac:dyDescent="0.2">
      <c r="A1336">
        <v>2019</v>
      </c>
      <c r="B1336" s="1" t="s">
        <v>17</v>
      </c>
      <c r="C1336" s="1" t="s">
        <v>13</v>
      </c>
      <c r="D1336">
        <v>0</v>
      </c>
      <c r="E1336">
        <v>0</v>
      </c>
      <c r="F1336">
        <v>13166</v>
      </c>
      <c r="G1336">
        <v>138000</v>
      </c>
      <c r="H1336">
        <v>150972</v>
      </c>
      <c r="I1336">
        <v>176660</v>
      </c>
      <c r="J1336">
        <v>107.8</v>
      </c>
    </row>
    <row r="1337" spans="1:10" x14ac:dyDescent="0.2">
      <c r="A1337">
        <v>2019</v>
      </c>
      <c r="B1337" s="1" t="s">
        <v>17</v>
      </c>
      <c r="C1337" s="1" t="s">
        <v>14</v>
      </c>
      <c r="D1337">
        <v>0</v>
      </c>
      <c r="E1337">
        <v>0</v>
      </c>
      <c r="F1337">
        <v>11616</v>
      </c>
      <c r="G1337">
        <v>100000</v>
      </c>
      <c r="H1337">
        <v>120010</v>
      </c>
      <c r="I1337">
        <v>128015</v>
      </c>
      <c r="J1337">
        <v>107.8</v>
      </c>
    </row>
    <row r="1338" spans="1:10" x14ac:dyDescent="0.2">
      <c r="A1338">
        <v>2019</v>
      </c>
      <c r="B1338" s="1" t="s">
        <v>18</v>
      </c>
      <c r="C1338" s="1" t="s">
        <v>11</v>
      </c>
      <c r="D1338">
        <v>0</v>
      </c>
      <c r="E1338">
        <v>0</v>
      </c>
      <c r="F1338">
        <v>24473</v>
      </c>
      <c r="G1338">
        <v>280000</v>
      </c>
      <c r="H1338">
        <v>328639</v>
      </c>
      <c r="I1338">
        <v>358442</v>
      </c>
      <c r="J1338">
        <v>107.8</v>
      </c>
    </row>
    <row r="1339" spans="1:10" x14ac:dyDescent="0.2">
      <c r="A1339">
        <v>2019</v>
      </c>
      <c r="B1339" s="1" t="s">
        <v>18</v>
      </c>
      <c r="C1339" s="1" t="s">
        <v>12</v>
      </c>
      <c r="D1339">
        <v>0</v>
      </c>
      <c r="E1339">
        <v>0</v>
      </c>
      <c r="F1339">
        <v>13267</v>
      </c>
      <c r="G1339">
        <v>127950</v>
      </c>
      <c r="H1339">
        <v>148405</v>
      </c>
      <c r="I1339">
        <v>163795</v>
      </c>
      <c r="J1339">
        <v>107.8</v>
      </c>
    </row>
    <row r="1340" spans="1:10" x14ac:dyDescent="0.2">
      <c r="A1340">
        <v>2019</v>
      </c>
      <c r="B1340" s="1" t="s">
        <v>18</v>
      </c>
      <c r="C1340" s="1" t="s">
        <v>13</v>
      </c>
      <c r="D1340">
        <v>0</v>
      </c>
      <c r="E1340">
        <v>0</v>
      </c>
      <c r="F1340">
        <v>38462</v>
      </c>
      <c r="G1340">
        <v>171000</v>
      </c>
      <c r="H1340">
        <v>192749</v>
      </c>
      <c r="I1340">
        <v>218905</v>
      </c>
      <c r="J1340">
        <v>107.8</v>
      </c>
    </row>
    <row r="1341" spans="1:10" x14ac:dyDescent="0.2">
      <c r="A1341">
        <v>2019</v>
      </c>
      <c r="B1341" s="1" t="s">
        <v>18</v>
      </c>
      <c r="C1341" s="1" t="s">
        <v>14</v>
      </c>
      <c r="D1341">
        <v>0</v>
      </c>
      <c r="E1341">
        <v>0</v>
      </c>
      <c r="F1341">
        <v>33555</v>
      </c>
      <c r="G1341">
        <v>118500</v>
      </c>
      <c r="H1341">
        <v>135060</v>
      </c>
      <c r="I1341">
        <v>151698</v>
      </c>
      <c r="J1341">
        <v>107.8</v>
      </c>
    </row>
    <row r="1342" spans="1:10" x14ac:dyDescent="0.2">
      <c r="A1342">
        <v>2019</v>
      </c>
      <c r="B1342" s="1" t="s">
        <v>19</v>
      </c>
      <c r="C1342" s="1" t="s">
        <v>11</v>
      </c>
      <c r="D1342">
        <v>0</v>
      </c>
      <c r="E1342">
        <v>0</v>
      </c>
      <c r="F1342">
        <v>38959</v>
      </c>
      <c r="G1342">
        <v>495000</v>
      </c>
      <c r="H1342">
        <v>589183</v>
      </c>
      <c r="I1342">
        <v>633673</v>
      </c>
      <c r="J1342">
        <v>107.8</v>
      </c>
    </row>
    <row r="1343" spans="1:10" x14ac:dyDescent="0.2">
      <c r="A1343">
        <v>2019</v>
      </c>
      <c r="B1343" s="1" t="s">
        <v>19</v>
      </c>
      <c r="C1343" s="1" t="s">
        <v>12</v>
      </c>
      <c r="D1343">
        <v>0</v>
      </c>
      <c r="E1343">
        <v>0</v>
      </c>
      <c r="F1343">
        <v>28664</v>
      </c>
      <c r="G1343">
        <v>210000</v>
      </c>
      <c r="H1343">
        <v>232797</v>
      </c>
      <c r="I1343">
        <v>268831</v>
      </c>
      <c r="J1343">
        <v>107.8</v>
      </c>
    </row>
    <row r="1344" spans="1:10" x14ac:dyDescent="0.2">
      <c r="A1344">
        <v>2019</v>
      </c>
      <c r="B1344" s="1" t="s">
        <v>19</v>
      </c>
      <c r="C1344" s="1" t="s">
        <v>13</v>
      </c>
      <c r="D1344">
        <v>0</v>
      </c>
      <c r="E1344">
        <v>0</v>
      </c>
      <c r="F1344">
        <v>36180</v>
      </c>
      <c r="G1344">
        <v>335000</v>
      </c>
      <c r="H1344">
        <v>364636</v>
      </c>
      <c r="I1344">
        <v>428850</v>
      </c>
      <c r="J1344">
        <v>107.8</v>
      </c>
    </row>
    <row r="1345" spans="1:10" x14ac:dyDescent="0.2">
      <c r="A1345">
        <v>2019</v>
      </c>
      <c r="B1345" s="1" t="s">
        <v>19</v>
      </c>
      <c r="C1345" s="1" t="s">
        <v>14</v>
      </c>
      <c r="D1345">
        <v>0</v>
      </c>
      <c r="E1345">
        <v>0</v>
      </c>
      <c r="F1345">
        <v>33894</v>
      </c>
      <c r="G1345">
        <v>278000</v>
      </c>
      <c r="H1345">
        <v>304577</v>
      </c>
      <c r="I1345">
        <v>355881</v>
      </c>
      <c r="J1345">
        <v>107.8</v>
      </c>
    </row>
    <row r="1346" spans="1:10" x14ac:dyDescent="0.2">
      <c r="A1346">
        <v>2019</v>
      </c>
      <c r="B1346" s="1" t="s">
        <v>20</v>
      </c>
      <c r="C1346" s="1" t="s">
        <v>11</v>
      </c>
      <c r="D1346">
        <v>0</v>
      </c>
      <c r="E1346">
        <v>0</v>
      </c>
      <c r="F1346">
        <v>28814</v>
      </c>
      <c r="G1346">
        <v>365000</v>
      </c>
      <c r="H1346">
        <v>418916</v>
      </c>
      <c r="I1346">
        <v>467254</v>
      </c>
      <c r="J1346">
        <v>107.8</v>
      </c>
    </row>
    <row r="1347" spans="1:10" x14ac:dyDescent="0.2">
      <c r="A1347">
        <v>2019</v>
      </c>
      <c r="B1347" s="1" t="s">
        <v>20</v>
      </c>
      <c r="C1347" s="1" t="s">
        <v>12</v>
      </c>
      <c r="D1347">
        <v>0</v>
      </c>
      <c r="E1347">
        <v>0</v>
      </c>
      <c r="F1347">
        <v>16035</v>
      </c>
      <c r="G1347">
        <v>166000</v>
      </c>
      <c r="H1347">
        <v>201862</v>
      </c>
      <c r="I1347">
        <v>212505</v>
      </c>
      <c r="J1347">
        <v>107.8</v>
      </c>
    </row>
    <row r="1348" spans="1:10" x14ac:dyDescent="0.2">
      <c r="A1348">
        <v>2019</v>
      </c>
      <c r="B1348" s="1" t="s">
        <v>20</v>
      </c>
      <c r="C1348" s="1" t="s">
        <v>13</v>
      </c>
      <c r="D1348">
        <v>0</v>
      </c>
      <c r="E1348">
        <v>0</v>
      </c>
      <c r="F1348">
        <v>23366</v>
      </c>
      <c r="G1348">
        <v>247972</v>
      </c>
      <c r="H1348">
        <v>270562</v>
      </c>
      <c r="I1348">
        <v>317442</v>
      </c>
      <c r="J1348">
        <v>107.8</v>
      </c>
    </row>
    <row r="1349" spans="1:10" x14ac:dyDescent="0.2">
      <c r="A1349">
        <v>2019</v>
      </c>
      <c r="B1349" s="1" t="s">
        <v>20</v>
      </c>
      <c r="C1349" s="1" t="s">
        <v>14</v>
      </c>
      <c r="D1349">
        <v>0</v>
      </c>
      <c r="E1349">
        <v>0</v>
      </c>
      <c r="F1349">
        <v>26114</v>
      </c>
      <c r="G1349">
        <v>212500</v>
      </c>
      <c r="H1349">
        <v>236509</v>
      </c>
      <c r="I1349">
        <v>272032</v>
      </c>
      <c r="J1349">
        <v>107.8</v>
      </c>
    </row>
    <row r="1350" spans="1:10" x14ac:dyDescent="0.2">
      <c r="A1350">
        <v>2019</v>
      </c>
      <c r="B1350" s="1" t="s">
        <v>21</v>
      </c>
      <c r="C1350" s="1" t="s">
        <v>11</v>
      </c>
      <c r="D1350">
        <v>0</v>
      </c>
      <c r="E1350">
        <v>0</v>
      </c>
      <c r="F1350">
        <v>13988</v>
      </c>
      <c r="G1350">
        <v>249950</v>
      </c>
      <c r="H1350">
        <v>272735</v>
      </c>
      <c r="I1350">
        <v>319973</v>
      </c>
      <c r="J1350">
        <v>107.8</v>
      </c>
    </row>
    <row r="1351" spans="1:10" x14ac:dyDescent="0.2">
      <c r="A1351">
        <v>2019</v>
      </c>
      <c r="B1351" s="1" t="s">
        <v>21</v>
      </c>
      <c r="C1351" s="1" t="s">
        <v>12</v>
      </c>
      <c r="D1351">
        <v>0</v>
      </c>
      <c r="E1351">
        <v>0</v>
      </c>
      <c r="F1351">
        <v>3480</v>
      </c>
      <c r="G1351">
        <v>125748</v>
      </c>
      <c r="H1351">
        <v>142168</v>
      </c>
      <c r="I1351">
        <v>160975</v>
      </c>
      <c r="J1351">
        <v>107.8</v>
      </c>
    </row>
    <row r="1352" spans="1:10" x14ac:dyDescent="0.2">
      <c r="A1352">
        <v>2019</v>
      </c>
      <c r="B1352" s="1" t="s">
        <v>21</v>
      </c>
      <c r="C1352" s="1" t="s">
        <v>13</v>
      </c>
      <c r="D1352">
        <v>0</v>
      </c>
      <c r="E1352">
        <v>0</v>
      </c>
      <c r="F1352">
        <v>13610</v>
      </c>
      <c r="G1352">
        <v>155500</v>
      </c>
      <c r="H1352">
        <v>170637</v>
      </c>
      <c r="I1352">
        <v>199063</v>
      </c>
      <c r="J1352">
        <v>107.8</v>
      </c>
    </row>
    <row r="1353" spans="1:10" x14ac:dyDescent="0.2">
      <c r="A1353">
        <v>2019</v>
      </c>
      <c r="B1353" s="1" t="s">
        <v>21</v>
      </c>
      <c r="C1353" s="1" t="s">
        <v>14</v>
      </c>
      <c r="D1353">
        <v>0</v>
      </c>
      <c r="E1353">
        <v>0</v>
      </c>
      <c r="F1353">
        <v>14810</v>
      </c>
      <c r="G1353">
        <v>121500</v>
      </c>
      <c r="H1353">
        <v>135891</v>
      </c>
      <c r="I1353">
        <v>155538</v>
      </c>
      <c r="J1353">
        <v>107.8</v>
      </c>
    </row>
    <row r="1354" spans="1:10" x14ac:dyDescent="0.2">
      <c r="A1354">
        <v>2019</v>
      </c>
      <c r="B1354" s="1" t="s">
        <v>22</v>
      </c>
      <c r="C1354" s="1" t="s">
        <v>11</v>
      </c>
      <c r="D1354">
        <v>0</v>
      </c>
      <c r="E1354">
        <v>0</v>
      </c>
      <c r="F1354">
        <v>22593</v>
      </c>
      <c r="G1354">
        <v>315000</v>
      </c>
      <c r="H1354">
        <v>355513</v>
      </c>
      <c r="I1354">
        <v>403247</v>
      </c>
      <c r="J1354">
        <v>107.8</v>
      </c>
    </row>
    <row r="1355" spans="1:10" x14ac:dyDescent="0.2">
      <c r="A1355">
        <v>2019</v>
      </c>
      <c r="B1355" s="1" t="s">
        <v>22</v>
      </c>
      <c r="C1355" s="1" t="s">
        <v>12</v>
      </c>
      <c r="D1355">
        <v>0</v>
      </c>
      <c r="E1355">
        <v>0</v>
      </c>
      <c r="F1355">
        <v>9100</v>
      </c>
      <c r="G1355">
        <v>130000</v>
      </c>
      <c r="H1355">
        <v>151686</v>
      </c>
      <c r="I1355">
        <v>166419</v>
      </c>
      <c r="J1355">
        <v>107.8</v>
      </c>
    </row>
    <row r="1356" spans="1:10" x14ac:dyDescent="0.2">
      <c r="A1356">
        <v>2019</v>
      </c>
      <c r="B1356" s="1" t="s">
        <v>22</v>
      </c>
      <c r="C1356" s="1" t="s">
        <v>13</v>
      </c>
      <c r="D1356">
        <v>0</v>
      </c>
      <c r="E1356">
        <v>0</v>
      </c>
      <c r="F1356">
        <v>28044</v>
      </c>
      <c r="G1356">
        <v>187500</v>
      </c>
      <c r="H1356">
        <v>204531</v>
      </c>
      <c r="I1356">
        <v>240028</v>
      </c>
      <c r="J1356">
        <v>107.8</v>
      </c>
    </row>
    <row r="1357" spans="1:10" x14ac:dyDescent="0.2">
      <c r="A1357">
        <v>2019</v>
      </c>
      <c r="B1357" s="1" t="s">
        <v>22</v>
      </c>
      <c r="C1357" s="1" t="s">
        <v>14</v>
      </c>
      <c r="D1357">
        <v>0</v>
      </c>
      <c r="E1357">
        <v>0</v>
      </c>
      <c r="F1357">
        <v>21528</v>
      </c>
      <c r="G1357">
        <v>155000</v>
      </c>
      <c r="H1357">
        <v>170362</v>
      </c>
      <c r="I1357">
        <v>198423</v>
      </c>
      <c r="J1357">
        <v>107.8</v>
      </c>
    </row>
    <row r="1358" spans="1:10" x14ac:dyDescent="0.2">
      <c r="A1358">
        <v>2019</v>
      </c>
      <c r="B1358" s="1" t="s">
        <v>23</v>
      </c>
      <c r="C1358" s="1" t="s">
        <v>11</v>
      </c>
      <c r="D1358">
        <v>0</v>
      </c>
      <c r="E1358">
        <v>0</v>
      </c>
      <c r="F1358">
        <v>20540</v>
      </c>
      <c r="G1358">
        <v>275000</v>
      </c>
      <c r="H1358">
        <v>311707</v>
      </c>
      <c r="I1358">
        <v>352041</v>
      </c>
      <c r="J1358">
        <v>107.8</v>
      </c>
    </row>
    <row r="1359" spans="1:10" x14ac:dyDescent="0.2">
      <c r="A1359">
        <v>2019</v>
      </c>
      <c r="B1359" s="1" t="s">
        <v>23</v>
      </c>
      <c r="C1359" s="1" t="s">
        <v>12</v>
      </c>
      <c r="D1359">
        <v>0</v>
      </c>
      <c r="E1359">
        <v>0</v>
      </c>
      <c r="F1359">
        <v>7155</v>
      </c>
      <c r="G1359">
        <v>122500</v>
      </c>
      <c r="H1359">
        <v>142991</v>
      </c>
      <c r="I1359">
        <v>156818</v>
      </c>
      <c r="J1359">
        <v>107.8</v>
      </c>
    </row>
    <row r="1360" spans="1:10" x14ac:dyDescent="0.2">
      <c r="A1360">
        <v>2019</v>
      </c>
      <c r="B1360" s="1" t="s">
        <v>23</v>
      </c>
      <c r="C1360" s="1" t="s">
        <v>13</v>
      </c>
      <c r="D1360">
        <v>0</v>
      </c>
      <c r="E1360">
        <v>0</v>
      </c>
      <c r="F1360">
        <v>30067</v>
      </c>
      <c r="G1360">
        <v>160000</v>
      </c>
      <c r="H1360">
        <v>176999</v>
      </c>
      <c r="I1360">
        <v>204824</v>
      </c>
      <c r="J1360">
        <v>107.8</v>
      </c>
    </row>
    <row r="1361" spans="1:10" x14ac:dyDescent="0.2">
      <c r="A1361">
        <v>2019</v>
      </c>
      <c r="B1361" s="1" t="s">
        <v>23</v>
      </c>
      <c r="C1361" s="1" t="s">
        <v>14</v>
      </c>
      <c r="D1361">
        <v>0</v>
      </c>
      <c r="E1361">
        <v>0</v>
      </c>
      <c r="F1361">
        <v>24424</v>
      </c>
      <c r="G1361">
        <v>125000</v>
      </c>
      <c r="H1361">
        <v>142934</v>
      </c>
      <c r="I1361">
        <v>160019</v>
      </c>
      <c r="J1361">
        <v>107.8</v>
      </c>
    </row>
    <row r="1362" spans="1:10" x14ac:dyDescent="0.2">
      <c r="A1362">
        <v>2019</v>
      </c>
      <c r="B1362" s="1" t="s">
        <v>10</v>
      </c>
      <c r="C1362" s="1" t="s">
        <v>24</v>
      </c>
      <c r="D1362">
        <v>0</v>
      </c>
      <c r="E1362">
        <v>1</v>
      </c>
      <c r="F1362">
        <v>75583</v>
      </c>
      <c r="G1362">
        <v>195000</v>
      </c>
      <c r="H1362">
        <v>223794</v>
      </c>
      <c r="I1362">
        <v>249629</v>
      </c>
      <c r="J1362">
        <v>107.8</v>
      </c>
    </row>
    <row r="1363" spans="1:10" x14ac:dyDescent="0.2">
      <c r="A1363">
        <v>2019</v>
      </c>
      <c r="B1363" s="1" t="s">
        <v>15</v>
      </c>
      <c r="C1363" s="1" t="s">
        <v>24</v>
      </c>
      <c r="D1363">
        <v>0</v>
      </c>
      <c r="E1363">
        <v>1</v>
      </c>
      <c r="F1363">
        <v>94560</v>
      </c>
      <c r="G1363">
        <v>289995</v>
      </c>
      <c r="H1363">
        <v>336948</v>
      </c>
      <c r="I1363">
        <v>371237</v>
      </c>
      <c r="J1363">
        <v>107.8</v>
      </c>
    </row>
    <row r="1364" spans="1:10" x14ac:dyDescent="0.2">
      <c r="A1364">
        <v>2019</v>
      </c>
      <c r="B1364" s="1" t="s">
        <v>16</v>
      </c>
      <c r="C1364" s="1" t="s">
        <v>24</v>
      </c>
      <c r="D1364">
        <v>0</v>
      </c>
      <c r="E1364">
        <v>1</v>
      </c>
      <c r="F1364">
        <v>83806</v>
      </c>
      <c r="G1364">
        <v>475000</v>
      </c>
      <c r="H1364">
        <v>628908</v>
      </c>
      <c r="I1364">
        <v>608071</v>
      </c>
      <c r="J1364">
        <v>107.8</v>
      </c>
    </row>
    <row r="1365" spans="1:10" x14ac:dyDescent="0.2">
      <c r="A1365">
        <v>2019</v>
      </c>
      <c r="B1365" s="1" t="s">
        <v>17</v>
      </c>
      <c r="C1365" s="1" t="s">
        <v>24</v>
      </c>
      <c r="D1365">
        <v>0</v>
      </c>
      <c r="E1365">
        <v>1</v>
      </c>
      <c r="F1365">
        <v>37714</v>
      </c>
      <c r="G1365">
        <v>142500</v>
      </c>
      <c r="H1365">
        <v>167971</v>
      </c>
      <c r="I1365">
        <v>182421</v>
      </c>
      <c r="J1365">
        <v>107.8</v>
      </c>
    </row>
    <row r="1366" spans="1:10" x14ac:dyDescent="0.2">
      <c r="A1366">
        <v>2019</v>
      </c>
      <c r="B1366" s="1" t="s">
        <v>18</v>
      </c>
      <c r="C1366" s="1" t="s">
        <v>24</v>
      </c>
      <c r="D1366">
        <v>0</v>
      </c>
      <c r="E1366">
        <v>1</v>
      </c>
      <c r="F1366">
        <v>109757</v>
      </c>
      <c r="G1366">
        <v>167500</v>
      </c>
      <c r="H1366">
        <v>200052</v>
      </c>
      <c r="I1366">
        <v>214425</v>
      </c>
      <c r="J1366">
        <v>107.8</v>
      </c>
    </row>
    <row r="1367" spans="1:10" x14ac:dyDescent="0.2">
      <c r="A1367">
        <v>2019</v>
      </c>
      <c r="B1367" s="1" t="s">
        <v>19</v>
      </c>
      <c r="C1367" s="1" t="s">
        <v>24</v>
      </c>
      <c r="D1367">
        <v>0</v>
      </c>
      <c r="E1367">
        <v>1</v>
      </c>
      <c r="F1367">
        <v>137697</v>
      </c>
      <c r="G1367">
        <v>325000</v>
      </c>
      <c r="H1367">
        <v>385940</v>
      </c>
      <c r="I1367">
        <v>416048</v>
      </c>
      <c r="J1367">
        <v>107.8</v>
      </c>
    </row>
    <row r="1368" spans="1:10" x14ac:dyDescent="0.2">
      <c r="A1368">
        <v>2019</v>
      </c>
      <c r="B1368" s="1" t="s">
        <v>20</v>
      </c>
      <c r="C1368" s="1" t="s">
        <v>24</v>
      </c>
      <c r="D1368">
        <v>0</v>
      </c>
      <c r="E1368">
        <v>1</v>
      </c>
      <c r="F1368">
        <v>94329</v>
      </c>
      <c r="G1368">
        <v>253800</v>
      </c>
      <c r="H1368">
        <v>294773</v>
      </c>
      <c r="I1368">
        <v>324902</v>
      </c>
      <c r="J1368">
        <v>107.8</v>
      </c>
    </row>
    <row r="1369" spans="1:10" x14ac:dyDescent="0.2">
      <c r="A1369">
        <v>2019</v>
      </c>
      <c r="B1369" s="1" t="s">
        <v>21</v>
      </c>
      <c r="C1369" s="1" t="s">
        <v>24</v>
      </c>
      <c r="D1369">
        <v>0</v>
      </c>
      <c r="E1369">
        <v>1</v>
      </c>
      <c r="F1369">
        <v>45888</v>
      </c>
      <c r="G1369">
        <v>163000</v>
      </c>
      <c r="H1369">
        <v>188387</v>
      </c>
      <c r="I1369">
        <v>208664</v>
      </c>
      <c r="J1369">
        <v>107.8</v>
      </c>
    </row>
    <row r="1370" spans="1:10" x14ac:dyDescent="0.2">
      <c r="A1370">
        <v>2019</v>
      </c>
      <c r="B1370" s="1" t="s">
        <v>22</v>
      </c>
      <c r="C1370" s="1" t="s">
        <v>24</v>
      </c>
      <c r="D1370">
        <v>0</v>
      </c>
      <c r="E1370">
        <v>1</v>
      </c>
      <c r="F1370">
        <v>81265</v>
      </c>
      <c r="G1370">
        <v>195000</v>
      </c>
      <c r="H1370">
        <v>231538</v>
      </c>
      <c r="I1370">
        <v>249629</v>
      </c>
      <c r="J1370">
        <v>107.8</v>
      </c>
    </row>
    <row r="1371" spans="1:10" x14ac:dyDescent="0.2">
      <c r="A1371">
        <v>2019</v>
      </c>
      <c r="B1371" s="1" t="s">
        <v>23</v>
      </c>
      <c r="C1371" s="1" t="s">
        <v>24</v>
      </c>
      <c r="D1371">
        <v>0</v>
      </c>
      <c r="E1371">
        <v>1</v>
      </c>
      <c r="F1371">
        <v>82186</v>
      </c>
      <c r="G1371">
        <v>165000</v>
      </c>
      <c r="H1371">
        <v>197581</v>
      </c>
      <c r="I1371">
        <v>211224</v>
      </c>
      <c r="J1371">
        <v>107.8</v>
      </c>
    </row>
    <row r="1372" spans="1:10" x14ac:dyDescent="0.2">
      <c r="A1372">
        <v>2019</v>
      </c>
      <c r="B1372" s="1" t="s">
        <v>25</v>
      </c>
      <c r="C1372" s="1" t="s">
        <v>11</v>
      </c>
      <c r="D1372">
        <v>1</v>
      </c>
      <c r="E1372">
        <v>0</v>
      </c>
      <c r="F1372">
        <v>221122</v>
      </c>
      <c r="G1372">
        <v>339950</v>
      </c>
      <c r="H1372">
        <v>410284</v>
      </c>
      <c r="I1372">
        <v>435186</v>
      </c>
      <c r="J1372">
        <v>107.8</v>
      </c>
    </row>
    <row r="1373" spans="1:10" x14ac:dyDescent="0.2">
      <c r="A1373">
        <v>2019</v>
      </c>
      <c r="B1373" s="1" t="s">
        <v>25</v>
      </c>
      <c r="C1373" s="1" t="s">
        <v>12</v>
      </c>
      <c r="D1373">
        <v>1</v>
      </c>
      <c r="E1373">
        <v>0</v>
      </c>
      <c r="F1373">
        <v>144700</v>
      </c>
      <c r="G1373">
        <v>213000</v>
      </c>
      <c r="H1373">
        <v>303098</v>
      </c>
      <c r="I1373">
        <v>272672</v>
      </c>
      <c r="J1373">
        <v>107.8</v>
      </c>
    </row>
    <row r="1374" spans="1:10" x14ac:dyDescent="0.2">
      <c r="A1374">
        <v>2019</v>
      </c>
      <c r="B1374" s="1" t="s">
        <v>25</v>
      </c>
      <c r="C1374" s="1" t="s">
        <v>13</v>
      </c>
      <c r="D1374">
        <v>1</v>
      </c>
      <c r="E1374">
        <v>0</v>
      </c>
      <c r="F1374">
        <v>247125</v>
      </c>
      <c r="G1374">
        <v>214000</v>
      </c>
      <c r="H1374">
        <v>257676</v>
      </c>
      <c r="I1374">
        <v>273952</v>
      </c>
      <c r="J1374">
        <v>107.8</v>
      </c>
    </row>
    <row r="1375" spans="1:10" x14ac:dyDescent="0.2">
      <c r="A1375">
        <v>2019</v>
      </c>
      <c r="B1375" s="1" t="s">
        <v>25</v>
      </c>
      <c r="C1375" s="1" t="s">
        <v>14</v>
      </c>
      <c r="D1375">
        <v>1</v>
      </c>
      <c r="E1375">
        <v>0</v>
      </c>
      <c r="F1375">
        <v>230008</v>
      </c>
      <c r="G1375">
        <v>185000</v>
      </c>
      <c r="H1375">
        <v>244412</v>
      </c>
      <c r="I1375">
        <v>236827</v>
      </c>
      <c r="J1375">
        <v>107.8</v>
      </c>
    </row>
    <row r="1376" spans="1:10" x14ac:dyDescent="0.2">
      <c r="A1376">
        <v>2019</v>
      </c>
      <c r="B1376" s="1" t="s">
        <v>25</v>
      </c>
      <c r="C1376" s="1" t="s">
        <v>24</v>
      </c>
      <c r="D1376">
        <v>1</v>
      </c>
      <c r="E1376">
        <v>1</v>
      </c>
      <c r="F1376">
        <v>842955</v>
      </c>
      <c r="G1376">
        <v>239995</v>
      </c>
      <c r="H1376">
        <v>301886</v>
      </c>
      <c r="I1376">
        <v>307229</v>
      </c>
      <c r="J1376">
        <v>107.8</v>
      </c>
    </row>
    <row r="1377" spans="1:10" x14ac:dyDescent="0.2">
      <c r="A1377">
        <v>2020</v>
      </c>
      <c r="B1377" s="1" t="s">
        <v>10</v>
      </c>
      <c r="C1377" s="1" t="s">
        <v>11</v>
      </c>
      <c r="D1377">
        <v>0</v>
      </c>
      <c r="E1377">
        <v>0</v>
      </c>
      <c r="F1377">
        <v>26608</v>
      </c>
      <c r="G1377">
        <v>295000</v>
      </c>
      <c r="H1377">
        <v>329417</v>
      </c>
      <c r="I1377">
        <v>373829</v>
      </c>
      <c r="J1377">
        <v>108.9</v>
      </c>
    </row>
    <row r="1378" spans="1:10" x14ac:dyDescent="0.2">
      <c r="A1378">
        <v>2020</v>
      </c>
      <c r="B1378" s="1" t="s">
        <v>10</v>
      </c>
      <c r="C1378" s="1" t="s">
        <v>12</v>
      </c>
      <c r="D1378">
        <v>0</v>
      </c>
      <c r="E1378">
        <v>0</v>
      </c>
      <c r="F1378">
        <v>3480</v>
      </c>
      <c r="G1378">
        <v>120000</v>
      </c>
      <c r="H1378">
        <v>134774</v>
      </c>
      <c r="I1378">
        <v>152066</v>
      </c>
      <c r="J1378">
        <v>108.9</v>
      </c>
    </row>
    <row r="1379" spans="1:10" x14ac:dyDescent="0.2">
      <c r="A1379">
        <v>2020</v>
      </c>
      <c r="B1379" s="1" t="s">
        <v>10</v>
      </c>
      <c r="C1379" s="1" t="s">
        <v>13</v>
      </c>
      <c r="D1379">
        <v>0</v>
      </c>
      <c r="E1379">
        <v>0</v>
      </c>
      <c r="F1379">
        <v>22029</v>
      </c>
      <c r="G1379">
        <v>185000</v>
      </c>
      <c r="H1379">
        <v>198573</v>
      </c>
      <c r="I1379">
        <v>234435</v>
      </c>
      <c r="J1379">
        <v>108.9</v>
      </c>
    </row>
    <row r="1380" spans="1:10" x14ac:dyDescent="0.2">
      <c r="A1380">
        <v>2020</v>
      </c>
      <c r="B1380" s="1" t="s">
        <v>10</v>
      </c>
      <c r="C1380" s="1" t="s">
        <v>14</v>
      </c>
      <c r="D1380">
        <v>0</v>
      </c>
      <c r="E1380">
        <v>0</v>
      </c>
      <c r="F1380">
        <v>14376</v>
      </c>
      <c r="G1380">
        <v>155000</v>
      </c>
      <c r="H1380">
        <v>166269</v>
      </c>
      <c r="I1380">
        <v>196419</v>
      </c>
      <c r="J1380">
        <v>108.9</v>
      </c>
    </row>
    <row r="1381" spans="1:10" x14ac:dyDescent="0.2">
      <c r="A1381">
        <v>2020</v>
      </c>
      <c r="B1381" s="1" t="s">
        <v>15</v>
      </c>
      <c r="C1381" s="1" t="s">
        <v>11</v>
      </c>
      <c r="D1381">
        <v>0</v>
      </c>
      <c r="E1381">
        <v>0</v>
      </c>
      <c r="F1381">
        <v>29716</v>
      </c>
      <c r="G1381">
        <v>412500</v>
      </c>
      <c r="H1381">
        <v>479573</v>
      </c>
      <c r="I1381">
        <v>522727</v>
      </c>
      <c r="J1381">
        <v>108.9</v>
      </c>
    </row>
    <row r="1382" spans="1:10" x14ac:dyDescent="0.2">
      <c r="A1382">
        <v>2020</v>
      </c>
      <c r="B1382" s="1" t="s">
        <v>15</v>
      </c>
      <c r="C1382" s="1" t="s">
        <v>12</v>
      </c>
      <c r="D1382">
        <v>0</v>
      </c>
      <c r="E1382">
        <v>0</v>
      </c>
      <c r="F1382">
        <v>11299</v>
      </c>
      <c r="G1382">
        <v>200000</v>
      </c>
      <c r="H1382">
        <v>221634</v>
      </c>
      <c r="I1382">
        <v>253444</v>
      </c>
      <c r="J1382">
        <v>108.9</v>
      </c>
    </row>
    <row r="1383" spans="1:10" x14ac:dyDescent="0.2">
      <c r="A1383">
        <v>2020</v>
      </c>
      <c r="B1383" s="1" t="s">
        <v>15</v>
      </c>
      <c r="C1383" s="1" t="s">
        <v>13</v>
      </c>
      <c r="D1383">
        <v>0</v>
      </c>
      <c r="E1383">
        <v>0</v>
      </c>
      <c r="F1383">
        <v>24554</v>
      </c>
      <c r="G1383">
        <v>300000</v>
      </c>
      <c r="H1383">
        <v>336063</v>
      </c>
      <c r="I1383">
        <v>380165</v>
      </c>
      <c r="J1383">
        <v>108.9</v>
      </c>
    </row>
    <row r="1384" spans="1:10" x14ac:dyDescent="0.2">
      <c r="A1384">
        <v>2020</v>
      </c>
      <c r="B1384" s="1" t="s">
        <v>15</v>
      </c>
      <c r="C1384" s="1" t="s">
        <v>14</v>
      </c>
      <c r="D1384">
        <v>0</v>
      </c>
      <c r="E1384">
        <v>0</v>
      </c>
      <c r="F1384">
        <v>20721</v>
      </c>
      <c r="G1384">
        <v>265000</v>
      </c>
      <c r="H1384">
        <v>289624</v>
      </c>
      <c r="I1384">
        <v>335813</v>
      </c>
      <c r="J1384">
        <v>108.9</v>
      </c>
    </row>
    <row r="1385" spans="1:10" x14ac:dyDescent="0.2">
      <c r="A1385">
        <v>2020</v>
      </c>
      <c r="B1385" s="1" t="s">
        <v>16</v>
      </c>
      <c r="C1385" s="1" t="s">
        <v>11</v>
      </c>
      <c r="D1385">
        <v>0</v>
      </c>
      <c r="E1385">
        <v>0</v>
      </c>
      <c r="F1385">
        <v>4068</v>
      </c>
      <c r="G1385">
        <v>800000</v>
      </c>
      <c r="H1385">
        <v>1137153</v>
      </c>
      <c r="I1385">
        <v>1013774</v>
      </c>
      <c r="J1385">
        <v>108.9</v>
      </c>
    </row>
    <row r="1386" spans="1:10" x14ac:dyDescent="0.2">
      <c r="A1386">
        <v>2020</v>
      </c>
      <c r="B1386" s="1" t="s">
        <v>16</v>
      </c>
      <c r="C1386" s="1" t="s">
        <v>12</v>
      </c>
      <c r="D1386">
        <v>0</v>
      </c>
      <c r="E1386">
        <v>0</v>
      </c>
      <c r="F1386">
        <v>40948</v>
      </c>
      <c r="G1386">
        <v>446250</v>
      </c>
      <c r="H1386">
        <v>576738</v>
      </c>
      <c r="I1386">
        <v>565496</v>
      </c>
      <c r="J1386">
        <v>108.9</v>
      </c>
    </row>
    <row r="1387" spans="1:10" x14ac:dyDescent="0.2">
      <c r="A1387">
        <v>2020</v>
      </c>
      <c r="B1387" s="1" t="s">
        <v>16</v>
      </c>
      <c r="C1387" s="1" t="s">
        <v>13</v>
      </c>
      <c r="D1387">
        <v>0</v>
      </c>
      <c r="E1387">
        <v>0</v>
      </c>
      <c r="F1387">
        <v>11875</v>
      </c>
      <c r="G1387">
        <v>550000</v>
      </c>
      <c r="H1387">
        <v>693060</v>
      </c>
      <c r="I1387">
        <v>696970</v>
      </c>
      <c r="J1387">
        <v>108.9</v>
      </c>
    </row>
    <row r="1388" spans="1:10" x14ac:dyDescent="0.2">
      <c r="A1388">
        <v>2020</v>
      </c>
      <c r="B1388" s="1" t="s">
        <v>16</v>
      </c>
      <c r="C1388" s="1" t="s">
        <v>14</v>
      </c>
      <c r="D1388">
        <v>0</v>
      </c>
      <c r="E1388">
        <v>0</v>
      </c>
      <c r="F1388">
        <v>21044</v>
      </c>
      <c r="G1388">
        <v>525000</v>
      </c>
      <c r="H1388">
        <v>730899</v>
      </c>
      <c r="I1388">
        <v>665289</v>
      </c>
      <c r="J1388">
        <v>108.9</v>
      </c>
    </row>
    <row r="1389" spans="1:10" x14ac:dyDescent="0.2">
      <c r="A1389">
        <v>2020</v>
      </c>
      <c r="B1389" s="1" t="s">
        <v>17</v>
      </c>
      <c r="C1389" s="1" t="s">
        <v>11</v>
      </c>
      <c r="D1389">
        <v>0</v>
      </c>
      <c r="E1389">
        <v>0</v>
      </c>
      <c r="F1389">
        <v>9309</v>
      </c>
      <c r="G1389">
        <v>250000</v>
      </c>
      <c r="H1389">
        <v>283522</v>
      </c>
      <c r="I1389">
        <v>316804</v>
      </c>
      <c r="J1389">
        <v>108.9</v>
      </c>
    </row>
    <row r="1390" spans="1:10" x14ac:dyDescent="0.2">
      <c r="A1390">
        <v>2020</v>
      </c>
      <c r="B1390" s="1" t="s">
        <v>17</v>
      </c>
      <c r="C1390" s="1" t="s">
        <v>12</v>
      </c>
      <c r="D1390">
        <v>0</v>
      </c>
      <c r="E1390">
        <v>0</v>
      </c>
      <c r="F1390">
        <v>2946</v>
      </c>
      <c r="G1390">
        <v>90000</v>
      </c>
      <c r="H1390">
        <v>110032</v>
      </c>
      <c r="I1390">
        <v>114050</v>
      </c>
      <c r="J1390">
        <v>108.9</v>
      </c>
    </row>
    <row r="1391" spans="1:10" x14ac:dyDescent="0.2">
      <c r="A1391">
        <v>2020</v>
      </c>
      <c r="B1391" s="1" t="s">
        <v>17</v>
      </c>
      <c r="C1391" s="1" t="s">
        <v>13</v>
      </c>
      <c r="D1391">
        <v>0</v>
      </c>
      <c r="E1391">
        <v>0</v>
      </c>
      <c r="F1391">
        <v>11487</v>
      </c>
      <c r="G1391">
        <v>144000</v>
      </c>
      <c r="H1391">
        <v>157326</v>
      </c>
      <c r="I1391">
        <v>182479</v>
      </c>
      <c r="J1391">
        <v>108.9</v>
      </c>
    </row>
    <row r="1392" spans="1:10" x14ac:dyDescent="0.2">
      <c r="A1392">
        <v>2020</v>
      </c>
      <c r="B1392" s="1" t="s">
        <v>17</v>
      </c>
      <c r="C1392" s="1" t="s">
        <v>14</v>
      </c>
      <c r="D1392">
        <v>0</v>
      </c>
      <c r="E1392">
        <v>0</v>
      </c>
      <c r="F1392">
        <v>10563</v>
      </c>
      <c r="G1392">
        <v>105000</v>
      </c>
      <c r="H1392">
        <v>125352</v>
      </c>
      <c r="I1392">
        <v>133058</v>
      </c>
      <c r="J1392">
        <v>108.9</v>
      </c>
    </row>
    <row r="1393" spans="1:10" x14ac:dyDescent="0.2">
      <c r="A1393">
        <v>2020</v>
      </c>
      <c r="B1393" s="1" t="s">
        <v>18</v>
      </c>
      <c r="C1393" s="1" t="s">
        <v>11</v>
      </c>
      <c r="D1393">
        <v>0</v>
      </c>
      <c r="E1393">
        <v>0</v>
      </c>
      <c r="F1393">
        <v>23500</v>
      </c>
      <c r="G1393">
        <v>295000</v>
      </c>
      <c r="H1393">
        <v>346803</v>
      </c>
      <c r="I1393">
        <v>373829</v>
      </c>
      <c r="J1393">
        <v>108.9</v>
      </c>
    </row>
    <row r="1394" spans="1:10" x14ac:dyDescent="0.2">
      <c r="A1394">
        <v>2020</v>
      </c>
      <c r="B1394" s="1" t="s">
        <v>18</v>
      </c>
      <c r="C1394" s="1" t="s">
        <v>12</v>
      </c>
      <c r="D1394">
        <v>0</v>
      </c>
      <c r="E1394">
        <v>0</v>
      </c>
      <c r="F1394">
        <v>10873</v>
      </c>
      <c r="G1394">
        <v>140000</v>
      </c>
      <c r="H1394">
        <v>168822</v>
      </c>
      <c r="I1394">
        <v>177410</v>
      </c>
      <c r="J1394">
        <v>108.9</v>
      </c>
    </row>
    <row r="1395" spans="1:10" x14ac:dyDescent="0.2">
      <c r="A1395">
        <v>2020</v>
      </c>
      <c r="B1395" s="1" t="s">
        <v>18</v>
      </c>
      <c r="C1395" s="1" t="s">
        <v>13</v>
      </c>
      <c r="D1395">
        <v>0</v>
      </c>
      <c r="E1395">
        <v>0</v>
      </c>
      <c r="F1395">
        <v>34174</v>
      </c>
      <c r="G1395">
        <v>180000</v>
      </c>
      <c r="H1395">
        <v>204237</v>
      </c>
      <c r="I1395">
        <v>228099</v>
      </c>
      <c r="J1395">
        <v>108.9</v>
      </c>
    </row>
    <row r="1396" spans="1:10" x14ac:dyDescent="0.2">
      <c r="A1396">
        <v>2020</v>
      </c>
      <c r="B1396" s="1" t="s">
        <v>18</v>
      </c>
      <c r="C1396" s="1" t="s">
        <v>14</v>
      </c>
      <c r="D1396">
        <v>0</v>
      </c>
      <c r="E1396">
        <v>0</v>
      </c>
      <c r="F1396">
        <v>28754</v>
      </c>
      <c r="G1396">
        <v>125000</v>
      </c>
      <c r="H1396">
        <v>144342</v>
      </c>
      <c r="I1396">
        <v>158402</v>
      </c>
      <c r="J1396">
        <v>108.9</v>
      </c>
    </row>
    <row r="1397" spans="1:10" x14ac:dyDescent="0.2">
      <c r="A1397">
        <v>2020</v>
      </c>
      <c r="B1397" s="1" t="s">
        <v>19</v>
      </c>
      <c r="C1397" s="1" t="s">
        <v>11</v>
      </c>
      <c r="D1397">
        <v>0</v>
      </c>
      <c r="E1397">
        <v>0</v>
      </c>
      <c r="F1397">
        <v>39454</v>
      </c>
      <c r="G1397">
        <v>520000</v>
      </c>
      <c r="H1397">
        <v>627416</v>
      </c>
      <c r="I1397">
        <v>658953</v>
      </c>
      <c r="J1397">
        <v>108.9</v>
      </c>
    </row>
    <row r="1398" spans="1:10" x14ac:dyDescent="0.2">
      <c r="A1398">
        <v>2020</v>
      </c>
      <c r="B1398" s="1" t="s">
        <v>19</v>
      </c>
      <c r="C1398" s="1" t="s">
        <v>12</v>
      </c>
      <c r="D1398">
        <v>0</v>
      </c>
      <c r="E1398">
        <v>0</v>
      </c>
      <c r="F1398">
        <v>23217</v>
      </c>
      <c r="G1398">
        <v>211500</v>
      </c>
      <c r="H1398">
        <v>236438</v>
      </c>
      <c r="I1398">
        <v>268017</v>
      </c>
      <c r="J1398">
        <v>108.9</v>
      </c>
    </row>
    <row r="1399" spans="1:10" x14ac:dyDescent="0.2">
      <c r="A1399">
        <v>2020</v>
      </c>
      <c r="B1399" s="1" t="s">
        <v>19</v>
      </c>
      <c r="C1399" s="1" t="s">
        <v>13</v>
      </c>
      <c r="D1399">
        <v>0</v>
      </c>
      <c r="E1399">
        <v>0</v>
      </c>
      <c r="F1399">
        <v>34181</v>
      </c>
      <c r="G1399">
        <v>350000</v>
      </c>
      <c r="H1399">
        <v>383287</v>
      </c>
      <c r="I1399">
        <v>443526</v>
      </c>
      <c r="J1399">
        <v>108.9</v>
      </c>
    </row>
    <row r="1400" spans="1:10" x14ac:dyDescent="0.2">
      <c r="A1400">
        <v>2020</v>
      </c>
      <c r="B1400" s="1" t="s">
        <v>19</v>
      </c>
      <c r="C1400" s="1" t="s">
        <v>14</v>
      </c>
      <c r="D1400">
        <v>0</v>
      </c>
      <c r="E1400">
        <v>0</v>
      </c>
      <c r="F1400">
        <v>30309</v>
      </c>
      <c r="G1400">
        <v>287500</v>
      </c>
      <c r="H1400">
        <v>318242</v>
      </c>
      <c r="I1400">
        <v>364325</v>
      </c>
      <c r="J1400">
        <v>108.9</v>
      </c>
    </row>
    <row r="1401" spans="1:10" x14ac:dyDescent="0.2">
      <c r="A1401">
        <v>2020</v>
      </c>
      <c r="B1401" s="1" t="s">
        <v>20</v>
      </c>
      <c r="C1401" s="1" t="s">
        <v>11</v>
      </c>
      <c r="D1401">
        <v>0</v>
      </c>
      <c r="E1401">
        <v>0</v>
      </c>
      <c r="F1401">
        <v>28584</v>
      </c>
      <c r="G1401">
        <v>383000</v>
      </c>
      <c r="H1401">
        <v>448077</v>
      </c>
      <c r="I1401">
        <v>485344</v>
      </c>
      <c r="J1401">
        <v>108.9</v>
      </c>
    </row>
    <row r="1402" spans="1:10" x14ac:dyDescent="0.2">
      <c r="A1402">
        <v>2020</v>
      </c>
      <c r="B1402" s="1" t="s">
        <v>20</v>
      </c>
      <c r="C1402" s="1" t="s">
        <v>12</v>
      </c>
      <c r="D1402">
        <v>0</v>
      </c>
      <c r="E1402">
        <v>0</v>
      </c>
      <c r="F1402">
        <v>12938</v>
      </c>
      <c r="G1402">
        <v>175000</v>
      </c>
      <c r="H1402">
        <v>212276</v>
      </c>
      <c r="I1402">
        <v>221763</v>
      </c>
      <c r="J1402">
        <v>108.9</v>
      </c>
    </row>
    <row r="1403" spans="1:10" x14ac:dyDescent="0.2">
      <c r="A1403">
        <v>2020</v>
      </c>
      <c r="B1403" s="1" t="s">
        <v>20</v>
      </c>
      <c r="C1403" s="1" t="s">
        <v>13</v>
      </c>
      <c r="D1403">
        <v>0</v>
      </c>
      <c r="E1403">
        <v>0</v>
      </c>
      <c r="F1403">
        <v>20809</v>
      </c>
      <c r="G1403">
        <v>260000</v>
      </c>
      <c r="H1403">
        <v>285875</v>
      </c>
      <c r="I1403">
        <v>329477</v>
      </c>
      <c r="J1403">
        <v>108.9</v>
      </c>
    </row>
    <row r="1404" spans="1:10" x14ac:dyDescent="0.2">
      <c r="A1404">
        <v>2020</v>
      </c>
      <c r="B1404" s="1" t="s">
        <v>20</v>
      </c>
      <c r="C1404" s="1" t="s">
        <v>14</v>
      </c>
      <c r="D1404">
        <v>0</v>
      </c>
      <c r="E1404">
        <v>0</v>
      </c>
      <c r="F1404">
        <v>22624</v>
      </c>
      <c r="G1404">
        <v>222995</v>
      </c>
      <c r="H1404">
        <v>251609</v>
      </c>
      <c r="I1404">
        <v>282583</v>
      </c>
      <c r="J1404">
        <v>108.9</v>
      </c>
    </row>
    <row r="1405" spans="1:10" x14ac:dyDescent="0.2">
      <c r="A1405">
        <v>2020</v>
      </c>
      <c r="B1405" s="1" t="s">
        <v>21</v>
      </c>
      <c r="C1405" s="1" t="s">
        <v>11</v>
      </c>
      <c r="D1405">
        <v>0</v>
      </c>
      <c r="E1405">
        <v>0</v>
      </c>
      <c r="F1405">
        <v>11921</v>
      </c>
      <c r="G1405">
        <v>260000</v>
      </c>
      <c r="H1405">
        <v>291001</v>
      </c>
      <c r="I1405">
        <v>329477</v>
      </c>
      <c r="J1405">
        <v>108.9</v>
      </c>
    </row>
    <row r="1406" spans="1:10" x14ac:dyDescent="0.2">
      <c r="A1406">
        <v>2020</v>
      </c>
      <c r="B1406" s="1" t="s">
        <v>21</v>
      </c>
      <c r="C1406" s="1" t="s">
        <v>12</v>
      </c>
      <c r="D1406">
        <v>0</v>
      </c>
      <c r="E1406">
        <v>0</v>
      </c>
      <c r="F1406">
        <v>2437</v>
      </c>
      <c r="G1406">
        <v>126950</v>
      </c>
      <c r="H1406">
        <v>142822</v>
      </c>
      <c r="I1406">
        <v>160873</v>
      </c>
      <c r="J1406">
        <v>108.9</v>
      </c>
    </row>
    <row r="1407" spans="1:10" x14ac:dyDescent="0.2">
      <c r="A1407">
        <v>2020</v>
      </c>
      <c r="B1407" s="1" t="s">
        <v>21</v>
      </c>
      <c r="C1407" s="1" t="s">
        <v>13</v>
      </c>
      <c r="D1407">
        <v>0</v>
      </c>
      <c r="E1407">
        <v>0</v>
      </c>
      <c r="F1407">
        <v>11025</v>
      </c>
      <c r="G1407">
        <v>165000</v>
      </c>
      <c r="H1407">
        <v>180544</v>
      </c>
      <c r="I1407">
        <v>209091</v>
      </c>
      <c r="J1407">
        <v>108.9</v>
      </c>
    </row>
    <row r="1408" spans="1:10" x14ac:dyDescent="0.2">
      <c r="A1408">
        <v>2020</v>
      </c>
      <c r="B1408" s="1" t="s">
        <v>21</v>
      </c>
      <c r="C1408" s="1" t="s">
        <v>14</v>
      </c>
      <c r="D1408">
        <v>0</v>
      </c>
      <c r="E1408">
        <v>0</v>
      </c>
      <c r="F1408">
        <v>11662</v>
      </c>
      <c r="G1408">
        <v>126000</v>
      </c>
      <c r="H1408">
        <v>142057</v>
      </c>
      <c r="I1408">
        <v>159669</v>
      </c>
      <c r="J1408">
        <v>108.9</v>
      </c>
    </row>
    <row r="1409" spans="1:10" x14ac:dyDescent="0.2">
      <c r="A1409">
        <v>2020</v>
      </c>
      <c r="B1409" s="1" t="s">
        <v>22</v>
      </c>
      <c r="C1409" s="1" t="s">
        <v>11</v>
      </c>
      <c r="D1409">
        <v>0</v>
      </c>
      <c r="E1409">
        <v>0</v>
      </c>
      <c r="F1409">
        <v>21013</v>
      </c>
      <c r="G1409">
        <v>329995</v>
      </c>
      <c r="H1409">
        <v>376134</v>
      </c>
      <c r="I1409">
        <v>418175</v>
      </c>
      <c r="J1409">
        <v>108.9</v>
      </c>
    </row>
    <row r="1410" spans="1:10" x14ac:dyDescent="0.2">
      <c r="A1410">
        <v>2020</v>
      </c>
      <c r="B1410" s="1" t="s">
        <v>22</v>
      </c>
      <c r="C1410" s="1" t="s">
        <v>12</v>
      </c>
      <c r="D1410">
        <v>0</v>
      </c>
      <c r="E1410">
        <v>0</v>
      </c>
      <c r="F1410">
        <v>7248</v>
      </c>
      <c r="G1410">
        <v>132994</v>
      </c>
      <c r="H1410">
        <v>154425</v>
      </c>
      <c r="I1410">
        <v>168532</v>
      </c>
      <c r="J1410">
        <v>108.9</v>
      </c>
    </row>
    <row r="1411" spans="1:10" x14ac:dyDescent="0.2">
      <c r="A1411">
        <v>2020</v>
      </c>
      <c r="B1411" s="1" t="s">
        <v>22</v>
      </c>
      <c r="C1411" s="1" t="s">
        <v>13</v>
      </c>
      <c r="D1411">
        <v>0</v>
      </c>
      <c r="E1411">
        <v>0</v>
      </c>
      <c r="F1411">
        <v>23898</v>
      </c>
      <c r="G1411">
        <v>200000</v>
      </c>
      <c r="H1411">
        <v>217660</v>
      </c>
      <c r="I1411">
        <v>253444</v>
      </c>
      <c r="J1411">
        <v>108.9</v>
      </c>
    </row>
    <row r="1412" spans="1:10" x14ac:dyDescent="0.2">
      <c r="A1412">
        <v>2020</v>
      </c>
      <c r="B1412" s="1" t="s">
        <v>22</v>
      </c>
      <c r="C1412" s="1" t="s">
        <v>14</v>
      </c>
      <c r="D1412">
        <v>0</v>
      </c>
      <c r="E1412">
        <v>0</v>
      </c>
      <c r="F1412">
        <v>17284</v>
      </c>
      <c r="G1412">
        <v>164000</v>
      </c>
      <c r="H1412">
        <v>179893</v>
      </c>
      <c r="I1412">
        <v>207824</v>
      </c>
      <c r="J1412">
        <v>108.9</v>
      </c>
    </row>
    <row r="1413" spans="1:10" x14ac:dyDescent="0.2">
      <c r="A1413">
        <v>2020</v>
      </c>
      <c r="B1413" s="1" t="s">
        <v>23</v>
      </c>
      <c r="C1413" s="1" t="s">
        <v>11</v>
      </c>
      <c r="D1413">
        <v>0</v>
      </c>
      <c r="E1413">
        <v>0</v>
      </c>
      <c r="F1413">
        <v>19096</v>
      </c>
      <c r="G1413">
        <v>290000</v>
      </c>
      <c r="H1413">
        <v>330802</v>
      </c>
      <c r="I1413">
        <v>367493</v>
      </c>
      <c r="J1413">
        <v>108.9</v>
      </c>
    </row>
    <row r="1414" spans="1:10" x14ac:dyDescent="0.2">
      <c r="A1414">
        <v>2020</v>
      </c>
      <c r="B1414" s="1" t="s">
        <v>23</v>
      </c>
      <c r="C1414" s="1" t="s">
        <v>12</v>
      </c>
      <c r="D1414">
        <v>0</v>
      </c>
      <c r="E1414">
        <v>0</v>
      </c>
      <c r="F1414">
        <v>5886</v>
      </c>
      <c r="G1414">
        <v>125000</v>
      </c>
      <c r="H1414">
        <v>144834</v>
      </c>
      <c r="I1414">
        <v>158402</v>
      </c>
      <c r="J1414">
        <v>108.9</v>
      </c>
    </row>
    <row r="1415" spans="1:10" x14ac:dyDescent="0.2">
      <c r="A1415">
        <v>2020</v>
      </c>
      <c r="B1415" s="1" t="s">
        <v>23</v>
      </c>
      <c r="C1415" s="1" t="s">
        <v>13</v>
      </c>
      <c r="D1415">
        <v>0</v>
      </c>
      <c r="E1415">
        <v>0</v>
      </c>
      <c r="F1415">
        <v>25805</v>
      </c>
      <c r="G1415">
        <v>168500</v>
      </c>
      <c r="H1415">
        <v>188165</v>
      </c>
      <c r="I1415">
        <v>213526</v>
      </c>
      <c r="J1415">
        <v>108.9</v>
      </c>
    </row>
    <row r="1416" spans="1:10" x14ac:dyDescent="0.2">
      <c r="A1416">
        <v>2020</v>
      </c>
      <c r="B1416" s="1" t="s">
        <v>23</v>
      </c>
      <c r="C1416" s="1" t="s">
        <v>14</v>
      </c>
      <c r="D1416">
        <v>0</v>
      </c>
      <c r="E1416">
        <v>0</v>
      </c>
      <c r="F1416">
        <v>21049</v>
      </c>
      <c r="G1416">
        <v>130000</v>
      </c>
      <c r="H1416">
        <v>150869</v>
      </c>
      <c r="I1416">
        <v>164738</v>
      </c>
      <c r="J1416">
        <v>108.9</v>
      </c>
    </row>
    <row r="1417" spans="1:10" x14ac:dyDescent="0.2">
      <c r="A1417">
        <v>2020</v>
      </c>
      <c r="B1417" s="1" t="s">
        <v>10</v>
      </c>
      <c r="C1417" s="1" t="s">
        <v>24</v>
      </c>
      <c r="D1417">
        <v>0</v>
      </c>
      <c r="E1417">
        <v>1</v>
      </c>
      <c r="F1417">
        <v>66493</v>
      </c>
      <c r="G1417">
        <v>210000</v>
      </c>
      <c r="H1417">
        <v>240609</v>
      </c>
      <c r="I1417">
        <v>266116</v>
      </c>
      <c r="J1417">
        <v>108.9</v>
      </c>
    </row>
    <row r="1418" spans="1:10" x14ac:dyDescent="0.2">
      <c r="A1418">
        <v>2020</v>
      </c>
      <c r="B1418" s="1" t="s">
        <v>15</v>
      </c>
      <c r="C1418" s="1" t="s">
        <v>24</v>
      </c>
      <c r="D1418">
        <v>0</v>
      </c>
      <c r="E1418">
        <v>1</v>
      </c>
      <c r="F1418">
        <v>86290</v>
      </c>
      <c r="G1418">
        <v>309000</v>
      </c>
      <c r="H1418">
        <v>359349</v>
      </c>
      <c r="I1418">
        <v>391570</v>
      </c>
      <c r="J1418">
        <v>108.9</v>
      </c>
    </row>
    <row r="1419" spans="1:10" x14ac:dyDescent="0.2">
      <c r="A1419">
        <v>2020</v>
      </c>
      <c r="B1419" s="1" t="s">
        <v>16</v>
      </c>
      <c r="C1419" s="1" t="s">
        <v>24</v>
      </c>
      <c r="D1419">
        <v>0</v>
      </c>
      <c r="E1419">
        <v>1</v>
      </c>
      <c r="F1419">
        <v>77935</v>
      </c>
      <c r="G1419">
        <v>497750</v>
      </c>
      <c r="H1419">
        <v>665341</v>
      </c>
      <c r="I1419">
        <v>630758</v>
      </c>
      <c r="J1419">
        <v>108.9</v>
      </c>
    </row>
    <row r="1420" spans="1:10" x14ac:dyDescent="0.2">
      <c r="A1420">
        <v>2020</v>
      </c>
      <c r="B1420" s="1" t="s">
        <v>17</v>
      </c>
      <c r="C1420" s="1" t="s">
        <v>24</v>
      </c>
      <c r="D1420">
        <v>0</v>
      </c>
      <c r="E1420">
        <v>1</v>
      </c>
      <c r="F1420">
        <v>34305</v>
      </c>
      <c r="G1420">
        <v>150000</v>
      </c>
      <c r="H1420">
        <v>177664</v>
      </c>
      <c r="I1420">
        <v>190083</v>
      </c>
      <c r="J1420">
        <v>108.9</v>
      </c>
    </row>
    <row r="1421" spans="1:10" x14ac:dyDescent="0.2">
      <c r="A1421">
        <v>2020</v>
      </c>
      <c r="B1421" s="1" t="s">
        <v>18</v>
      </c>
      <c r="C1421" s="1" t="s">
        <v>24</v>
      </c>
      <c r="D1421">
        <v>0</v>
      </c>
      <c r="E1421">
        <v>1</v>
      </c>
      <c r="F1421">
        <v>97301</v>
      </c>
      <c r="G1421">
        <v>180000</v>
      </c>
      <c r="H1421">
        <v>217012</v>
      </c>
      <c r="I1421">
        <v>228099</v>
      </c>
      <c r="J1421">
        <v>108.9</v>
      </c>
    </row>
    <row r="1422" spans="1:10" x14ac:dyDescent="0.2">
      <c r="A1422">
        <v>2020</v>
      </c>
      <c r="B1422" s="1" t="s">
        <v>19</v>
      </c>
      <c r="C1422" s="1" t="s">
        <v>24</v>
      </c>
      <c r="D1422">
        <v>0</v>
      </c>
      <c r="E1422">
        <v>1</v>
      </c>
      <c r="F1422">
        <v>127161</v>
      </c>
      <c r="G1422">
        <v>347000</v>
      </c>
      <c r="H1422">
        <v>416717</v>
      </c>
      <c r="I1422">
        <v>439725</v>
      </c>
      <c r="J1422">
        <v>108.9</v>
      </c>
    </row>
    <row r="1423" spans="1:10" x14ac:dyDescent="0.2">
      <c r="A1423">
        <v>2020</v>
      </c>
      <c r="B1423" s="1" t="s">
        <v>20</v>
      </c>
      <c r="C1423" s="1" t="s">
        <v>24</v>
      </c>
      <c r="D1423">
        <v>0</v>
      </c>
      <c r="E1423">
        <v>1</v>
      </c>
      <c r="F1423">
        <v>84955</v>
      </c>
      <c r="G1423">
        <v>272500</v>
      </c>
      <c r="H1423">
        <v>320116</v>
      </c>
      <c r="I1423">
        <v>345317</v>
      </c>
      <c r="J1423">
        <v>108.9</v>
      </c>
    </row>
    <row r="1424" spans="1:10" x14ac:dyDescent="0.2">
      <c r="A1424">
        <v>2020</v>
      </c>
      <c r="B1424" s="1" t="s">
        <v>21</v>
      </c>
      <c r="C1424" s="1" t="s">
        <v>24</v>
      </c>
      <c r="D1424">
        <v>0</v>
      </c>
      <c r="E1424">
        <v>1</v>
      </c>
      <c r="F1424">
        <v>37045</v>
      </c>
      <c r="G1424">
        <v>173000</v>
      </c>
      <c r="H1424">
        <v>201491</v>
      </c>
      <c r="I1424">
        <v>219229</v>
      </c>
      <c r="J1424">
        <v>108.9</v>
      </c>
    </row>
    <row r="1425" spans="1:10" x14ac:dyDescent="0.2">
      <c r="A1425">
        <v>2020</v>
      </c>
      <c r="B1425" s="1" t="s">
        <v>22</v>
      </c>
      <c r="C1425" s="1" t="s">
        <v>24</v>
      </c>
      <c r="D1425">
        <v>0</v>
      </c>
      <c r="E1425">
        <v>1</v>
      </c>
      <c r="F1425">
        <v>69443</v>
      </c>
      <c r="G1425">
        <v>213000</v>
      </c>
      <c r="H1425">
        <v>249613</v>
      </c>
      <c r="I1425">
        <v>269917</v>
      </c>
      <c r="J1425">
        <v>108.9</v>
      </c>
    </row>
    <row r="1426" spans="1:10" x14ac:dyDescent="0.2">
      <c r="A1426">
        <v>2020</v>
      </c>
      <c r="B1426" s="1" t="s">
        <v>23</v>
      </c>
      <c r="C1426" s="1" t="s">
        <v>24</v>
      </c>
      <c r="D1426">
        <v>0</v>
      </c>
      <c r="E1426">
        <v>1</v>
      </c>
      <c r="F1426">
        <v>71836</v>
      </c>
      <c r="G1426">
        <v>175000</v>
      </c>
      <c r="H1426">
        <v>211603</v>
      </c>
      <c r="I1426">
        <v>221763</v>
      </c>
      <c r="J1426">
        <v>108.9</v>
      </c>
    </row>
    <row r="1427" spans="1:10" x14ac:dyDescent="0.2">
      <c r="A1427">
        <v>2020</v>
      </c>
      <c r="B1427" s="1" t="s">
        <v>25</v>
      </c>
      <c r="C1427" s="1" t="s">
        <v>11</v>
      </c>
      <c r="D1427">
        <v>1</v>
      </c>
      <c r="E1427">
        <v>0</v>
      </c>
      <c r="F1427">
        <v>213333</v>
      </c>
      <c r="G1427">
        <v>360000</v>
      </c>
      <c r="H1427">
        <v>439287</v>
      </c>
      <c r="I1427">
        <v>456198</v>
      </c>
      <c r="J1427">
        <v>108.9</v>
      </c>
    </row>
    <row r="1428" spans="1:10" x14ac:dyDescent="0.2">
      <c r="A1428">
        <v>2020</v>
      </c>
      <c r="B1428" s="1" t="s">
        <v>25</v>
      </c>
      <c r="C1428" s="1" t="s">
        <v>12</v>
      </c>
      <c r="D1428">
        <v>1</v>
      </c>
      <c r="E1428">
        <v>0</v>
      </c>
      <c r="F1428">
        <v>121325</v>
      </c>
      <c r="G1428">
        <v>230000</v>
      </c>
      <c r="H1428">
        <v>324159</v>
      </c>
      <c r="I1428">
        <v>291460</v>
      </c>
      <c r="J1428">
        <v>108.9</v>
      </c>
    </row>
    <row r="1429" spans="1:10" x14ac:dyDescent="0.2">
      <c r="A1429">
        <v>2020</v>
      </c>
      <c r="B1429" s="1" t="s">
        <v>25</v>
      </c>
      <c r="C1429" s="1" t="s">
        <v>13</v>
      </c>
      <c r="D1429">
        <v>1</v>
      </c>
      <c r="E1429">
        <v>0</v>
      </c>
      <c r="F1429">
        <v>219852</v>
      </c>
      <c r="G1429">
        <v>228000</v>
      </c>
      <c r="H1429">
        <v>276296</v>
      </c>
      <c r="I1429">
        <v>288926</v>
      </c>
      <c r="J1429">
        <v>108.9</v>
      </c>
    </row>
    <row r="1430" spans="1:10" x14ac:dyDescent="0.2">
      <c r="A1430">
        <v>2020</v>
      </c>
      <c r="B1430" s="1" t="s">
        <v>25</v>
      </c>
      <c r="C1430" s="1" t="s">
        <v>14</v>
      </c>
      <c r="D1430">
        <v>1</v>
      </c>
      <c r="E1430">
        <v>0</v>
      </c>
      <c r="F1430">
        <v>198408</v>
      </c>
      <c r="G1430">
        <v>197000</v>
      </c>
      <c r="H1430">
        <v>264765</v>
      </c>
      <c r="I1430">
        <v>249642</v>
      </c>
      <c r="J1430">
        <v>108.9</v>
      </c>
    </row>
    <row r="1431" spans="1:10" x14ac:dyDescent="0.2">
      <c r="A1431">
        <v>2020</v>
      </c>
      <c r="B1431" s="1" t="s">
        <v>25</v>
      </c>
      <c r="C1431" s="1" t="s">
        <v>24</v>
      </c>
      <c r="D1431">
        <v>1</v>
      </c>
      <c r="E1431">
        <v>1</v>
      </c>
      <c r="F1431">
        <v>752918</v>
      </c>
      <c r="G1431">
        <v>257500</v>
      </c>
      <c r="H1431">
        <v>327152</v>
      </c>
      <c r="I1431">
        <v>326309</v>
      </c>
      <c r="J1431">
        <v>108.9</v>
      </c>
    </row>
    <row r="1432" spans="1:10" x14ac:dyDescent="0.2">
      <c r="A1432">
        <v>2021</v>
      </c>
      <c r="B1432" s="1" t="s">
        <v>10</v>
      </c>
      <c r="C1432" s="1" t="s">
        <v>11</v>
      </c>
      <c r="D1432">
        <v>0</v>
      </c>
      <c r="E1432">
        <v>0</v>
      </c>
      <c r="F1432">
        <v>38183</v>
      </c>
      <c r="G1432">
        <v>315000</v>
      </c>
      <c r="H1432">
        <v>353260</v>
      </c>
      <c r="I1432">
        <v>389516</v>
      </c>
      <c r="J1432">
        <v>111.6</v>
      </c>
    </row>
    <row r="1433" spans="1:10" x14ac:dyDescent="0.2">
      <c r="A1433">
        <v>2021</v>
      </c>
      <c r="B1433" s="1" t="s">
        <v>10</v>
      </c>
      <c r="C1433" s="1" t="s">
        <v>12</v>
      </c>
      <c r="D1433">
        <v>0</v>
      </c>
      <c r="E1433">
        <v>0</v>
      </c>
      <c r="F1433">
        <v>4892</v>
      </c>
      <c r="G1433">
        <v>126998</v>
      </c>
      <c r="H1433">
        <v>144138</v>
      </c>
      <c r="I1433">
        <v>157040</v>
      </c>
      <c r="J1433">
        <v>111.6</v>
      </c>
    </row>
    <row r="1434" spans="1:10" x14ac:dyDescent="0.2">
      <c r="A1434">
        <v>2021</v>
      </c>
      <c r="B1434" s="1" t="s">
        <v>10</v>
      </c>
      <c r="C1434" s="1" t="s">
        <v>13</v>
      </c>
      <c r="D1434">
        <v>0</v>
      </c>
      <c r="E1434">
        <v>0</v>
      </c>
      <c r="F1434">
        <v>30451</v>
      </c>
      <c r="G1434">
        <v>202000</v>
      </c>
      <c r="H1434">
        <v>214828</v>
      </c>
      <c r="I1434">
        <v>249785</v>
      </c>
      <c r="J1434">
        <v>111.6</v>
      </c>
    </row>
    <row r="1435" spans="1:10" x14ac:dyDescent="0.2">
      <c r="A1435">
        <v>2021</v>
      </c>
      <c r="B1435" s="1" t="s">
        <v>10</v>
      </c>
      <c r="C1435" s="1" t="s">
        <v>14</v>
      </c>
      <c r="D1435">
        <v>0</v>
      </c>
      <c r="E1435">
        <v>0</v>
      </c>
      <c r="F1435">
        <v>20028</v>
      </c>
      <c r="G1435">
        <v>170000</v>
      </c>
      <c r="H1435">
        <v>182634</v>
      </c>
      <c r="I1435">
        <v>210215</v>
      </c>
      <c r="J1435">
        <v>111.6</v>
      </c>
    </row>
    <row r="1436" spans="1:10" x14ac:dyDescent="0.2">
      <c r="A1436">
        <v>2021</v>
      </c>
      <c r="B1436" s="1" t="s">
        <v>15</v>
      </c>
      <c r="C1436" s="1" t="s">
        <v>11</v>
      </c>
      <c r="D1436">
        <v>0</v>
      </c>
      <c r="E1436">
        <v>0</v>
      </c>
      <c r="F1436">
        <v>43460</v>
      </c>
      <c r="G1436">
        <v>435000</v>
      </c>
      <c r="H1436">
        <v>515324</v>
      </c>
      <c r="I1436">
        <v>537903</v>
      </c>
      <c r="J1436">
        <v>111.6</v>
      </c>
    </row>
    <row r="1437" spans="1:10" x14ac:dyDescent="0.2">
      <c r="A1437">
        <v>2021</v>
      </c>
      <c r="B1437" s="1" t="s">
        <v>15</v>
      </c>
      <c r="C1437" s="1" t="s">
        <v>12</v>
      </c>
      <c r="D1437">
        <v>0</v>
      </c>
      <c r="E1437">
        <v>0</v>
      </c>
      <c r="F1437">
        <v>17274</v>
      </c>
      <c r="G1437">
        <v>207500</v>
      </c>
      <c r="H1437">
        <v>229298</v>
      </c>
      <c r="I1437">
        <v>256586</v>
      </c>
      <c r="J1437">
        <v>111.6</v>
      </c>
    </row>
    <row r="1438" spans="1:10" x14ac:dyDescent="0.2">
      <c r="A1438">
        <v>2021</v>
      </c>
      <c r="B1438" s="1" t="s">
        <v>15</v>
      </c>
      <c r="C1438" s="1" t="s">
        <v>13</v>
      </c>
      <c r="D1438">
        <v>0</v>
      </c>
      <c r="E1438">
        <v>0</v>
      </c>
      <c r="F1438">
        <v>36244</v>
      </c>
      <c r="G1438">
        <v>320000</v>
      </c>
      <c r="H1438">
        <v>356307</v>
      </c>
      <c r="I1438">
        <v>395699</v>
      </c>
      <c r="J1438">
        <v>111.6</v>
      </c>
    </row>
    <row r="1439" spans="1:10" x14ac:dyDescent="0.2">
      <c r="A1439">
        <v>2021</v>
      </c>
      <c r="B1439" s="1" t="s">
        <v>15</v>
      </c>
      <c r="C1439" s="1" t="s">
        <v>14</v>
      </c>
      <c r="D1439">
        <v>0</v>
      </c>
      <c r="E1439">
        <v>0</v>
      </c>
      <c r="F1439">
        <v>31634</v>
      </c>
      <c r="G1439">
        <v>284000</v>
      </c>
      <c r="H1439">
        <v>308745</v>
      </c>
      <c r="I1439">
        <v>351183</v>
      </c>
      <c r="J1439">
        <v>111.6</v>
      </c>
    </row>
    <row r="1440" spans="1:10" x14ac:dyDescent="0.2">
      <c r="A1440">
        <v>2021</v>
      </c>
      <c r="B1440" s="1" t="s">
        <v>16</v>
      </c>
      <c r="C1440" s="1" t="s">
        <v>11</v>
      </c>
      <c r="D1440">
        <v>0</v>
      </c>
      <c r="E1440">
        <v>0</v>
      </c>
      <c r="F1440">
        <v>5977</v>
      </c>
      <c r="G1440">
        <v>850000</v>
      </c>
      <c r="H1440">
        <v>1210461</v>
      </c>
      <c r="I1440">
        <v>1051075</v>
      </c>
      <c r="J1440">
        <v>111.6</v>
      </c>
    </row>
    <row r="1441" spans="1:10" x14ac:dyDescent="0.2">
      <c r="A1441">
        <v>2021</v>
      </c>
      <c r="B1441" s="1" t="s">
        <v>16</v>
      </c>
      <c r="C1441" s="1" t="s">
        <v>12</v>
      </c>
      <c r="D1441">
        <v>0</v>
      </c>
      <c r="E1441">
        <v>0</v>
      </c>
      <c r="F1441">
        <v>59243</v>
      </c>
      <c r="G1441">
        <v>440000</v>
      </c>
      <c r="H1441">
        <v>550678</v>
      </c>
      <c r="I1441">
        <v>544086</v>
      </c>
      <c r="J1441">
        <v>111.6</v>
      </c>
    </row>
    <row r="1442" spans="1:10" x14ac:dyDescent="0.2">
      <c r="A1442">
        <v>2021</v>
      </c>
      <c r="B1442" s="1" t="s">
        <v>16</v>
      </c>
      <c r="C1442" s="1" t="s">
        <v>13</v>
      </c>
      <c r="D1442">
        <v>0</v>
      </c>
      <c r="E1442">
        <v>0</v>
      </c>
      <c r="F1442">
        <v>17789</v>
      </c>
      <c r="G1442">
        <v>580000</v>
      </c>
      <c r="H1442">
        <v>737724</v>
      </c>
      <c r="I1442">
        <v>717204</v>
      </c>
      <c r="J1442">
        <v>111.6</v>
      </c>
    </row>
    <row r="1443" spans="1:10" x14ac:dyDescent="0.2">
      <c r="A1443">
        <v>2021</v>
      </c>
      <c r="B1443" s="1" t="s">
        <v>16</v>
      </c>
      <c r="C1443" s="1" t="s">
        <v>14</v>
      </c>
      <c r="D1443">
        <v>0</v>
      </c>
      <c r="E1443">
        <v>0</v>
      </c>
      <c r="F1443">
        <v>32741</v>
      </c>
      <c r="G1443">
        <v>550000</v>
      </c>
      <c r="H1443">
        <v>753127</v>
      </c>
      <c r="I1443">
        <v>680108</v>
      </c>
      <c r="J1443">
        <v>111.6</v>
      </c>
    </row>
    <row r="1444" spans="1:10" x14ac:dyDescent="0.2">
      <c r="A1444">
        <v>2021</v>
      </c>
      <c r="B1444" s="1" t="s">
        <v>17</v>
      </c>
      <c r="C1444" s="1" t="s">
        <v>11</v>
      </c>
      <c r="D1444">
        <v>0</v>
      </c>
      <c r="E1444">
        <v>0</v>
      </c>
      <c r="F1444">
        <v>12296</v>
      </c>
      <c r="G1444">
        <v>267950</v>
      </c>
      <c r="H1444">
        <v>306636</v>
      </c>
      <c r="I1444">
        <v>331336</v>
      </c>
      <c r="J1444">
        <v>111.6</v>
      </c>
    </row>
    <row r="1445" spans="1:10" x14ac:dyDescent="0.2">
      <c r="A1445">
        <v>2021</v>
      </c>
      <c r="B1445" s="1" t="s">
        <v>17</v>
      </c>
      <c r="C1445" s="1" t="s">
        <v>12</v>
      </c>
      <c r="D1445">
        <v>0</v>
      </c>
      <c r="E1445">
        <v>0</v>
      </c>
      <c r="F1445">
        <v>4331</v>
      </c>
      <c r="G1445">
        <v>99000</v>
      </c>
      <c r="H1445">
        <v>120143</v>
      </c>
      <c r="I1445">
        <v>122419</v>
      </c>
      <c r="J1445">
        <v>111.6</v>
      </c>
    </row>
    <row r="1446" spans="1:10" x14ac:dyDescent="0.2">
      <c r="A1446">
        <v>2021</v>
      </c>
      <c r="B1446" s="1" t="s">
        <v>17</v>
      </c>
      <c r="C1446" s="1" t="s">
        <v>13</v>
      </c>
      <c r="D1446">
        <v>0</v>
      </c>
      <c r="E1446">
        <v>0</v>
      </c>
      <c r="F1446">
        <v>16009</v>
      </c>
      <c r="G1446">
        <v>151000</v>
      </c>
      <c r="H1446">
        <v>167596</v>
      </c>
      <c r="I1446">
        <v>186720</v>
      </c>
      <c r="J1446">
        <v>111.6</v>
      </c>
    </row>
    <row r="1447" spans="1:10" x14ac:dyDescent="0.2">
      <c r="A1447">
        <v>2021</v>
      </c>
      <c r="B1447" s="1" t="s">
        <v>17</v>
      </c>
      <c r="C1447" s="1" t="s">
        <v>14</v>
      </c>
      <c r="D1447">
        <v>0</v>
      </c>
      <c r="E1447">
        <v>0</v>
      </c>
      <c r="F1447">
        <v>15004</v>
      </c>
      <c r="G1447">
        <v>112500</v>
      </c>
      <c r="H1447">
        <v>133912</v>
      </c>
      <c r="I1447">
        <v>139113</v>
      </c>
      <c r="J1447">
        <v>111.6</v>
      </c>
    </row>
    <row r="1448" spans="1:10" x14ac:dyDescent="0.2">
      <c r="A1448">
        <v>2021</v>
      </c>
      <c r="B1448" s="1" t="s">
        <v>18</v>
      </c>
      <c r="C1448" s="1" t="s">
        <v>11</v>
      </c>
      <c r="D1448">
        <v>0</v>
      </c>
      <c r="E1448">
        <v>0</v>
      </c>
      <c r="F1448">
        <v>31926</v>
      </c>
      <c r="G1448">
        <v>323000</v>
      </c>
      <c r="H1448">
        <v>381495</v>
      </c>
      <c r="I1448">
        <v>399409</v>
      </c>
      <c r="J1448">
        <v>111.6</v>
      </c>
    </row>
    <row r="1449" spans="1:10" x14ac:dyDescent="0.2">
      <c r="A1449">
        <v>2021</v>
      </c>
      <c r="B1449" s="1" t="s">
        <v>18</v>
      </c>
      <c r="C1449" s="1" t="s">
        <v>12</v>
      </c>
      <c r="D1449">
        <v>0</v>
      </c>
      <c r="E1449">
        <v>0</v>
      </c>
      <c r="F1449">
        <v>15339</v>
      </c>
      <c r="G1449">
        <v>150000</v>
      </c>
      <c r="H1449">
        <v>178155</v>
      </c>
      <c r="I1449">
        <v>185484</v>
      </c>
      <c r="J1449">
        <v>111.6</v>
      </c>
    </row>
    <row r="1450" spans="1:10" x14ac:dyDescent="0.2">
      <c r="A1450">
        <v>2021</v>
      </c>
      <c r="B1450" s="1" t="s">
        <v>18</v>
      </c>
      <c r="C1450" s="1" t="s">
        <v>13</v>
      </c>
      <c r="D1450">
        <v>0</v>
      </c>
      <c r="E1450">
        <v>0</v>
      </c>
      <c r="F1450">
        <v>46707</v>
      </c>
      <c r="G1450">
        <v>195000</v>
      </c>
      <c r="H1450">
        <v>222870</v>
      </c>
      <c r="I1450">
        <v>241129</v>
      </c>
      <c r="J1450">
        <v>111.6</v>
      </c>
    </row>
    <row r="1451" spans="1:10" x14ac:dyDescent="0.2">
      <c r="A1451">
        <v>2021</v>
      </c>
      <c r="B1451" s="1" t="s">
        <v>18</v>
      </c>
      <c r="C1451" s="1" t="s">
        <v>14</v>
      </c>
      <c r="D1451">
        <v>0</v>
      </c>
      <c r="E1451">
        <v>0</v>
      </c>
      <c r="F1451">
        <v>40385</v>
      </c>
      <c r="G1451">
        <v>140000</v>
      </c>
      <c r="H1451">
        <v>160787</v>
      </c>
      <c r="I1451">
        <v>173118</v>
      </c>
      <c r="J1451">
        <v>111.6</v>
      </c>
    </row>
    <row r="1452" spans="1:10" x14ac:dyDescent="0.2">
      <c r="A1452">
        <v>2021</v>
      </c>
      <c r="B1452" s="1" t="s">
        <v>19</v>
      </c>
      <c r="C1452" s="1" t="s">
        <v>11</v>
      </c>
      <c r="D1452">
        <v>0</v>
      </c>
      <c r="E1452">
        <v>0</v>
      </c>
      <c r="F1452">
        <v>57350</v>
      </c>
      <c r="G1452">
        <v>557500</v>
      </c>
      <c r="H1452">
        <v>674399</v>
      </c>
      <c r="I1452">
        <v>689382</v>
      </c>
      <c r="J1452">
        <v>111.6</v>
      </c>
    </row>
    <row r="1453" spans="1:10" x14ac:dyDescent="0.2">
      <c r="A1453">
        <v>2021</v>
      </c>
      <c r="B1453" s="1" t="s">
        <v>19</v>
      </c>
      <c r="C1453" s="1" t="s">
        <v>12</v>
      </c>
      <c r="D1453">
        <v>0</v>
      </c>
      <c r="E1453">
        <v>0</v>
      </c>
      <c r="F1453">
        <v>37141</v>
      </c>
      <c r="G1453">
        <v>224000</v>
      </c>
      <c r="H1453">
        <v>249926</v>
      </c>
      <c r="I1453">
        <v>276989</v>
      </c>
      <c r="J1453">
        <v>111.6</v>
      </c>
    </row>
    <row r="1454" spans="1:10" x14ac:dyDescent="0.2">
      <c r="A1454">
        <v>2021</v>
      </c>
      <c r="B1454" s="1" t="s">
        <v>19</v>
      </c>
      <c r="C1454" s="1" t="s">
        <v>13</v>
      </c>
      <c r="D1454">
        <v>0</v>
      </c>
      <c r="E1454">
        <v>0</v>
      </c>
      <c r="F1454">
        <v>50057</v>
      </c>
      <c r="G1454">
        <v>370000</v>
      </c>
      <c r="H1454">
        <v>406710</v>
      </c>
      <c r="I1454">
        <v>457527</v>
      </c>
      <c r="J1454">
        <v>111.6</v>
      </c>
    </row>
    <row r="1455" spans="1:10" x14ac:dyDescent="0.2">
      <c r="A1455">
        <v>2021</v>
      </c>
      <c r="B1455" s="1" t="s">
        <v>19</v>
      </c>
      <c r="C1455" s="1" t="s">
        <v>14</v>
      </c>
      <c r="D1455">
        <v>0</v>
      </c>
      <c r="E1455">
        <v>0</v>
      </c>
      <c r="F1455">
        <v>47596</v>
      </c>
      <c r="G1455">
        <v>306000</v>
      </c>
      <c r="H1455">
        <v>338464</v>
      </c>
      <c r="I1455">
        <v>378387</v>
      </c>
      <c r="J1455">
        <v>111.6</v>
      </c>
    </row>
    <row r="1456" spans="1:10" x14ac:dyDescent="0.2">
      <c r="A1456">
        <v>2021</v>
      </c>
      <c r="B1456" s="1" t="s">
        <v>20</v>
      </c>
      <c r="C1456" s="1" t="s">
        <v>11</v>
      </c>
      <c r="D1456">
        <v>0</v>
      </c>
      <c r="E1456">
        <v>0</v>
      </c>
      <c r="F1456">
        <v>39988</v>
      </c>
      <c r="G1456">
        <v>415000</v>
      </c>
      <c r="H1456">
        <v>488494</v>
      </c>
      <c r="I1456">
        <v>513172</v>
      </c>
      <c r="J1456">
        <v>111.6</v>
      </c>
    </row>
    <row r="1457" spans="1:10" x14ac:dyDescent="0.2">
      <c r="A1457">
        <v>2021</v>
      </c>
      <c r="B1457" s="1" t="s">
        <v>20</v>
      </c>
      <c r="C1457" s="1" t="s">
        <v>12</v>
      </c>
      <c r="D1457">
        <v>0</v>
      </c>
      <c r="E1457">
        <v>0</v>
      </c>
      <c r="F1457">
        <v>20695</v>
      </c>
      <c r="G1457">
        <v>185000</v>
      </c>
      <c r="H1457">
        <v>224865</v>
      </c>
      <c r="I1457">
        <v>228763</v>
      </c>
      <c r="J1457">
        <v>111.6</v>
      </c>
    </row>
    <row r="1458" spans="1:10" x14ac:dyDescent="0.2">
      <c r="A1458">
        <v>2021</v>
      </c>
      <c r="B1458" s="1" t="s">
        <v>20</v>
      </c>
      <c r="C1458" s="1" t="s">
        <v>13</v>
      </c>
      <c r="D1458">
        <v>0</v>
      </c>
      <c r="E1458">
        <v>0</v>
      </c>
      <c r="F1458">
        <v>29168</v>
      </c>
      <c r="G1458">
        <v>275000</v>
      </c>
      <c r="H1458">
        <v>305092</v>
      </c>
      <c r="I1458">
        <v>340054</v>
      </c>
      <c r="J1458">
        <v>111.6</v>
      </c>
    </row>
    <row r="1459" spans="1:10" x14ac:dyDescent="0.2">
      <c r="A1459">
        <v>2021</v>
      </c>
      <c r="B1459" s="1" t="s">
        <v>20</v>
      </c>
      <c r="C1459" s="1" t="s">
        <v>14</v>
      </c>
      <c r="D1459">
        <v>0</v>
      </c>
      <c r="E1459">
        <v>0</v>
      </c>
      <c r="F1459">
        <v>33450</v>
      </c>
      <c r="G1459">
        <v>240000</v>
      </c>
      <c r="H1459">
        <v>274513</v>
      </c>
      <c r="I1459">
        <v>296774</v>
      </c>
      <c r="J1459">
        <v>111.6</v>
      </c>
    </row>
    <row r="1460" spans="1:10" x14ac:dyDescent="0.2">
      <c r="A1460">
        <v>2021</v>
      </c>
      <c r="B1460" s="1" t="s">
        <v>21</v>
      </c>
      <c r="C1460" s="1" t="s">
        <v>11</v>
      </c>
      <c r="D1460">
        <v>0</v>
      </c>
      <c r="E1460">
        <v>0</v>
      </c>
      <c r="F1460">
        <v>17607</v>
      </c>
      <c r="G1460">
        <v>291995</v>
      </c>
      <c r="H1460">
        <v>326432</v>
      </c>
      <c r="I1460">
        <v>361069</v>
      </c>
      <c r="J1460">
        <v>111.6</v>
      </c>
    </row>
    <row r="1461" spans="1:10" x14ac:dyDescent="0.2">
      <c r="A1461">
        <v>2021</v>
      </c>
      <c r="B1461" s="1" t="s">
        <v>21</v>
      </c>
      <c r="C1461" s="1" t="s">
        <v>12</v>
      </c>
      <c r="D1461">
        <v>0</v>
      </c>
      <c r="E1461">
        <v>0</v>
      </c>
      <c r="F1461">
        <v>3726</v>
      </c>
      <c r="G1461">
        <v>133000</v>
      </c>
      <c r="H1461">
        <v>151967</v>
      </c>
      <c r="I1461">
        <v>164462</v>
      </c>
      <c r="J1461">
        <v>111.6</v>
      </c>
    </row>
    <row r="1462" spans="1:10" x14ac:dyDescent="0.2">
      <c r="A1462">
        <v>2021</v>
      </c>
      <c r="B1462" s="1" t="s">
        <v>21</v>
      </c>
      <c r="C1462" s="1" t="s">
        <v>13</v>
      </c>
      <c r="D1462">
        <v>0</v>
      </c>
      <c r="E1462">
        <v>0</v>
      </c>
      <c r="F1462">
        <v>15738</v>
      </c>
      <c r="G1462">
        <v>179950</v>
      </c>
      <c r="H1462">
        <v>197789</v>
      </c>
      <c r="I1462">
        <v>222519</v>
      </c>
      <c r="J1462">
        <v>111.6</v>
      </c>
    </row>
    <row r="1463" spans="1:10" x14ac:dyDescent="0.2">
      <c r="A1463">
        <v>2021</v>
      </c>
      <c r="B1463" s="1" t="s">
        <v>21</v>
      </c>
      <c r="C1463" s="1" t="s">
        <v>14</v>
      </c>
      <c r="D1463">
        <v>0</v>
      </c>
      <c r="E1463">
        <v>0</v>
      </c>
      <c r="F1463">
        <v>17240</v>
      </c>
      <c r="G1463">
        <v>139000</v>
      </c>
      <c r="H1463">
        <v>157635</v>
      </c>
      <c r="I1463">
        <v>171882</v>
      </c>
      <c r="J1463">
        <v>111.6</v>
      </c>
    </row>
    <row r="1464" spans="1:10" x14ac:dyDescent="0.2">
      <c r="A1464">
        <v>2021</v>
      </c>
      <c r="B1464" s="1" t="s">
        <v>22</v>
      </c>
      <c r="C1464" s="1" t="s">
        <v>11</v>
      </c>
      <c r="D1464">
        <v>0</v>
      </c>
      <c r="E1464">
        <v>0</v>
      </c>
      <c r="F1464">
        <v>29667</v>
      </c>
      <c r="G1464">
        <v>353000</v>
      </c>
      <c r="H1464">
        <v>406843</v>
      </c>
      <c r="I1464">
        <v>436505</v>
      </c>
      <c r="J1464">
        <v>111.6</v>
      </c>
    </row>
    <row r="1465" spans="1:10" x14ac:dyDescent="0.2">
      <c r="A1465">
        <v>2021</v>
      </c>
      <c r="B1465" s="1" t="s">
        <v>22</v>
      </c>
      <c r="C1465" s="1" t="s">
        <v>12</v>
      </c>
      <c r="D1465">
        <v>0</v>
      </c>
      <c r="E1465">
        <v>0</v>
      </c>
      <c r="F1465">
        <v>9714</v>
      </c>
      <c r="G1465">
        <v>135000</v>
      </c>
      <c r="H1465">
        <v>159612</v>
      </c>
      <c r="I1465">
        <v>166935</v>
      </c>
      <c r="J1465">
        <v>111.6</v>
      </c>
    </row>
    <row r="1466" spans="1:10" x14ac:dyDescent="0.2">
      <c r="A1466">
        <v>2021</v>
      </c>
      <c r="B1466" s="1" t="s">
        <v>22</v>
      </c>
      <c r="C1466" s="1" t="s">
        <v>13</v>
      </c>
      <c r="D1466">
        <v>0</v>
      </c>
      <c r="E1466">
        <v>0</v>
      </c>
      <c r="F1466">
        <v>33628</v>
      </c>
      <c r="G1466">
        <v>218000</v>
      </c>
      <c r="H1466">
        <v>234558</v>
      </c>
      <c r="I1466">
        <v>269570</v>
      </c>
      <c r="J1466">
        <v>111.6</v>
      </c>
    </row>
    <row r="1467" spans="1:10" x14ac:dyDescent="0.2">
      <c r="A1467">
        <v>2021</v>
      </c>
      <c r="B1467" s="1" t="s">
        <v>22</v>
      </c>
      <c r="C1467" s="1" t="s">
        <v>14</v>
      </c>
      <c r="D1467">
        <v>0</v>
      </c>
      <c r="E1467">
        <v>0</v>
      </c>
      <c r="F1467">
        <v>24736</v>
      </c>
      <c r="G1467">
        <v>179000</v>
      </c>
      <c r="H1467">
        <v>197272</v>
      </c>
      <c r="I1467">
        <v>221344</v>
      </c>
      <c r="J1467">
        <v>111.6</v>
      </c>
    </row>
    <row r="1468" spans="1:10" x14ac:dyDescent="0.2">
      <c r="A1468">
        <v>2021</v>
      </c>
      <c r="B1468" s="1" t="s">
        <v>23</v>
      </c>
      <c r="C1468" s="1" t="s">
        <v>11</v>
      </c>
      <c r="D1468">
        <v>0</v>
      </c>
      <c r="E1468">
        <v>0</v>
      </c>
      <c r="F1468">
        <v>26229</v>
      </c>
      <c r="G1468">
        <v>315000</v>
      </c>
      <c r="H1468">
        <v>361814</v>
      </c>
      <c r="I1468">
        <v>389516</v>
      </c>
      <c r="J1468">
        <v>111.6</v>
      </c>
    </row>
    <row r="1469" spans="1:10" x14ac:dyDescent="0.2">
      <c r="A1469">
        <v>2021</v>
      </c>
      <c r="B1469" s="1" t="s">
        <v>23</v>
      </c>
      <c r="C1469" s="1" t="s">
        <v>12</v>
      </c>
      <c r="D1469">
        <v>0</v>
      </c>
      <c r="E1469">
        <v>0</v>
      </c>
      <c r="F1469">
        <v>8297</v>
      </c>
      <c r="G1469">
        <v>127495</v>
      </c>
      <c r="H1469">
        <v>151747</v>
      </c>
      <c r="I1469">
        <v>157655</v>
      </c>
      <c r="J1469">
        <v>111.6</v>
      </c>
    </row>
    <row r="1470" spans="1:10" x14ac:dyDescent="0.2">
      <c r="A1470">
        <v>2021</v>
      </c>
      <c r="B1470" s="1" t="s">
        <v>23</v>
      </c>
      <c r="C1470" s="1" t="s">
        <v>13</v>
      </c>
      <c r="D1470">
        <v>0</v>
      </c>
      <c r="E1470">
        <v>0</v>
      </c>
      <c r="F1470">
        <v>35199</v>
      </c>
      <c r="G1470">
        <v>181000</v>
      </c>
      <c r="H1470">
        <v>202871</v>
      </c>
      <c r="I1470">
        <v>223817</v>
      </c>
      <c r="J1470">
        <v>111.6</v>
      </c>
    </row>
    <row r="1471" spans="1:10" x14ac:dyDescent="0.2">
      <c r="A1471">
        <v>2021</v>
      </c>
      <c r="B1471" s="1" t="s">
        <v>23</v>
      </c>
      <c r="C1471" s="1" t="s">
        <v>14</v>
      </c>
      <c r="D1471">
        <v>0</v>
      </c>
      <c r="E1471">
        <v>0</v>
      </c>
      <c r="F1471">
        <v>29194</v>
      </c>
      <c r="G1471">
        <v>141500</v>
      </c>
      <c r="H1471">
        <v>165034</v>
      </c>
      <c r="I1471">
        <v>174973</v>
      </c>
      <c r="J1471">
        <v>111.6</v>
      </c>
    </row>
    <row r="1472" spans="1:10" x14ac:dyDescent="0.2">
      <c r="A1472">
        <v>2021</v>
      </c>
      <c r="B1472" s="1" t="s">
        <v>10</v>
      </c>
      <c r="C1472" s="1" t="s">
        <v>24</v>
      </c>
      <c r="D1472">
        <v>0</v>
      </c>
      <c r="E1472">
        <v>1</v>
      </c>
      <c r="F1472">
        <v>93554</v>
      </c>
      <c r="G1472">
        <v>228995</v>
      </c>
      <c r="H1472">
        <v>260739</v>
      </c>
      <c r="I1472">
        <v>283166</v>
      </c>
      <c r="J1472">
        <v>111.6</v>
      </c>
    </row>
    <row r="1473" spans="1:10" x14ac:dyDescent="0.2">
      <c r="A1473">
        <v>2021</v>
      </c>
      <c r="B1473" s="1" t="s">
        <v>15</v>
      </c>
      <c r="C1473" s="1" t="s">
        <v>24</v>
      </c>
      <c r="D1473">
        <v>0</v>
      </c>
      <c r="E1473">
        <v>1</v>
      </c>
      <c r="F1473">
        <v>128612</v>
      </c>
      <c r="G1473">
        <v>325000</v>
      </c>
      <c r="H1473">
        <v>381284</v>
      </c>
      <c r="I1473">
        <v>401882</v>
      </c>
      <c r="J1473">
        <v>111.6</v>
      </c>
    </row>
    <row r="1474" spans="1:10" x14ac:dyDescent="0.2">
      <c r="A1474">
        <v>2021</v>
      </c>
      <c r="B1474" s="1" t="s">
        <v>16</v>
      </c>
      <c r="C1474" s="1" t="s">
        <v>24</v>
      </c>
      <c r="D1474">
        <v>0</v>
      </c>
      <c r="E1474">
        <v>1</v>
      </c>
      <c r="F1474">
        <v>115750</v>
      </c>
      <c r="G1474">
        <v>510000</v>
      </c>
      <c r="H1474">
        <v>670758</v>
      </c>
      <c r="I1474">
        <v>630645</v>
      </c>
      <c r="J1474">
        <v>111.6</v>
      </c>
    </row>
    <row r="1475" spans="1:10" x14ac:dyDescent="0.2">
      <c r="A1475">
        <v>2021</v>
      </c>
      <c r="B1475" s="1" t="s">
        <v>17</v>
      </c>
      <c r="C1475" s="1" t="s">
        <v>24</v>
      </c>
      <c r="D1475">
        <v>0</v>
      </c>
      <c r="E1475">
        <v>1</v>
      </c>
      <c r="F1475">
        <v>47640</v>
      </c>
      <c r="G1475">
        <v>156250</v>
      </c>
      <c r="H1475">
        <v>188560</v>
      </c>
      <c r="I1475">
        <v>193212</v>
      </c>
      <c r="J1475">
        <v>111.6</v>
      </c>
    </row>
    <row r="1476" spans="1:10" x14ac:dyDescent="0.2">
      <c r="A1476">
        <v>2021</v>
      </c>
      <c r="B1476" s="1" t="s">
        <v>18</v>
      </c>
      <c r="C1476" s="1" t="s">
        <v>24</v>
      </c>
      <c r="D1476">
        <v>0</v>
      </c>
      <c r="E1476">
        <v>1</v>
      </c>
      <c r="F1476">
        <v>134357</v>
      </c>
      <c r="G1476">
        <v>195000</v>
      </c>
      <c r="H1476">
        <v>236797</v>
      </c>
      <c r="I1476">
        <v>241129</v>
      </c>
      <c r="J1476">
        <v>111.6</v>
      </c>
    </row>
    <row r="1477" spans="1:10" x14ac:dyDescent="0.2">
      <c r="A1477">
        <v>2021</v>
      </c>
      <c r="B1477" s="1" t="s">
        <v>19</v>
      </c>
      <c r="C1477" s="1" t="s">
        <v>24</v>
      </c>
      <c r="D1477">
        <v>0</v>
      </c>
      <c r="E1477">
        <v>1</v>
      </c>
      <c r="F1477">
        <v>192144</v>
      </c>
      <c r="G1477">
        <v>365000</v>
      </c>
      <c r="H1477">
        <v>439397</v>
      </c>
      <c r="I1477">
        <v>451344</v>
      </c>
      <c r="J1477">
        <v>111.6</v>
      </c>
    </row>
    <row r="1478" spans="1:10" x14ac:dyDescent="0.2">
      <c r="A1478">
        <v>2021</v>
      </c>
      <c r="B1478" s="1" t="s">
        <v>20</v>
      </c>
      <c r="C1478" s="1" t="s">
        <v>24</v>
      </c>
      <c r="D1478">
        <v>0</v>
      </c>
      <c r="E1478">
        <v>1</v>
      </c>
      <c r="F1478">
        <v>123301</v>
      </c>
      <c r="G1478">
        <v>289995</v>
      </c>
      <c r="H1478">
        <v>342810</v>
      </c>
      <c r="I1478">
        <v>358596</v>
      </c>
      <c r="J1478">
        <v>111.6</v>
      </c>
    </row>
    <row r="1479" spans="1:10" x14ac:dyDescent="0.2">
      <c r="A1479">
        <v>2021</v>
      </c>
      <c r="B1479" s="1" t="s">
        <v>21</v>
      </c>
      <c r="C1479" s="1" t="s">
        <v>24</v>
      </c>
      <c r="D1479">
        <v>0</v>
      </c>
      <c r="E1479">
        <v>1</v>
      </c>
      <c r="F1479">
        <v>54311</v>
      </c>
      <c r="G1479">
        <v>189995</v>
      </c>
      <c r="H1479">
        <v>223604</v>
      </c>
      <c r="I1479">
        <v>234940</v>
      </c>
      <c r="J1479">
        <v>111.6</v>
      </c>
    </row>
    <row r="1480" spans="1:10" x14ac:dyDescent="0.2">
      <c r="A1480">
        <v>2021</v>
      </c>
      <c r="B1480" s="1" t="s">
        <v>22</v>
      </c>
      <c r="C1480" s="1" t="s">
        <v>24</v>
      </c>
      <c r="D1480">
        <v>0</v>
      </c>
      <c r="E1480">
        <v>1</v>
      </c>
      <c r="F1480">
        <v>97745</v>
      </c>
      <c r="G1480">
        <v>230000</v>
      </c>
      <c r="H1480">
        <v>269965</v>
      </c>
      <c r="I1480">
        <v>284409</v>
      </c>
      <c r="J1480">
        <v>111.6</v>
      </c>
    </row>
    <row r="1481" spans="1:10" x14ac:dyDescent="0.2">
      <c r="A1481">
        <v>2021</v>
      </c>
      <c r="B1481" s="1" t="s">
        <v>23</v>
      </c>
      <c r="C1481" s="1" t="s">
        <v>24</v>
      </c>
      <c r="D1481">
        <v>0</v>
      </c>
      <c r="E1481">
        <v>1</v>
      </c>
      <c r="F1481">
        <v>98919</v>
      </c>
      <c r="G1481">
        <v>190000</v>
      </c>
      <c r="H1481">
        <v>229561</v>
      </c>
      <c r="I1481">
        <v>234946</v>
      </c>
      <c r="J1481">
        <v>111.6</v>
      </c>
    </row>
    <row r="1482" spans="1:10" x14ac:dyDescent="0.2">
      <c r="A1482">
        <v>2021</v>
      </c>
      <c r="B1482" s="1" t="s">
        <v>25</v>
      </c>
      <c r="C1482" s="1" t="s">
        <v>11</v>
      </c>
      <c r="D1482">
        <v>1</v>
      </c>
      <c r="E1482">
        <v>0</v>
      </c>
      <c r="F1482">
        <v>302782</v>
      </c>
      <c r="G1482">
        <v>389950</v>
      </c>
      <c r="H1482">
        <v>477722</v>
      </c>
      <c r="I1482">
        <v>482196</v>
      </c>
      <c r="J1482">
        <v>111.6</v>
      </c>
    </row>
    <row r="1483" spans="1:10" x14ac:dyDescent="0.2">
      <c r="A1483">
        <v>2021</v>
      </c>
      <c r="B1483" s="1" t="s">
        <v>25</v>
      </c>
      <c r="C1483" s="1" t="s">
        <v>12</v>
      </c>
      <c r="D1483">
        <v>1</v>
      </c>
      <c r="E1483">
        <v>0</v>
      </c>
      <c r="F1483">
        <v>180728</v>
      </c>
      <c r="G1483">
        <v>237500</v>
      </c>
      <c r="H1483">
        <v>320257</v>
      </c>
      <c r="I1483">
        <v>293683</v>
      </c>
      <c r="J1483">
        <v>111.6</v>
      </c>
    </row>
    <row r="1484" spans="1:10" x14ac:dyDescent="0.2">
      <c r="A1484">
        <v>2021</v>
      </c>
      <c r="B1484" s="1" t="s">
        <v>25</v>
      </c>
      <c r="C1484" s="1" t="s">
        <v>13</v>
      </c>
      <c r="D1484">
        <v>1</v>
      </c>
      <c r="E1484">
        <v>0</v>
      </c>
      <c r="F1484">
        <v>311015</v>
      </c>
      <c r="G1484">
        <v>248000</v>
      </c>
      <c r="H1484">
        <v>299282</v>
      </c>
      <c r="I1484">
        <v>306667</v>
      </c>
      <c r="J1484">
        <v>111.6</v>
      </c>
    </row>
    <row r="1485" spans="1:10" x14ac:dyDescent="0.2">
      <c r="A1485">
        <v>2021</v>
      </c>
      <c r="B1485" s="1" t="s">
        <v>25</v>
      </c>
      <c r="C1485" s="1" t="s">
        <v>14</v>
      </c>
      <c r="D1485">
        <v>1</v>
      </c>
      <c r="E1485">
        <v>0</v>
      </c>
      <c r="F1485">
        <v>292030</v>
      </c>
      <c r="G1485">
        <v>220000</v>
      </c>
      <c r="H1485">
        <v>288664</v>
      </c>
      <c r="I1485">
        <v>272043</v>
      </c>
      <c r="J1485">
        <v>111.6</v>
      </c>
    </row>
    <row r="1486" spans="1:10" x14ac:dyDescent="0.2">
      <c r="A1486">
        <v>2021</v>
      </c>
      <c r="B1486" s="1" t="s">
        <v>25</v>
      </c>
      <c r="C1486" s="1" t="s">
        <v>24</v>
      </c>
      <c r="D1486">
        <v>1</v>
      </c>
      <c r="E1486">
        <v>1</v>
      </c>
      <c r="F1486">
        <v>1086555</v>
      </c>
      <c r="G1486">
        <v>276000</v>
      </c>
      <c r="H1486">
        <v>349642</v>
      </c>
      <c r="I1486">
        <v>341290</v>
      </c>
      <c r="J1486">
        <v>111.6</v>
      </c>
    </row>
    <row r="1487" spans="1:10" x14ac:dyDescent="0.2">
      <c r="A1487">
        <v>2022</v>
      </c>
      <c r="B1487" s="1" t="s">
        <v>10</v>
      </c>
      <c r="C1487" s="1" t="s">
        <v>11</v>
      </c>
      <c r="D1487">
        <v>0</v>
      </c>
      <c r="E1487">
        <v>0</v>
      </c>
      <c r="F1487">
        <v>29735</v>
      </c>
      <c r="G1487">
        <v>343500</v>
      </c>
      <c r="H1487">
        <v>382696</v>
      </c>
      <c r="I1487">
        <v>393386</v>
      </c>
      <c r="J1487">
        <v>120.5</v>
      </c>
    </row>
    <row r="1488" spans="1:10" x14ac:dyDescent="0.2">
      <c r="A1488">
        <v>2022</v>
      </c>
      <c r="B1488" s="1" t="s">
        <v>10</v>
      </c>
      <c r="C1488" s="1" t="s">
        <v>12</v>
      </c>
      <c r="D1488">
        <v>0</v>
      </c>
      <c r="E1488">
        <v>0</v>
      </c>
      <c r="F1488">
        <v>5614</v>
      </c>
      <c r="G1488">
        <v>135000</v>
      </c>
      <c r="H1488">
        <v>149726</v>
      </c>
      <c r="I1488">
        <v>154606</v>
      </c>
      <c r="J1488">
        <v>120.5</v>
      </c>
    </row>
    <row r="1489" spans="1:10" x14ac:dyDescent="0.2">
      <c r="A1489">
        <v>2022</v>
      </c>
      <c r="B1489" s="1" t="s">
        <v>10</v>
      </c>
      <c r="C1489" s="1" t="s">
        <v>13</v>
      </c>
      <c r="D1489">
        <v>0</v>
      </c>
      <c r="E1489">
        <v>0</v>
      </c>
      <c r="F1489">
        <v>26915</v>
      </c>
      <c r="G1489">
        <v>225000</v>
      </c>
      <c r="H1489">
        <v>235163</v>
      </c>
      <c r="I1489">
        <v>257676</v>
      </c>
      <c r="J1489">
        <v>120.5</v>
      </c>
    </row>
    <row r="1490" spans="1:10" x14ac:dyDescent="0.2">
      <c r="A1490">
        <v>2022</v>
      </c>
      <c r="B1490" s="1" t="s">
        <v>10</v>
      </c>
      <c r="C1490" s="1" t="s">
        <v>14</v>
      </c>
      <c r="D1490">
        <v>0</v>
      </c>
      <c r="E1490">
        <v>0</v>
      </c>
      <c r="F1490">
        <v>18154</v>
      </c>
      <c r="G1490">
        <v>185000</v>
      </c>
      <c r="H1490">
        <v>196507</v>
      </c>
      <c r="I1490">
        <v>211867</v>
      </c>
      <c r="J1490">
        <v>120.5</v>
      </c>
    </row>
    <row r="1491" spans="1:10" x14ac:dyDescent="0.2">
      <c r="A1491">
        <v>2022</v>
      </c>
      <c r="B1491" s="1" t="s">
        <v>15</v>
      </c>
      <c r="C1491" s="1" t="s">
        <v>11</v>
      </c>
      <c r="D1491">
        <v>0</v>
      </c>
      <c r="E1491">
        <v>0</v>
      </c>
      <c r="F1491">
        <v>33091</v>
      </c>
      <c r="G1491">
        <v>475000</v>
      </c>
      <c r="H1491">
        <v>562895</v>
      </c>
      <c r="I1491">
        <v>543983</v>
      </c>
      <c r="J1491">
        <v>120.5</v>
      </c>
    </row>
    <row r="1492" spans="1:10" x14ac:dyDescent="0.2">
      <c r="A1492">
        <v>2022</v>
      </c>
      <c r="B1492" s="1" t="s">
        <v>15</v>
      </c>
      <c r="C1492" s="1" t="s">
        <v>12</v>
      </c>
      <c r="D1492">
        <v>0</v>
      </c>
      <c r="E1492">
        <v>0</v>
      </c>
      <c r="F1492">
        <v>18176</v>
      </c>
      <c r="G1492">
        <v>224995</v>
      </c>
      <c r="H1492">
        <v>242248</v>
      </c>
      <c r="I1492">
        <v>257671</v>
      </c>
      <c r="J1492">
        <v>120.5</v>
      </c>
    </row>
    <row r="1493" spans="1:10" x14ac:dyDescent="0.2">
      <c r="A1493">
        <v>2022</v>
      </c>
      <c r="B1493" s="1" t="s">
        <v>15</v>
      </c>
      <c r="C1493" s="1" t="s">
        <v>13</v>
      </c>
      <c r="D1493">
        <v>0</v>
      </c>
      <c r="E1493">
        <v>0</v>
      </c>
      <c r="F1493">
        <v>28686</v>
      </c>
      <c r="G1493">
        <v>349995</v>
      </c>
      <c r="H1493">
        <v>383392</v>
      </c>
      <c r="I1493">
        <v>400824</v>
      </c>
      <c r="J1493">
        <v>120.5</v>
      </c>
    </row>
    <row r="1494" spans="1:10" x14ac:dyDescent="0.2">
      <c r="A1494">
        <v>2022</v>
      </c>
      <c r="B1494" s="1" t="s">
        <v>15</v>
      </c>
      <c r="C1494" s="1" t="s">
        <v>14</v>
      </c>
      <c r="D1494">
        <v>0</v>
      </c>
      <c r="E1494">
        <v>0</v>
      </c>
      <c r="F1494">
        <v>25218</v>
      </c>
      <c r="G1494">
        <v>305000</v>
      </c>
      <c r="H1494">
        <v>329485</v>
      </c>
      <c r="I1494">
        <v>349295</v>
      </c>
      <c r="J1494">
        <v>120.5</v>
      </c>
    </row>
    <row r="1495" spans="1:10" x14ac:dyDescent="0.2">
      <c r="A1495">
        <v>2022</v>
      </c>
      <c r="B1495" s="1" t="s">
        <v>16</v>
      </c>
      <c r="C1495" s="1" t="s">
        <v>11</v>
      </c>
      <c r="D1495">
        <v>0</v>
      </c>
      <c r="E1495">
        <v>0</v>
      </c>
      <c r="F1495">
        <v>4601</v>
      </c>
      <c r="G1495">
        <v>945000</v>
      </c>
      <c r="H1495">
        <v>1382019</v>
      </c>
      <c r="I1495">
        <v>1082241</v>
      </c>
      <c r="J1495">
        <v>120.5</v>
      </c>
    </row>
    <row r="1496" spans="1:10" x14ac:dyDescent="0.2">
      <c r="A1496">
        <v>2022</v>
      </c>
      <c r="B1496" s="1" t="s">
        <v>16</v>
      </c>
      <c r="C1496" s="1" t="s">
        <v>12</v>
      </c>
      <c r="D1496">
        <v>0</v>
      </c>
      <c r="E1496">
        <v>0</v>
      </c>
      <c r="F1496">
        <v>55462</v>
      </c>
      <c r="G1496">
        <v>450000</v>
      </c>
      <c r="H1496">
        <v>587666</v>
      </c>
      <c r="I1496">
        <v>515353</v>
      </c>
      <c r="J1496">
        <v>120.5</v>
      </c>
    </row>
    <row r="1497" spans="1:10" x14ac:dyDescent="0.2">
      <c r="A1497">
        <v>2022</v>
      </c>
      <c r="B1497" s="1" t="s">
        <v>16</v>
      </c>
      <c r="C1497" s="1" t="s">
        <v>13</v>
      </c>
      <c r="D1497">
        <v>0</v>
      </c>
      <c r="E1497">
        <v>0</v>
      </c>
      <c r="F1497">
        <v>13773</v>
      </c>
      <c r="G1497">
        <v>632000</v>
      </c>
      <c r="H1497">
        <v>809563</v>
      </c>
      <c r="I1497">
        <v>723784</v>
      </c>
      <c r="J1497">
        <v>120.5</v>
      </c>
    </row>
    <row r="1498" spans="1:10" x14ac:dyDescent="0.2">
      <c r="A1498">
        <v>2022</v>
      </c>
      <c r="B1498" s="1" t="s">
        <v>16</v>
      </c>
      <c r="C1498" s="1" t="s">
        <v>14</v>
      </c>
      <c r="D1498">
        <v>0</v>
      </c>
      <c r="E1498">
        <v>0</v>
      </c>
      <c r="F1498">
        <v>25645</v>
      </c>
      <c r="G1498">
        <v>600000</v>
      </c>
      <c r="H1498">
        <v>850677</v>
      </c>
      <c r="I1498">
        <v>687137</v>
      </c>
      <c r="J1498">
        <v>120.5</v>
      </c>
    </row>
    <row r="1499" spans="1:10" x14ac:dyDescent="0.2">
      <c r="A1499">
        <v>2022</v>
      </c>
      <c r="B1499" s="1" t="s">
        <v>17</v>
      </c>
      <c r="C1499" s="1" t="s">
        <v>11</v>
      </c>
      <c r="D1499">
        <v>0</v>
      </c>
      <c r="E1499">
        <v>0</v>
      </c>
      <c r="F1499">
        <v>10223</v>
      </c>
      <c r="G1499">
        <v>288995</v>
      </c>
      <c r="H1499">
        <v>328554</v>
      </c>
      <c r="I1499">
        <v>330965</v>
      </c>
      <c r="J1499">
        <v>120.5</v>
      </c>
    </row>
    <row r="1500" spans="1:10" x14ac:dyDescent="0.2">
      <c r="A1500">
        <v>2022</v>
      </c>
      <c r="B1500" s="1" t="s">
        <v>17</v>
      </c>
      <c r="C1500" s="1" t="s">
        <v>12</v>
      </c>
      <c r="D1500">
        <v>0</v>
      </c>
      <c r="E1500">
        <v>0</v>
      </c>
      <c r="F1500">
        <v>4409</v>
      </c>
      <c r="G1500">
        <v>100000</v>
      </c>
      <c r="H1500">
        <v>122226</v>
      </c>
      <c r="I1500">
        <v>114523</v>
      </c>
      <c r="J1500">
        <v>120.5</v>
      </c>
    </row>
    <row r="1501" spans="1:10" x14ac:dyDescent="0.2">
      <c r="A1501">
        <v>2022</v>
      </c>
      <c r="B1501" s="1" t="s">
        <v>17</v>
      </c>
      <c r="C1501" s="1" t="s">
        <v>13</v>
      </c>
      <c r="D1501">
        <v>0</v>
      </c>
      <c r="E1501">
        <v>0</v>
      </c>
      <c r="F1501">
        <v>14230</v>
      </c>
      <c r="G1501">
        <v>161500</v>
      </c>
      <c r="H1501">
        <v>177831</v>
      </c>
      <c r="I1501">
        <v>184954</v>
      </c>
      <c r="J1501">
        <v>120.5</v>
      </c>
    </row>
    <row r="1502" spans="1:10" x14ac:dyDescent="0.2">
      <c r="A1502">
        <v>2022</v>
      </c>
      <c r="B1502" s="1" t="s">
        <v>17</v>
      </c>
      <c r="C1502" s="1" t="s">
        <v>14</v>
      </c>
      <c r="D1502">
        <v>0</v>
      </c>
      <c r="E1502">
        <v>0</v>
      </c>
      <c r="F1502">
        <v>13699</v>
      </c>
      <c r="G1502">
        <v>117500</v>
      </c>
      <c r="H1502">
        <v>139697</v>
      </c>
      <c r="I1502">
        <v>134564</v>
      </c>
      <c r="J1502">
        <v>120.5</v>
      </c>
    </row>
    <row r="1503" spans="1:10" x14ac:dyDescent="0.2">
      <c r="A1503">
        <v>2022</v>
      </c>
      <c r="B1503" s="1" t="s">
        <v>18</v>
      </c>
      <c r="C1503" s="1" t="s">
        <v>11</v>
      </c>
      <c r="D1503">
        <v>0</v>
      </c>
      <c r="E1503">
        <v>0</v>
      </c>
      <c r="F1503">
        <v>24667</v>
      </c>
      <c r="G1503">
        <v>349995</v>
      </c>
      <c r="H1503">
        <v>411841</v>
      </c>
      <c r="I1503">
        <v>400824</v>
      </c>
      <c r="J1503">
        <v>120.5</v>
      </c>
    </row>
    <row r="1504" spans="1:10" x14ac:dyDescent="0.2">
      <c r="A1504">
        <v>2022</v>
      </c>
      <c r="B1504" s="1" t="s">
        <v>18</v>
      </c>
      <c r="C1504" s="1" t="s">
        <v>12</v>
      </c>
      <c r="D1504">
        <v>0</v>
      </c>
      <c r="E1504">
        <v>0</v>
      </c>
      <c r="F1504">
        <v>14747</v>
      </c>
      <c r="G1504">
        <v>148000</v>
      </c>
      <c r="H1504">
        <v>177980</v>
      </c>
      <c r="I1504">
        <v>169494</v>
      </c>
      <c r="J1504">
        <v>120.5</v>
      </c>
    </row>
    <row r="1505" spans="1:10" x14ac:dyDescent="0.2">
      <c r="A1505">
        <v>2022</v>
      </c>
      <c r="B1505" s="1" t="s">
        <v>18</v>
      </c>
      <c r="C1505" s="1" t="s">
        <v>13</v>
      </c>
      <c r="D1505">
        <v>0</v>
      </c>
      <c r="E1505">
        <v>0</v>
      </c>
      <c r="F1505">
        <v>39423</v>
      </c>
      <c r="G1505">
        <v>217000</v>
      </c>
      <c r="H1505">
        <v>241117</v>
      </c>
      <c r="I1505">
        <v>248515</v>
      </c>
      <c r="J1505">
        <v>120.5</v>
      </c>
    </row>
    <row r="1506" spans="1:10" x14ac:dyDescent="0.2">
      <c r="A1506">
        <v>2022</v>
      </c>
      <c r="B1506" s="1" t="s">
        <v>18</v>
      </c>
      <c r="C1506" s="1" t="s">
        <v>14</v>
      </c>
      <c r="D1506">
        <v>0</v>
      </c>
      <c r="E1506">
        <v>0</v>
      </c>
      <c r="F1506">
        <v>35418</v>
      </c>
      <c r="G1506">
        <v>149500</v>
      </c>
      <c r="H1506">
        <v>170086</v>
      </c>
      <c r="I1506">
        <v>171212</v>
      </c>
      <c r="J1506">
        <v>120.5</v>
      </c>
    </row>
    <row r="1507" spans="1:10" x14ac:dyDescent="0.2">
      <c r="A1507">
        <v>2022</v>
      </c>
      <c r="B1507" s="1" t="s">
        <v>19</v>
      </c>
      <c r="C1507" s="1" t="s">
        <v>11</v>
      </c>
      <c r="D1507">
        <v>0</v>
      </c>
      <c r="E1507">
        <v>0</v>
      </c>
      <c r="F1507">
        <v>42490</v>
      </c>
      <c r="G1507">
        <v>605000</v>
      </c>
      <c r="H1507">
        <v>741385</v>
      </c>
      <c r="I1507">
        <v>692863</v>
      </c>
      <c r="J1507">
        <v>120.5</v>
      </c>
    </row>
    <row r="1508" spans="1:10" x14ac:dyDescent="0.2">
      <c r="A1508">
        <v>2022</v>
      </c>
      <c r="B1508" s="1" t="s">
        <v>19</v>
      </c>
      <c r="C1508" s="1" t="s">
        <v>12</v>
      </c>
      <c r="D1508">
        <v>0</v>
      </c>
      <c r="E1508">
        <v>0</v>
      </c>
      <c r="F1508">
        <v>35890</v>
      </c>
      <c r="G1508">
        <v>230000</v>
      </c>
      <c r="H1508">
        <v>258057</v>
      </c>
      <c r="I1508">
        <v>263402</v>
      </c>
      <c r="J1508">
        <v>120.5</v>
      </c>
    </row>
    <row r="1509" spans="1:10" x14ac:dyDescent="0.2">
      <c r="A1509">
        <v>2022</v>
      </c>
      <c r="B1509" s="1" t="s">
        <v>19</v>
      </c>
      <c r="C1509" s="1" t="s">
        <v>13</v>
      </c>
      <c r="D1509">
        <v>0</v>
      </c>
      <c r="E1509">
        <v>0</v>
      </c>
      <c r="F1509">
        <v>38912</v>
      </c>
      <c r="G1509">
        <v>405000</v>
      </c>
      <c r="H1509">
        <v>445064</v>
      </c>
      <c r="I1509">
        <v>463817</v>
      </c>
      <c r="J1509">
        <v>120.5</v>
      </c>
    </row>
    <row r="1510" spans="1:10" x14ac:dyDescent="0.2">
      <c r="A1510">
        <v>2022</v>
      </c>
      <c r="B1510" s="1" t="s">
        <v>19</v>
      </c>
      <c r="C1510" s="1" t="s">
        <v>14</v>
      </c>
      <c r="D1510">
        <v>0</v>
      </c>
      <c r="E1510">
        <v>0</v>
      </c>
      <c r="F1510">
        <v>36679</v>
      </c>
      <c r="G1510">
        <v>335000</v>
      </c>
      <c r="H1510">
        <v>368200</v>
      </c>
      <c r="I1510">
        <v>383651</v>
      </c>
      <c r="J1510">
        <v>120.5</v>
      </c>
    </row>
    <row r="1511" spans="1:10" x14ac:dyDescent="0.2">
      <c r="A1511">
        <v>2022</v>
      </c>
      <c r="B1511" s="1" t="s">
        <v>20</v>
      </c>
      <c r="C1511" s="1" t="s">
        <v>11</v>
      </c>
      <c r="D1511">
        <v>0</v>
      </c>
      <c r="E1511">
        <v>0</v>
      </c>
      <c r="F1511">
        <v>29174</v>
      </c>
      <c r="G1511">
        <v>455000</v>
      </c>
      <c r="H1511">
        <v>543593</v>
      </c>
      <c r="I1511">
        <v>521079</v>
      </c>
      <c r="J1511">
        <v>120.5</v>
      </c>
    </row>
    <row r="1512" spans="1:10" x14ac:dyDescent="0.2">
      <c r="A1512">
        <v>2022</v>
      </c>
      <c r="B1512" s="1" t="s">
        <v>20</v>
      </c>
      <c r="C1512" s="1" t="s">
        <v>12</v>
      </c>
      <c r="D1512">
        <v>0</v>
      </c>
      <c r="E1512">
        <v>0</v>
      </c>
      <c r="F1512">
        <v>19540</v>
      </c>
      <c r="G1512">
        <v>190000</v>
      </c>
      <c r="H1512">
        <v>228264</v>
      </c>
      <c r="I1512">
        <v>217593</v>
      </c>
      <c r="J1512">
        <v>120.5</v>
      </c>
    </row>
    <row r="1513" spans="1:10" x14ac:dyDescent="0.2">
      <c r="A1513">
        <v>2022</v>
      </c>
      <c r="B1513" s="1" t="s">
        <v>20</v>
      </c>
      <c r="C1513" s="1" t="s">
        <v>13</v>
      </c>
      <c r="D1513">
        <v>0</v>
      </c>
      <c r="E1513">
        <v>0</v>
      </c>
      <c r="F1513">
        <v>23679</v>
      </c>
      <c r="G1513">
        <v>310000</v>
      </c>
      <c r="H1513">
        <v>339404</v>
      </c>
      <c r="I1513">
        <v>355021</v>
      </c>
      <c r="J1513">
        <v>120.5</v>
      </c>
    </row>
    <row r="1514" spans="1:10" x14ac:dyDescent="0.2">
      <c r="A1514">
        <v>2022</v>
      </c>
      <c r="B1514" s="1" t="s">
        <v>20</v>
      </c>
      <c r="C1514" s="1" t="s">
        <v>14</v>
      </c>
      <c r="D1514">
        <v>0</v>
      </c>
      <c r="E1514">
        <v>0</v>
      </c>
      <c r="F1514">
        <v>26653</v>
      </c>
      <c r="G1514">
        <v>265000</v>
      </c>
      <c r="H1514">
        <v>299073</v>
      </c>
      <c r="I1514">
        <v>303485</v>
      </c>
      <c r="J1514">
        <v>120.5</v>
      </c>
    </row>
    <row r="1515" spans="1:10" x14ac:dyDescent="0.2">
      <c r="A1515">
        <v>2022</v>
      </c>
      <c r="B1515" s="1" t="s">
        <v>21</v>
      </c>
      <c r="C1515" s="1" t="s">
        <v>11</v>
      </c>
      <c r="D1515">
        <v>0</v>
      </c>
      <c r="E1515">
        <v>0</v>
      </c>
      <c r="F1515">
        <v>13663</v>
      </c>
      <c r="G1515">
        <v>325000</v>
      </c>
      <c r="H1515">
        <v>360542</v>
      </c>
      <c r="I1515">
        <v>372199</v>
      </c>
      <c r="J1515">
        <v>120.5</v>
      </c>
    </row>
    <row r="1516" spans="1:10" x14ac:dyDescent="0.2">
      <c r="A1516">
        <v>2022</v>
      </c>
      <c r="B1516" s="1" t="s">
        <v>21</v>
      </c>
      <c r="C1516" s="1" t="s">
        <v>12</v>
      </c>
      <c r="D1516">
        <v>0</v>
      </c>
      <c r="E1516">
        <v>0</v>
      </c>
      <c r="F1516">
        <v>3989</v>
      </c>
      <c r="G1516">
        <v>142500</v>
      </c>
      <c r="H1516">
        <v>155748</v>
      </c>
      <c r="I1516">
        <v>163195</v>
      </c>
      <c r="J1516">
        <v>120.5</v>
      </c>
    </row>
    <row r="1517" spans="1:10" x14ac:dyDescent="0.2">
      <c r="A1517">
        <v>2022</v>
      </c>
      <c r="B1517" s="1" t="s">
        <v>21</v>
      </c>
      <c r="C1517" s="1" t="s">
        <v>13</v>
      </c>
      <c r="D1517">
        <v>0</v>
      </c>
      <c r="E1517">
        <v>0</v>
      </c>
      <c r="F1517">
        <v>13639</v>
      </c>
      <c r="G1517">
        <v>200000</v>
      </c>
      <c r="H1517">
        <v>219592</v>
      </c>
      <c r="I1517">
        <v>229046</v>
      </c>
      <c r="J1517">
        <v>120.5</v>
      </c>
    </row>
    <row r="1518" spans="1:10" x14ac:dyDescent="0.2">
      <c r="A1518">
        <v>2022</v>
      </c>
      <c r="B1518" s="1" t="s">
        <v>21</v>
      </c>
      <c r="C1518" s="1" t="s">
        <v>14</v>
      </c>
      <c r="D1518">
        <v>0</v>
      </c>
      <c r="E1518">
        <v>0</v>
      </c>
      <c r="F1518">
        <v>15827</v>
      </c>
      <c r="G1518">
        <v>151000</v>
      </c>
      <c r="H1518">
        <v>173052</v>
      </c>
      <c r="I1518">
        <v>172929</v>
      </c>
      <c r="J1518">
        <v>120.5</v>
      </c>
    </row>
    <row r="1519" spans="1:10" x14ac:dyDescent="0.2">
      <c r="A1519">
        <v>2022</v>
      </c>
      <c r="B1519" s="1" t="s">
        <v>22</v>
      </c>
      <c r="C1519" s="1" t="s">
        <v>11</v>
      </c>
      <c r="D1519">
        <v>0</v>
      </c>
      <c r="E1519">
        <v>0</v>
      </c>
      <c r="F1519">
        <v>22174</v>
      </c>
      <c r="G1519">
        <v>380000</v>
      </c>
      <c r="H1519">
        <v>440208</v>
      </c>
      <c r="I1519">
        <v>435187</v>
      </c>
      <c r="J1519">
        <v>120.5</v>
      </c>
    </row>
    <row r="1520" spans="1:10" x14ac:dyDescent="0.2">
      <c r="A1520">
        <v>2022</v>
      </c>
      <c r="B1520" s="1" t="s">
        <v>22</v>
      </c>
      <c r="C1520" s="1" t="s">
        <v>12</v>
      </c>
      <c r="D1520">
        <v>0</v>
      </c>
      <c r="E1520">
        <v>0</v>
      </c>
      <c r="F1520">
        <v>10618</v>
      </c>
      <c r="G1520">
        <v>140000</v>
      </c>
      <c r="H1520">
        <v>164491</v>
      </c>
      <c r="I1520">
        <v>160332</v>
      </c>
      <c r="J1520">
        <v>120.5</v>
      </c>
    </row>
    <row r="1521" spans="1:10" x14ac:dyDescent="0.2">
      <c r="A1521">
        <v>2022</v>
      </c>
      <c r="B1521" s="1" t="s">
        <v>22</v>
      </c>
      <c r="C1521" s="1" t="s">
        <v>13</v>
      </c>
      <c r="D1521">
        <v>0</v>
      </c>
      <c r="E1521">
        <v>0</v>
      </c>
      <c r="F1521">
        <v>28168</v>
      </c>
      <c r="G1521">
        <v>238950</v>
      </c>
      <c r="H1521">
        <v>254814</v>
      </c>
      <c r="I1521">
        <v>273652</v>
      </c>
      <c r="J1521">
        <v>120.5</v>
      </c>
    </row>
    <row r="1522" spans="1:10" x14ac:dyDescent="0.2">
      <c r="A1522">
        <v>2022</v>
      </c>
      <c r="B1522" s="1" t="s">
        <v>22</v>
      </c>
      <c r="C1522" s="1" t="s">
        <v>14</v>
      </c>
      <c r="D1522">
        <v>0</v>
      </c>
      <c r="E1522">
        <v>0</v>
      </c>
      <c r="F1522">
        <v>21505</v>
      </c>
      <c r="G1522">
        <v>193000</v>
      </c>
      <c r="H1522">
        <v>210353</v>
      </c>
      <c r="I1522">
        <v>221029</v>
      </c>
      <c r="J1522">
        <v>120.5</v>
      </c>
    </row>
    <row r="1523" spans="1:10" x14ac:dyDescent="0.2">
      <c r="A1523">
        <v>2022</v>
      </c>
      <c r="B1523" s="1" t="s">
        <v>23</v>
      </c>
      <c r="C1523" s="1" t="s">
        <v>11</v>
      </c>
      <c r="D1523">
        <v>0</v>
      </c>
      <c r="E1523">
        <v>0</v>
      </c>
      <c r="F1523">
        <v>20478</v>
      </c>
      <c r="G1523">
        <v>333416</v>
      </c>
      <c r="H1523">
        <v>385860</v>
      </c>
      <c r="I1523">
        <v>381838</v>
      </c>
      <c r="J1523">
        <v>120.5</v>
      </c>
    </row>
    <row r="1524" spans="1:10" x14ac:dyDescent="0.2">
      <c r="A1524">
        <v>2022</v>
      </c>
      <c r="B1524" s="1" t="s">
        <v>23</v>
      </c>
      <c r="C1524" s="1" t="s">
        <v>12</v>
      </c>
      <c r="D1524">
        <v>0</v>
      </c>
      <c r="E1524">
        <v>0</v>
      </c>
      <c r="F1524">
        <v>8099</v>
      </c>
      <c r="G1524">
        <v>135000</v>
      </c>
      <c r="H1524">
        <v>161262</v>
      </c>
      <c r="I1524">
        <v>154606</v>
      </c>
      <c r="J1524">
        <v>120.5</v>
      </c>
    </row>
    <row r="1525" spans="1:10" x14ac:dyDescent="0.2">
      <c r="A1525">
        <v>2022</v>
      </c>
      <c r="B1525" s="1" t="s">
        <v>23</v>
      </c>
      <c r="C1525" s="1" t="s">
        <v>13</v>
      </c>
      <c r="D1525">
        <v>0</v>
      </c>
      <c r="E1525">
        <v>0</v>
      </c>
      <c r="F1525">
        <v>30341</v>
      </c>
      <c r="G1525">
        <v>195000</v>
      </c>
      <c r="H1525">
        <v>217192</v>
      </c>
      <c r="I1525">
        <v>223320</v>
      </c>
      <c r="J1525">
        <v>120.5</v>
      </c>
    </row>
    <row r="1526" spans="1:10" x14ac:dyDescent="0.2">
      <c r="A1526">
        <v>2022</v>
      </c>
      <c r="B1526" s="1" t="s">
        <v>23</v>
      </c>
      <c r="C1526" s="1" t="s">
        <v>14</v>
      </c>
      <c r="D1526">
        <v>0</v>
      </c>
      <c r="E1526">
        <v>0</v>
      </c>
      <c r="F1526">
        <v>25945</v>
      </c>
      <c r="G1526">
        <v>150000</v>
      </c>
      <c r="H1526">
        <v>171867</v>
      </c>
      <c r="I1526">
        <v>171784</v>
      </c>
      <c r="J1526">
        <v>120.5</v>
      </c>
    </row>
    <row r="1527" spans="1:10" x14ac:dyDescent="0.2">
      <c r="A1527">
        <v>2022</v>
      </c>
      <c r="B1527" s="1" t="s">
        <v>10</v>
      </c>
      <c r="C1527" s="1" t="s">
        <v>24</v>
      </c>
      <c r="D1527">
        <v>0</v>
      </c>
      <c r="E1527">
        <v>1</v>
      </c>
      <c r="F1527">
        <v>80418</v>
      </c>
      <c r="G1527">
        <v>245000</v>
      </c>
      <c r="H1527">
        <v>275023</v>
      </c>
      <c r="I1527">
        <v>280581</v>
      </c>
      <c r="J1527">
        <v>120.5</v>
      </c>
    </row>
    <row r="1528" spans="1:10" x14ac:dyDescent="0.2">
      <c r="A1528">
        <v>2022</v>
      </c>
      <c r="B1528" s="1" t="s">
        <v>15</v>
      </c>
      <c r="C1528" s="1" t="s">
        <v>24</v>
      </c>
      <c r="D1528">
        <v>0</v>
      </c>
      <c r="E1528">
        <v>1</v>
      </c>
      <c r="F1528">
        <v>105171</v>
      </c>
      <c r="G1528">
        <v>345000</v>
      </c>
      <c r="H1528">
        <v>402552</v>
      </c>
      <c r="I1528">
        <v>395104</v>
      </c>
      <c r="J1528">
        <v>120.5</v>
      </c>
    </row>
    <row r="1529" spans="1:10" x14ac:dyDescent="0.2">
      <c r="A1529">
        <v>2022</v>
      </c>
      <c r="B1529" s="1" t="s">
        <v>16</v>
      </c>
      <c r="C1529" s="1" t="s">
        <v>24</v>
      </c>
      <c r="D1529">
        <v>0</v>
      </c>
      <c r="E1529">
        <v>1</v>
      </c>
      <c r="F1529">
        <v>99481</v>
      </c>
      <c r="G1529">
        <v>525000</v>
      </c>
      <c r="H1529">
        <v>722927</v>
      </c>
      <c r="I1529">
        <v>601245</v>
      </c>
      <c r="J1529">
        <v>120.5</v>
      </c>
    </row>
    <row r="1530" spans="1:10" x14ac:dyDescent="0.2">
      <c r="A1530">
        <v>2022</v>
      </c>
      <c r="B1530" s="1" t="s">
        <v>17</v>
      </c>
      <c r="C1530" s="1" t="s">
        <v>24</v>
      </c>
      <c r="D1530">
        <v>0</v>
      </c>
      <c r="E1530">
        <v>1</v>
      </c>
      <c r="F1530">
        <v>42561</v>
      </c>
      <c r="G1530">
        <v>161995</v>
      </c>
      <c r="H1530">
        <v>196000</v>
      </c>
      <c r="I1530">
        <v>185521</v>
      </c>
      <c r="J1530">
        <v>120.5</v>
      </c>
    </row>
    <row r="1531" spans="1:10" x14ac:dyDescent="0.2">
      <c r="A1531">
        <v>2022</v>
      </c>
      <c r="B1531" s="1" t="s">
        <v>18</v>
      </c>
      <c r="C1531" s="1" t="s">
        <v>24</v>
      </c>
      <c r="D1531">
        <v>0</v>
      </c>
      <c r="E1531">
        <v>1</v>
      </c>
      <c r="F1531">
        <v>114255</v>
      </c>
      <c r="G1531">
        <v>208995</v>
      </c>
      <c r="H1531">
        <v>247807</v>
      </c>
      <c r="I1531">
        <v>239347</v>
      </c>
      <c r="J1531">
        <v>120.5</v>
      </c>
    </row>
    <row r="1532" spans="1:10" x14ac:dyDescent="0.2">
      <c r="A1532">
        <v>2022</v>
      </c>
      <c r="B1532" s="1" t="s">
        <v>19</v>
      </c>
      <c r="C1532" s="1" t="s">
        <v>24</v>
      </c>
      <c r="D1532">
        <v>0</v>
      </c>
      <c r="E1532">
        <v>1</v>
      </c>
      <c r="F1532">
        <v>153971</v>
      </c>
      <c r="G1532">
        <v>385000</v>
      </c>
      <c r="H1532">
        <v>464936</v>
      </c>
      <c r="I1532">
        <v>440913</v>
      </c>
      <c r="J1532">
        <v>120.5</v>
      </c>
    </row>
    <row r="1533" spans="1:10" x14ac:dyDescent="0.2">
      <c r="A1533">
        <v>2022</v>
      </c>
      <c r="B1533" s="1" t="s">
        <v>20</v>
      </c>
      <c r="C1533" s="1" t="s">
        <v>24</v>
      </c>
      <c r="D1533">
        <v>0</v>
      </c>
      <c r="E1533">
        <v>1</v>
      </c>
      <c r="F1533">
        <v>99046</v>
      </c>
      <c r="G1533">
        <v>310000</v>
      </c>
      <c r="H1533">
        <v>366769</v>
      </c>
      <c r="I1533">
        <v>355021</v>
      </c>
      <c r="J1533">
        <v>120.5</v>
      </c>
    </row>
    <row r="1534" spans="1:10" x14ac:dyDescent="0.2">
      <c r="A1534">
        <v>2022</v>
      </c>
      <c r="B1534" s="1" t="s">
        <v>21</v>
      </c>
      <c r="C1534" s="1" t="s">
        <v>24</v>
      </c>
      <c r="D1534">
        <v>0</v>
      </c>
      <c r="E1534">
        <v>1</v>
      </c>
      <c r="F1534">
        <v>47118</v>
      </c>
      <c r="G1534">
        <v>200000</v>
      </c>
      <c r="H1534">
        <v>239426</v>
      </c>
      <c r="I1534">
        <v>229046</v>
      </c>
      <c r="J1534">
        <v>120.5</v>
      </c>
    </row>
    <row r="1535" spans="1:10" x14ac:dyDescent="0.2">
      <c r="A1535">
        <v>2022</v>
      </c>
      <c r="B1535" s="1" t="s">
        <v>22</v>
      </c>
      <c r="C1535" s="1" t="s">
        <v>24</v>
      </c>
      <c r="D1535">
        <v>0</v>
      </c>
      <c r="E1535">
        <v>1</v>
      </c>
      <c r="F1535">
        <v>82465</v>
      </c>
      <c r="G1535">
        <v>240000</v>
      </c>
      <c r="H1535">
        <v>281440</v>
      </c>
      <c r="I1535">
        <v>274855</v>
      </c>
      <c r="J1535">
        <v>120.5</v>
      </c>
    </row>
    <row r="1536" spans="1:10" x14ac:dyDescent="0.2">
      <c r="A1536">
        <v>2022</v>
      </c>
      <c r="B1536" s="1" t="s">
        <v>23</v>
      </c>
      <c r="C1536" s="1" t="s">
        <v>24</v>
      </c>
      <c r="D1536">
        <v>0</v>
      </c>
      <c r="E1536">
        <v>1</v>
      </c>
      <c r="F1536">
        <v>84863</v>
      </c>
      <c r="G1536">
        <v>200000</v>
      </c>
      <c r="H1536">
        <v>238698</v>
      </c>
      <c r="I1536">
        <v>229046</v>
      </c>
      <c r="J1536">
        <v>120.5</v>
      </c>
    </row>
    <row r="1537" spans="1:10" x14ac:dyDescent="0.2">
      <c r="A1537">
        <v>2022</v>
      </c>
      <c r="B1537" s="1" t="s">
        <v>25</v>
      </c>
      <c r="C1537" s="1" t="s">
        <v>11</v>
      </c>
      <c r="D1537">
        <v>1</v>
      </c>
      <c r="E1537">
        <v>0</v>
      </c>
      <c r="F1537">
        <v>230340</v>
      </c>
      <c r="G1537">
        <v>420000</v>
      </c>
      <c r="H1537">
        <v>520379</v>
      </c>
      <c r="I1537">
        <v>480996</v>
      </c>
      <c r="J1537">
        <v>120.5</v>
      </c>
    </row>
    <row r="1538" spans="1:10" x14ac:dyDescent="0.2">
      <c r="A1538">
        <v>2022</v>
      </c>
      <c r="B1538" s="1" t="s">
        <v>25</v>
      </c>
      <c r="C1538" s="1" t="s">
        <v>12</v>
      </c>
      <c r="D1538">
        <v>1</v>
      </c>
      <c r="E1538">
        <v>0</v>
      </c>
      <c r="F1538">
        <v>176576</v>
      </c>
      <c r="G1538">
        <v>241000</v>
      </c>
      <c r="H1538">
        <v>330755</v>
      </c>
      <c r="I1538">
        <v>276000</v>
      </c>
      <c r="J1538">
        <v>120.5</v>
      </c>
    </row>
    <row r="1539" spans="1:10" x14ac:dyDescent="0.2">
      <c r="A1539">
        <v>2022</v>
      </c>
      <c r="B1539" s="1" t="s">
        <v>25</v>
      </c>
      <c r="C1539" s="1" t="s">
        <v>13</v>
      </c>
      <c r="D1539">
        <v>1</v>
      </c>
      <c r="E1539">
        <v>0</v>
      </c>
      <c r="F1539">
        <v>257771</v>
      </c>
      <c r="G1539">
        <v>265000</v>
      </c>
      <c r="H1539">
        <v>320565</v>
      </c>
      <c r="I1539">
        <v>303485</v>
      </c>
      <c r="J1539">
        <v>120.5</v>
      </c>
    </row>
    <row r="1540" spans="1:10" x14ac:dyDescent="0.2">
      <c r="A1540">
        <v>2022</v>
      </c>
      <c r="B1540" s="1" t="s">
        <v>25</v>
      </c>
      <c r="C1540" s="1" t="s">
        <v>14</v>
      </c>
      <c r="D1540">
        <v>1</v>
      </c>
      <c r="E1540">
        <v>0</v>
      </c>
      <c r="F1540">
        <v>244751</v>
      </c>
      <c r="G1540">
        <v>230000</v>
      </c>
      <c r="H1540">
        <v>305740</v>
      </c>
      <c r="I1540">
        <v>263402</v>
      </c>
      <c r="J1540">
        <v>120.5</v>
      </c>
    </row>
    <row r="1541" spans="1:10" x14ac:dyDescent="0.2">
      <c r="A1541">
        <v>2022</v>
      </c>
      <c r="B1541" s="1" t="s">
        <v>25</v>
      </c>
      <c r="C1541" s="1" t="s">
        <v>24</v>
      </c>
      <c r="D1541">
        <v>1</v>
      </c>
      <c r="E1541">
        <v>1</v>
      </c>
      <c r="F1541">
        <v>909438</v>
      </c>
      <c r="G1541">
        <v>290000</v>
      </c>
      <c r="H1541">
        <v>369162</v>
      </c>
      <c r="I1541">
        <v>332116</v>
      </c>
      <c r="J1541">
        <v>120.5</v>
      </c>
    </row>
    <row r="1542" spans="1:10" x14ac:dyDescent="0.2">
      <c r="A1542">
        <v>2023</v>
      </c>
      <c r="B1542" s="1" t="s">
        <v>10</v>
      </c>
      <c r="C1542" s="1" t="s">
        <v>11</v>
      </c>
      <c r="D1542">
        <v>0</v>
      </c>
      <c r="E1542">
        <v>0</v>
      </c>
      <c r="F1542">
        <v>23042</v>
      </c>
      <c r="G1542">
        <v>345000</v>
      </c>
      <c r="H1542">
        <v>385236</v>
      </c>
      <c r="I1542">
        <v>370218</v>
      </c>
      <c r="J1542">
        <v>128.6</v>
      </c>
    </row>
    <row r="1543" spans="1:10" x14ac:dyDescent="0.2">
      <c r="A1543">
        <v>2023</v>
      </c>
      <c r="B1543" s="1" t="s">
        <v>10</v>
      </c>
      <c r="C1543" s="1" t="s">
        <v>12</v>
      </c>
      <c r="D1543">
        <v>0</v>
      </c>
      <c r="E1543">
        <v>0</v>
      </c>
      <c r="F1543">
        <v>4229</v>
      </c>
      <c r="G1543">
        <v>135000</v>
      </c>
      <c r="H1543">
        <v>152180</v>
      </c>
      <c r="I1543">
        <v>144868</v>
      </c>
      <c r="J1543">
        <v>128.6</v>
      </c>
    </row>
    <row r="1544" spans="1:10" x14ac:dyDescent="0.2">
      <c r="A1544">
        <v>2023</v>
      </c>
      <c r="B1544" s="1" t="s">
        <v>10</v>
      </c>
      <c r="C1544" s="1" t="s">
        <v>13</v>
      </c>
      <c r="D1544">
        <v>0</v>
      </c>
      <c r="E1544">
        <v>0</v>
      </c>
      <c r="F1544">
        <v>21079</v>
      </c>
      <c r="G1544">
        <v>225000</v>
      </c>
      <c r="H1544">
        <v>235004</v>
      </c>
      <c r="I1544">
        <v>241446</v>
      </c>
      <c r="J1544">
        <v>128.6</v>
      </c>
    </row>
    <row r="1545" spans="1:10" x14ac:dyDescent="0.2">
      <c r="A1545">
        <v>2023</v>
      </c>
      <c r="B1545" s="1" t="s">
        <v>10</v>
      </c>
      <c r="C1545" s="1" t="s">
        <v>14</v>
      </c>
      <c r="D1545">
        <v>0</v>
      </c>
      <c r="E1545">
        <v>0</v>
      </c>
      <c r="F1545">
        <v>13747</v>
      </c>
      <c r="G1545">
        <v>185000</v>
      </c>
      <c r="H1545">
        <v>196244</v>
      </c>
      <c r="I1545">
        <v>198523</v>
      </c>
      <c r="J1545">
        <v>128.6</v>
      </c>
    </row>
    <row r="1546" spans="1:10" x14ac:dyDescent="0.2">
      <c r="A1546">
        <v>2023</v>
      </c>
      <c r="B1546" s="1" t="s">
        <v>15</v>
      </c>
      <c r="C1546" s="1" t="s">
        <v>11</v>
      </c>
      <c r="D1546">
        <v>0</v>
      </c>
      <c r="E1546">
        <v>0</v>
      </c>
      <c r="F1546">
        <v>24507</v>
      </c>
      <c r="G1546">
        <v>470000</v>
      </c>
      <c r="H1546">
        <v>557396</v>
      </c>
      <c r="I1546">
        <v>504355</v>
      </c>
      <c r="J1546">
        <v>128.6</v>
      </c>
    </row>
    <row r="1547" spans="1:10" x14ac:dyDescent="0.2">
      <c r="A1547">
        <v>2023</v>
      </c>
      <c r="B1547" s="1" t="s">
        <v>15</v>
      </c>
      <c r="C1547" s="1" t="s">
        <v>12</v>
      </c>
      <c r="D1547">
        <v>0</v>
      </c>
      <c r="E1547">
        <v>0</v>
      </c>
      <c r="F1547">
        <v>12797</v>
      </c>
      <c r="G1547">
        <v>220000</v>
      </c>
      <c r="H1547">
        <v>240715</v>
      </c>
      <c r="I1547">
        <v>236081</v>
      </c>
      <c r="J1547">
        <v>128.6</v>
      </c>
    </row>
    <row r="1548" spans="1:10" x14ac:dyDescent="0.2">
      <c r="A1548">
        <v>2023</v>
      </c>
      <c r="B1548" s="1" t="s">
        <v>15</v>
      </c>
      <c r="C1548" s="1" t="s">
        <v>13</v>
      </c>
      <c r="D1548">
        <v>0</v>
      </c>
      <c r="E1548">
        <v>0</v>
      </c>
      <c r="F1548">
        <v>22140</v>
      </c>
      <c r="G1548">
        <v>345000</v>
      </c>
      <c r="H1548">
        <v>381015</v>
      </c>
      <c r="I1548">
        <v>370218</v>
      </c>
      <c r="J1548">
        <v>128.6</v>
      </c>
    </row>
    <row r="1549" spans="1:10" x14ac:dyDescent="0.2">
      <c r="A1549">
        <v>2023</v>
      </c>
      <c r="B1549" s="1" t="s">
        <v>15</v>
      </c>
      <c r="C1549" s="1" t="s">
        <v>14</v>
      </c>
      <c r="D1549">
        <v>0</v>
      </c>
      <c r="E1549">
        <v>0</v>
      </c>
      <c r="F1549">
        <v>18633</v>
      </c>
      <c r="G1549">
        <v>300000</v>
      </c>
      <c r="H1549">
        <v>326196</v>
      </c>
      <c r="I1549">
        <v>321928</v>
      </c>
      <c r="J1549">
        <v>128.6</v>
      </c>
    </row>
    <row r="1550" spans="1:10" x14ac:dyDescent="0.2">
      <c r="A1550">
        <v>2023</v>
      </c>
      <c r="B1550" s="1" t="s">
        <v>16</v>
      </c>
      <c r="C1550" s="1" t="s">
        <v>11</v>
      </c>
      <c r="D1550">
        <v>0</v>
      </c>
      <c r="E1550">
        <v>0</v>
      </c>
      <c r="F1550">
        <v>3610</v>
      </c>
      <c r="G1550">
        <v>935000</v>
      </c>
      <c r="H1550">
        <v>1346422</v>
      </c>
      <c r="I1550">
        <v>1003344</v>
      </c>
      <c r="J1550">
        <v>128.6</v>
      </c>
    </row>
    <row r="1551" spans="1:10" x14ac:dyDescent="0.2">
      <c r="A1551">
        <v>2023</v>
      </c>
      <c r="B1551" s="1" t="s">
        <v>16</v>
      </c>
      <c r="C1551" s="1" t="s">
        <v>12</v>
      </c>
      <c r="D1551">
        <v>0</v>
      </c>
      <c r="E1551">
        <v>0</v>
      </c>
      <c r="F1551">
        <v>42379</v>
      </c>
      <c r="G1551">
        <v>450000</v>
      </c>
      <c r="H1551">
        <v>621455</v>
      </c>
      <c r="I1551">
        <v>482893</v>
      </c>
      <c r="J1551">
        <v>128.6</v>
      </c>
    </row>
    <row r="1552" spans="1:10" x14ac:dyDescent="0.2">
      <c r="A1552">
        <v>2023</v>
      </c>
      <c r="B1552" s="1" t="s">
        <v>16</v>
      </c>
      <c r="C1552" s="1" t="s">
        <v>13</v>
      </c>
      <c r="D1552">
        <v>0</v>
      </c>
      <c r="E1552">
        <v>0</v>
      </c>
      <c r="F1552">
        <v>10701</v>
      </c>
      <c r="G1552">
        <v>625000</v>
      </c>
      <c r="H1552">
        <v>830059</v>
      </c>
      <c r="I1552">
        <v>670684</v>
      </c>
      <c r="J1552">
        <v>128.6</v>
      </c>
    </row>
    <row r="1553" spans="1:10" x14ac:dyDescent="0.2">
      <c r="A1553">
        <v>2023</v>
      </c>
      <c r="B1553" s="1" t="s">
        <v>16</v>
      </c>
      <c r="C1553" s="1" t="s">
        <v>14</v>
      </c>
      <c r="D1553">
        <v>0</v>
      </c>
      <c r="E1553">
        <v>0</v>
      </c>
      <c r="F1553">
        <v>19609</v>
      </c>
      <c r="G1553">
        <v>585000</v>
      </c>
      <c r="H1553">
        <v>827392</v>
      </c>
      <c r="I1553">
        <v>627760</v>
      </c>
      <c r="J1553">
        <v>128.6</v>
      </c>
    </row>
    <row r="1554" spans="1:10" x14ac:dyDescent="0.2">
      <c r="A1554">
        <v>2023</v>
      </c>
      <c r="B1554" s="1" t="s">
        <v>17</v>
      </c>
      <c r="C1554" s="1" t="s">
        <v>11</v>
      </c>
      <c r="D1554">
        <v>0</v>
      </c>
      <c r="E1554">
        <v>0</v>
      </c>
      <c r="F1554">
        <v>8341</v>
      </c>
      <c r="G1554">
        <v>293995</v>
      </c>
      <c r="H1554">
        <v>330109</v>
      </c>
      <c r="I1554">
        <v>315485</v>
      </c>
      <c r="J1554">
        <v>128.6</v>
      </c>
    </row>
    <row r="1555" spans="1:10" x14ac:dyDescent="0.2">
      <c r="A1555">
        <v>2023</v>
      </c>
      <c r="B1555" s="1" t="s">
        <v>17</v>
      </c>
      <c r="C1555" s="1" t="s">
        <v>12</v>
      </c>
      <c r="D1555">
        <v>0</v>
      </c>
      <c r="E1555">
        <v>0</v>
      </c>
      <c r="F1555">
        <v>3646</v>
      </c>
      <c r="G1555">
        <v>104958</v>
      </c>
      <c r="H1555">
        <v>121352</v>
      </c>
      <c r="I1555">
        <v>112629</v>
      </c>
      <c r="J1555">
        <v>128.6</v>
      </c>
    </row>
    <row r="1556" spans="1:10" x14ac:dyDescent="0.2">
      <c r="A1556">
        <v>2023</v>
      </c>
      <c r="B1556" s="1" t="s">
        <v>17</v>
      </c>
      <c r="C1556" s="1" t="s">
        <v>13</v>
      </c>
      <c r="D1556">
        <v>0</v>
      </c>
      <c r="E1556">
        <v>0</v>
      </c>
      <c r="F1556">
        <v>12111</v>
      </c>
      <c r="G1556">
        <v>165000</v>
      </c>
      <c r="H1556">
        <v>182376</v>
      </c>
      <c r="I1556">
        <v>177061</v>
      </c>
      <c r="J1556">
        <v>128.6</v>
      </c>
    </row>
    <row r="1557" spans="1:10" x14ac:dyDescent="0.2">
      <c r="A1557">
        <v>2023</v>
      </c>
      <c r="B1557" s="1" t="s">
        <v>17</v>
      </c>
      <c r="C1557" s="1" t="s">
        <v>14</v>
      </c>
      <c r="D1557">
        <v>0</v>
      </c>
      <c r="E1557">
        <v>0</v>
      </c>
      <c r="F1557">
        <v>11186</v>
      </c>
      <c r="G1557">
        <v>120000</v>
      </c>
      <c r="H1557">
        <v>143070</v>
      </c>
      <c r="I1557">
        <v>128771</v>
      </c>
      <c r="J1557">
        <v>128.6</v>
      </c>
    </row>
    <row r="1558" spans="1:10" x14ac:dyDescent="0.2">
      <c r="A1558">
        <v>2023</v>
      </c>
      <c r="B1558" s="1" t="s">
        <v>18</v>
      </c>
      <c r="C1558" s="1" t="s">
        <v>11</v>
      </c>
      <c r="D1558">
        <v>0</v>
      </c>
      <c r="E1558">
        <v>0</v>
      </c>
      <c r="F1558">
        <v>19663</v>
      </c>
      <c r="G1558">
        <v>359995</v>
      </c>
      <c r="H1558">
        <v>419677</v>
      </c>
      <c r="I1558">
        <v>386309</v>
      </c>
      <c r="J1558">
        <v>128.6</v>
      </c>
    </row>
    <row r="1559" spans="1:10" x14ac:dyDescent="0.2">
      <c r="A1559">
        <v>2023</v>
      </c>
      <c r="B1559" s="1" t="s">
        <v>18</v>
      </c>
      <c r="C1559" s="1" t="s">
        <v>12</v>
      </c>
      <c r="D1559">
        <v>0</v>
      </c>
      <c r="E1559">
        <v>0</v>
      </c>
      <c r="F1559">
        <v>11973</v>
      </c>
      <c r="G1559">
        <v>145000</v>
      </c>
      <c r="H1559">
        <v>171942</v>
      </c>
      <c r="I1559">
        <v>155599</v>
      </c>
      <c r="J1559">
        <v>128.6</v>
      </c>
    </row>
    <row r="1560" spans="1:10" x14ac:dyDescent="0.2">
      <c r="A1560">
        <v>2023</v>
      </c>
      <c r="B1560" s="1" t="s">
        <v>18</v>
      </c>
      <c r="C1560" s="1" t="s">
        <v>13</v>
      </c>
      <c r="D1560">
        <v>0</v>
      </c>
      <c r="E1560">
        <v>0</v>
      </c>
      <c r="F1560">
        <v>31334</v>
      </c>
      <c r="G1560">
        <v>220000</v>
      </c>
      <c r="H1560">
        <v>242635</v>
      </c>
      <c r="I1560">
        <v>236081</v>
      </c>
      <c r="J1560">
        <v>128.6</v>
      </c>
    </row>
    <row r="1561" spans="1:10" x14ac:dyDescent="0.2">
      <c r="A1561">
        <v>2023</v>
      </c>
      <c r="B1561" s="1" t="s">
        <v>18</v>
      </c>
      <c r="C1561" s="1" t="s">
        <v>14</v>
      </c>
      <c r="D1561">
        <v>0</v>
      </c>
      <c r="E1561">
        <v>0</v>
      </c>
      <c r="F1561">
        <v>28311</v>
      </c>
      <c r="G1561">
        <v>150000</v>
      </c>
      <c r="H1561">
        <v>171103</v>
      </c>
      <c r="I1561">
        <v>160964</v>
      </c>
      <c r="J1561">
        <v>128.6</v>
      </c>
    </row>
    <row r="1562" spans="1:10" x14ac:dyDescent="0.2">
      <c r="A1562">
        <v>2023</v>
      </c>
      <c r="B1562" s="1" t="s">
        <v>19</v>
      </c>
      <c r="C1562" s="1" t="s">
        <v>11</v>
      </c>
      <c r="D1562">
        <v>0</v>
      </c>
      <c r="E1562">
        <v>0</v>
      </c>
      <c r="F1562">
        <v>31642</v>
      </c>
      <c r="G1562">
        <v>600000</v>
      </c>
      <c r="H1562">
        <v>734397</v>
      </c>
      <c r="I1562">
        <v>643857</v>
      </c>
      <c r="J1562">
        <v>128.6</v>
      </c>
    </row>
    <row r="1563" spans="1:10" x14ac:dyDescent="0.2">
      <c r="A1563">
        <v>2023</v>
      </c>
      <c r="B1563" s="1" t="s">
        <v>19</v>
      </c>
      <c r="C1563" s="1" t="s">
        <v>12</v>
      </c>
      <c r="D1563">
        <v>0</v>
      </c>
      <c r="E1563">
        <v>0</v>
      </c>
      <c r="F1563">
        <v>26533</v>
      </c>
      <c r="G1563">
        <v>230000</v>
      </c>
      <c r="H1563">
        <v>256350</v>
      </c>
      <c r="I1563">
        <v>246812</v>
      </c>
      <c r="J1563">
        <v>128.6</v>
      </c>
    </row>
    <row r="1564" spans="1:10" x14ac:dyDescent="0.2">
      <c r="A1564">
        <v>2023</v>
      </c>
      <c r="B1564" s="1" t="s">
        <v>19</v>
      </c>
      <c r="C1564" s="1" t="s">
        <v>13</v>
      </c>
      <c r="D1564">
        <v>0</v>
      </c>
      <c r="E1564">
        <v>0</v>
      </c>
      <c r="F1564">
        <v>29985</v>
      </c>
      <c r="G1564">
        <v>400000</v>
      </c>
      <c r="H1564">
        <v>438879</v>
      </c>
      <c r="I1564">
        <v>429238</v>
      </c>
      <c r="J1564">
        <v>128.6</v>
      </c>
    </row>
    <row r="1565" spans="1:10" x14ac:dyDescent="0.2">
      <c r="A1565">
        <v>2023</v>
      </c>
      <c r="B1565" s="1" t="s">
        <v>19</v>
      </c>
      <c r="C1565" s="1" t="s">
        <v>14</v>
      </c>
      <c r="D1565">
        <v>0</v>
      </c>
      <c r="E1565">
        <v>0</v>
      </c>
      <c r="F1565">
        <v>27695</v>
      </c>
      <c r="G1565">
        <v>327000</v>
      </c>
      <c r="H1565">
        <v>361463</v>
      </c>
      <c r="I1565">
        <v>350902</v>
      </c>
      <c r="J1565">
        <v>128.6</v>
      </c>
    </row>
    <row r="1566" spans="1:10" x14ac:dyDescent="0.2">
      <c r="A1566">
        <v>2023</v>
      </c>
      <c r="B1566" s="1" t="s">
        <v>20</v>
      </c>
      <c r="C1566" s="1" t="s">
        <v>11</v>
      </c>
      <c r="D1566">
        <v>0</v>
      </c>
      <c r="E1566">
        <v>0</v>
      </c>
      <c r="F1566">
        <v>23418</v>
      </c>
      <c r="G1566">
        <v>460000</v>
      </c>
      <c r="H1566">
        <v>542365</v>
      </c>
      <c r="I1566">
        <v>493624</v>
      </c>
      <c r="J1566">
        <v>128.6</v>
      </c>
    </row>
    <row r="1567" spans="1:10" x14ac:dyDescent="0.2">
      <c r="A1567">
        <v>2023</v>
      </c>
      <c r="B1567" s="1" t="s">
        <v>20</v>
      </c>
      <c r="C1567" s="1" t="s">
        <v>12</v>
      </c>
      <c r="D1567">
        <v>0</v>
      </c>
      <c r="E1567">
        <v>0</v>
      </c>
      <c r="F1567">
        <v>14311</v>
      </c>
      <c r="G1567">
        <v>190000</v>
      </c>
      <c r="H1567">
        <v>230047</v>
      </c>
      <c r="I1567">
        <v>203888</v>
      </c>
      <c r="J1567">
        <v>128.6</v>
      </c>
    </row>
    <row r="1568" spans="1:10" x14ac:dyDescent="0.2">
      <c r="A1568">
        <v>2023</v>
      </c>
      <c r="B1568" s="1" t="s">
        <v>20</v>
      </c>
      <c r="C1568" s="1" t="s">
        <v>13</v>
      </c>
      <c r="D1568">
        <v>0</v>
      </c>
      <c r="E1568">
        <v>0</v>
      </c>
      <c r="F1568">
        <v>19504</v>
      </c>
      <c r="G1568">
        <v>306000</v>
      </c>
      <c r="H1568">
        <v>338080</v>
      </c>
      <c r="I1568">
        <v>328367</v>
      </c>
      <c r="J1568">
        <v>128.6</v>
      </c>
    </row>
    <row r="1569" spans="1:10" x14ac:dyDescent="0.2">
      <c r="A1569">
        <v>2023</v>
      </c>
      <c r="B1569" s="1" t="s">
        <v>20</v>
      </c>
      <c r="C1569" s="1" t="s">
        <v>14</v>
      </c>
      <c r="D1569">
        <v>0</v>
      </c>
      <c r="E1569">
        <v>0</v>
      </c>
      <c r="F1569">
        <v>21470</v>
      </c>
      <c r="G1569">
        <v>265000</v>
      </c>
      <c r="H1569">
        <v>295185</v>
      </c>
      <c r="I1569">
        <v>284370</v>
      </c>
      <c r="J1569">
        <v>128.6</v>
      </c>
    </row>
    <row r="1570" spans="1:10" x14ac:dyDescent="0.2">
      <c r="A1570">
        <v>2023</v>
      </c>
      <c r="B1570" s="1" t="s">
        <v>21</v>
      </c>
      <c r="C1570" s="1" t="s">
        <v>11</v>
      </c>
      <c r="D1570">
        <v>0</v>
      </c>
      <c r="E1570">
        <v>0</v>
      </c>
      <c r="F1570">
        <v>10199</v>
      </c>
      <c r="G1570">
        <v>325000</v>
      </c>
      <c r="H1570">
        <v>359727</v>
      </c>
      <c r="I1570">
        <v>348756</v>
      </c>
      <c r="J1570">
        <v>128.6</v>
      </c>
    </row>
    <row r="1571" spans="1:10" x14ac:dyDescent="0.2">
      <c r="A1571">
        <v>2023</v>
      </c>
      <c r="B1571" s="1" t="s">
        <v>21</v>
      </c>
      <c r="C1571" s="1" t="s">
        <v>12</v>
      </c>
      <c r="D1571">
        <v>0</v>
      </c>
      <c r="E1571">
        <v>0</v>
      </c>
      <c r="F1571">
        <v>3075</v>
      </c>
      <c r="G1571">
        <v>140000</v>
      </c>
      <c r="H1571">
        <v>155247</v>
      </c>
      <c r="I1571">
        <v>150233</v>
      </c>
      <c r="J1571">
        <v>128.6</v>
      </c>
    </row>
    <row r="1572" spans="1:10" x14ac:dyDescent="0.2">
      <c r="A1572">
        <v>2023</v>
      </c>
      <c r="B1572" s="1" t="s">
        <v>21</v>
      </c>
      <c r="C1572" s="1" t="s">
        <v>13</v>
      </c>
      <c r="D1572">
        <v>0</v>
      </c>
      <c r="E1572">
        <v>0</v>
      </c>
      <c r="F1572">
        <v>11055</v>
      </c>
      <c r="G1572">
        <v>200000</v>
      </c>
      <c r="H1572">
        <v>221153</v>
      </c>
      <c r="I1572">
        <v>214619</v>
      </c>
      <c r="J1572">
        <v>128.6</v>
      </c>
    </row>
    <row r="1573" spans="1:10" x14ac:dyDescent="0.2">
      <c r="A1573">
        <v>2023</v>
      </c>
      <c r="B1573" s="1" t="s">
        <v>21</v>
      </c>
      <c r="C1573" s="1" t="s">
        <v>14</v>
      </c>
      <c r="D1573">
        <v>0</v>
      </c>
      <c r="E1573">
        <v>0</v>
      </c>
      <c r="F1573">
        <v>12289</v>
      </c>
      <c r="G1573">
        <v>152500</v>
      </c>
      <c r="H1573">
        <v>171315</v>
      </c>
      <c r="I1573">
        <v>163647</v>
      </c>
      <c r="J1573">
        <v>128.6</v>
      </c>
    </row>
    <row r="1574" spans="1:10" x14ac:dyDescent="0.2">
      <c r="A1574">
        <v>2023</v>
      </c>
      <c r="B1574" s="1" t="s">
        <v>22</v>
      </c>
      <c r="C1574" s="1" t="s">
        <v>11</v>
      </c>
      <c r="D1574">
        <v>0</v>
      </c>
      <c r="E1574">
        <v>0</v>
      </c>
      <c r="F1574">
        <v>17387</v>
      </c>
      <c r="G1574">
        <v>390000</v>
      </c>
      <c r="H1574">
        <v>445583</v>
      </c>
      <c r="I1574">
        <v>418507</v>
      </c>
      <c r="J1574">
        <v>128.6</v>
      </c>
    </row>
    <row r="1575" spans="1:10" x14ac:dyDescent="0.2">
      <c r="A1575">
        <v>2023</v>
      </c>
      <c r="B1575" s="1" t="s">
        <v>22</v>
      </c>
      <c r="C1575" s="1" t="s">
        <v>12</v>
      </c>
      <c r="D1575">
        <v>0</v>
      </c>
      <c r="E1575">
        <v>0</v>
      </c>
      <c r="F1575">
        <v>7733</v>
      </c>
      <c r="G1575">
        <v>140000</v>
      </c>
      <c r="H1575">
        <v>163407</v>
      </c>
      <c r="I1575">
        <v>150233</v>
      </c>
      <c r="J1575">
        <v>128.6</v>
      </c>
    </row>
    <row r="1576" spans="1:10" x14ac:dyDescent="0.2">
      <c r="A1576">
        <v>2023</v>
      </c>
      <c r="B1576" s="1" t="s">
        <v>22</v>
      </c>
      <c r="C1576" s="1" t="s">
        <v>13</v>
      </c>
      <c r="D1576">
        <v>0</v>
      </c>
      <c r="E1576">
        <v>0</v>
      </c>
      <c r="F1576">
        <v>22901</v>
      </c>
      <c r="G1576">
        <v>240000</v>
      </c>
      <c r="H1576">
        <v>256000</v>
      </c>
      <c r="I1576">
        <v>257543</v>
      </c>
      <c r="J1576">
        <v>128.6</v>
      </c>
    </row>
    <row r="1577" spans="1:10" x14ac:dyDescent="0.2">
      <c r="A1577">
        <v>2023</v>
      </c>
      <c r="B1577" s="1" t="s">
        <v>22</v>
      </c>
      <c r="C1577" s="1" t="s">
        <v>14</v>
      </c>
      <c r="D1577">
        <v>0</v>
      </c>
      <c r="E1577">
        <v>0</v>
      </c>
      <c r="F1577">
        <v>16988</v>
      </c>
      <c r="G1577">
        <v>193000</v>
      </c>
      <c r="H1577">
        <v>209356</v>
      </c>
      <c r="I1577">
        <v>207107</v>
      </c>
      <c r="J1577">
        <v>128.6</v>
      </c>
    </row>
    <row r="1578" spans="1:10" x14ac:dyDescent="0.2">
      <c r="A1578">
        <v>2023</v>
      </c>
      <c r="B1578" s="1" t="s">
        <v>23</v>
      </c>
      <c r="C1578" s="1" t="s">
        <v>11</v>
      </c>
      <c r="D1578">
        <v>0</v>
      </c>
      <c r="E1578">
        <v>0</v>
      </c>
      <c r="F1578">
        <v>16195</v>
      </c>
      <c r="G1578">
        <v>344950</v>
      </c>
      <c r="H1578">
        <v>395158</v>
      </c>
      <c r="I1578">
        <v>370164</v>
      </c>
      <c r="J1578">
        <v>128.6</v>
      </c>
    </row>
    <row r="1579" spans="1:10" x14ac:dyDescent="0.2">
      <c r="A1579">
        <v>2023</v>
      </c>
      <c r="B1579" s="1" t="s">
        <v>23</v>
      </c>
      <c r="C1579" s="1" t="s">
        <v>12</v>
      </c>
      <c r="D1579">
        <v>0</v>
      </c>
      <c r="E1579">
        <v>0</v>
      </c>
      <c r="F1579">
        <v>6294</v>
      </c>
      <c r="G1579">
        <v>137000</v>
      </c>
      <c r="H1579">
        <v>164238</v>
      </c>
      <c r="I1579">
        <v>147014</v>
      </c>
      <c r="J1579">
        <v>128.6</v>
      </c>
    </row>
    <row r="1580" spans="1:10" x14ac:dyDescent="0.2">
      <c r="A1580">
        <v>2023</v>
      </c>
      <c r="B1580" s="1" t="s">
        <v>23</v>
      </c>
      <c r="C1580" s="1" t="s">
        <v>13</v>
      </c>
      <c r="D1580">
        <v>0</v>
      </c>
      <c r="E1580">
        <v>0</v>
      </c>
      <c r="F1580">
        <v>24991</v>
      </c>
      <c r="G1580">
        <v>200000</v>
      </c>
      <c r="H1580">
        <v>221809</v>
      </c>
      <c r="I1580">
        <v>214619</v>
      </c>
      <c r="J1580">
        <v>128.6</v>
      </c>
    </row>
    <row r="1581" spans="1:10" x14ac:dyDescent="0.2">
      <c r="A1581">
        <v>2023</v>
      </c>
      <c r="B1581" s="1" t="s">
        <v>23</v>
      </c>
      <c r="C1581" s="1" t="s">
        <v>14</v>
      </c>
      <c r="D1581">
        <v>0</v>
      </c>
      <c r="E1581">
        <v>0</v>
      </c>
      <c r="F1581">
        <v>20885</v>
      </c>
      <c r="G1581">
        <v>150000</v>
      </c>
      <c r="H1581">
        <v>172960</v>
      </c>
      <c r="I1581">
        <v>160964</v>
      </c>
      <c r="J1581">
        <v>128.6</v>
      </c>
    </row>
    <row r="1582" spans="1:10" x14ac:dyDescent="0.2">
      <c r="A1582">
        <v>2023</v>
      </c>
      <c r="B1582" s="1" t="s">
        <v>10</v>
      </c>
      <c r="C1582" s="1" t="s">
        <v>24</v>
      </c>
      <c r="D1582">
        <v>0</v>
      </c>
      <c r="E1582">
        <v>1</v>
      </c>
      <c r="F1582">
        <v>62097</v>
      </c>
      <c r="G1582">
        <v>245000</v>
      </c>
      <c r="H1582">
        <v>276529</v>
      </c>
      <c r="I1582">
        <v>262908</v>
      </c>
      <c r="J1582">
        <v>128.6</v>
      </c>
    </row>
    <row r="1583" spans="1:10" x14ac:dyDescent="0.2">
      <c r="A1583">
        <v>2023</v>
      </c>
      <c r="B1583" s="1" t="s">
        <v>15</v>
      </c>
      <c r="C1583" s="1" t="s">
        <v>24</v>
      </c>
      <c r="D1583">
        <v>0</v>
      </c>
      <c r="E1583">
        <v>1</v>
      </c>
      <c r="F1583">
        <v>78077</v>
      </c>
      <c r="G1583">
        <v>345000</v>
      </c>
      <c r="H1583">
        <v>400300</v>
      </c>
      <c r="I1583">
        <v>370218</v>
      </c>
      <c r="J1583">
        <v>128.6</v>
      </c>
    </row>
    <row r="1584" spans="1:10" x14ac:dyDescent="0.2">
      <c r="A1584">
        <v>2023</v>
      </c>
      <c r="B1584" s="1" t="s">
        <v>16</v>
      </c>
      <c r="C1584" s="1" t="s">
        <v>24</v>
      </c>
      <c r="D1584">
        <v>0</v>
      </c>
      <c r="E1584">
        <v>1</v>
      </c>
      <c r="F1584">
        <v>76299</v>
      </c>
      <c r="G1584">
        <v>525000</v>
      </c>
      <c r="H1584">
        <v>737939</v>
      </c>
      <c r="I1584">
        <v>563375</v>
      </c>
      <c r="J1584">
        <v>128.6</v>
      </c>
    </row>
    <row r="1585" spans="1:10" x14ac:dyDescent="0.2">
      <c r="A1585">
        <v>2023</v>
      </c>
      <c r="B1585" s="1" t="s">
        <v>17</v>
      </c>
      <c r="C1585" s="1" t="s">
        <v>24</v>
      </c>
      <c r="D1585">
        <v>0</v>
      </c>
      <c r="E1585">
        <v>1</v>
      </c>
      <c r="F1585">
        <v>35284</v>
      </c>
      <c r="G1585">
        <v>165000</v>
      </c>
      <c r="H1585">
        <v>198533</v>
      </c>
      <c r="I1585">
        <v>177061</v>
      </c>
      <c r="J1585">
        <v>128.6</v>
      </c>
    </row>
    <row r="1586" spans="1:10" x14ac:dyDescent="0.2">
      <c r="A1586">
        <v>2023</v>
      </c>
      <c r="B1586" s="1" t="s">
        <v>18</v>
      </c>
      <c r="C1586" s="1" t="s">
        <v>24</v>
      </c>
      <c r="D1586">
        <v>0</v>
      </c>
      <c r="E1586">
        <v>1</v>
      </c>
      <c r="F1586">
        <v>91281</v>
      </c>
      <c r="G1586">
        <v>210000</v>
      </c>
      <c r="H1586">
        <v>249313</v>
      </c>
      <c r="I1586">
        <v>225350</v>
      </c>
      <c r="J1586">
        <v>128.6</v>
      </c>
    </row>
    <row r="1587" spans="1:10" x14ac:dyDescent="0.2">
      <c r="A1587">
        <v>2023</v>
      </c>
      <c r="B1587" s="1" t="s">
        <v>19</v>
      </c>
      <c r="C1587" s="1" t="s">
        <v>24</v>
      </c>
      <c r="D1587">
        <v>0</v>
      </c>
      <c r="E1587">
        <v>1</v>
      </c>
      <c r="F1587">
        <v>115855</v>
      </c>
      <c r="G1587">
        <v>380000</v>
      </c>
      <c r="H1587">
        <v>459281</v>
      </c>
      <c r="I1587">
        <v>407776</v>
      </c>
      <c r="J1587">
        <v>128.6</v>
      </c>
    </row>
    <row r="1588" spans="1:10" x14ac:dyDescent="0.2">
      <c r="A1588">
        <v>2023</v>
      </c>
      <c r="B1588" s="1" t="s">
        <v>20</v>
      </c>
      <c r="C1588" s="1" t="s">
        <v>24</v>
      </c>
      <c r="D1588">
        <v>0</v>
      </c>
      <c r="E1588">
        <v>1</v>
      </c>
      <c r="F1588">
        <v>78703</v>
      </c>
      <c r="G1588">
        <v>310000</v>
      </c>
      <c r="H1588">
        <v>367519</v>
      </c>
      <c r="I1588">
        <v>332659</v>
      </c>
      <c r="J1588">
        <v>128.6</v>
      </c>
    </row>
    <row r="1589" spans="1:10" x14ac:dyDescent="0.2">
      <c r="A1589">
        <v>2023</v>
      </c>
      <c r="B1589" s="1" t="s">
        <v>21</v>
      </c>
      <c r="C1589" s="1" t="s">
        <v>24</v>
      </c>
      <c r="D1589">
        <v>0</v>
      </c>
      <c r="E1589">
        <v>1</v>
      </c>
      <c r="F1589">
        <v>36618</v>
      </c>
      <c r="G1589">
        <v>200000</v>
      </c>
      <c r="H1589">
        <v>237489</v>
      </c>
      <c r="I1589">
        <v>214619</v>
      </c>
      <c r="J1589">
        <v>128.6</v>
      </c>
    </row>
    <row r="1590" spans="1:10" x14ac:dyDescent="0.2">
      <c r="A1590">
        <v>2023</v>
      </c>
      <c r="B1590" s="1" t="s">
        <v>22</v>
      </c>
      <c r="C1590" s="1" t="s">
        <v>24</v>
      </c>
      <c r="D1590">
        <v>0</v>
      </c>
      <c r="E1590">
        <v>1</v>
      </c>
      <c r="F1590">
        <v>65009</v>
      </c>
      <c r="G1590">
        <v>243000</v>
      </c>
      <c r="H1590">
        <v>283502</v>
      </c>
      <c r="I1590">
        <v>260762</v>
      </c>
      <c r="J1590">
        <v>128.6</v>
      </c>
    </row>
    <row r="1591" spans="1:10" x14ac:dyDescent="0.2">
      <c r="A1591">
        <v>2023</v>
      </c>
      <c r="B1591" s="1" t="s">
        <v>23</v>
      </c>
      <c r="C1591" s="1" t="s">
        <v>24</v>
      </c>
      <c r="D1591">
        <v>0</v>
      </c>
      <c r="E1591">
        <v>1</v>
      </c>
      <c r="F1591">
        <v>68365</v>
      </c>
      <c r="G1591">
        <v>200000</v>
      </c>
      <c r="H1591">
        <v>242650</v>
      </c>
      <c r="I1591">
        <v>214619</v>
      </c>
      <c r="J1591">
        <v>128.6</v>
      </c>
    </row>
    <row r="1592" spans="1:10" x14ac:dyDescent="0.2">
      <c r="A1592">
        <v>2023</v>
      </c>
      <c r="B1592" s="1" t="s">
        <v>25</v>
      </c>
      <c r="C1592" s="1" t="s">
        <v>11</v>
      </c>
      <c r="D1592">
        <v>1</v>
      </c>
      <c r="E1592">
        <v>0</v>
      </c>
      <c r="F1592">
        <v>178044</v>
      </c>
      <c r="G1592">
        <v>420000</v>
      </c>
      <c r="H1592">
        <v>517733</v>
      </c>
      <c r="I1592">
        <v>450700</v>
      </c>
      <c r="J1592">
        <v>128.6</v>
      </c>
    </row>
    <row r="1593" spans="1:10" x14ac:dyDescent="0.2">
      <c r="A1593">
        <v>2023</v>
      </c>
      <c r="B1593" s="1" t="s">
        <v>25</v>
      </c>
      <c r="C1593" s="1" t="s">
        <v>12</v>
      </c>
      <c r="D1593">
        <v>1</v>
      </c>
      <c r="E1593">
        <v>0</v>
      </c>
      <c r="F1593">
        <v>132997</v>
      </c>
      <c r="G1593">
        <v>240000</v>
      </c>
      <c r="H1593">
        <v>341652</v>
      </c>
      <c r="I1593">
        <v>257543</v>
      </c>
      <c r="J1593">
        <v>128.6</v>
      </c>
    </row>
    <row r="1594" spans="1:10" x14ac:dyDescent="0.2">
      <c r="A1594">
        <v>2023</v>
      </c>
      <c r="B1594" s="1" t="s">
        <v>25</v>
      </c>
      <c r="C1594" s="1" t="s">
        <v>13</v>
      </c>
      <c r="D1594">
        <v>1</v>
      </c>
      <c r="E1594">
        <v>0</v>
      </c>
      <c r="F1594">
        <v>205816</v>
      </c>
      <c r="G1594">
        <v>265000</v>
      </c>
      <c r="H1594">
        <v>319181</v>
      </c>
      <c r="I1594">
        <v>284370</v>
      </c>
      <c r="J1594">
        <v>128.6</v>
      </c>
    </row>
    <row r="1595" spans="1:10" x14ac:dyDescent="0.2">
      <c r="A1595">
        <v>2023</v>
      </c>
      <c r="B1595" s="1" t="s">
        <v>25</v>
      </c>
      <c r="C1595" s="1" t="s">
        <v>14</v>
      </c>
      <c r="D1595">
        <v>1</v>
      </c>
      <c r="E1595">
        <v>0</v>
      </c>
      <c r="F1595">
        <v>190824</v>
      </c>
      <c r="G1595">
        <v>227000</v>
      </c>
      <c r="H1595">
        <v>299064</v>
      </c>
      <c r="I1595">
        <v>243593</v>
      </c>
      <c r="J1595">
        <v>128.6</v>
      </c>
    </row>
    <row r="1596" spans="1:10" x14ac:dyDescent="0.2">
      <c r="A1596">
        <v>2023</v>
      </c>
      <c r="B1596" s="1" t="s">
        <v>25</v>
      </c>
      <c r="C1596" s="1" t="s">
        <v>24</v>
      </c>
      <c r="D1596">
        <v>1</v>
      </c>
      <c r="E1596">
        <v>1</v>
      </c>
      <c r="F1596">
        <v>707681</v>
      </c>
      <c r="G1596">
        <v>286500</v>
      </c>
      <c r="H1596">
        <v>367933</v>
      </c>
      <c r="I1596">
        <v>307442</v>
      </c>
      <c r="J1596">
        <v>128.6</v>
      </c>
    </row>
    <row r="1597" spans="1:10" x14ac:dyDescent="0.2">
      <c r="A1597">
        <v>2024</v>
      </c>
      <c r="B1597" s="1" t="s">
        <v>10</v>
      </c>
      <c r="C1597" s="1" t="s">
        <v>11</v>
      </c>
      <c r="D1597">
        <v>0</v>
      </c>
      <c r="E1597">
        <v>0</v>
      </c>
      <c r="F1597">
        <v>26041</v>
      </c>
      <c r="G1597">
        <v>345000</v>
      </c>
      <c r="H1597">
        <v>382352</v>
      </c>
      <c r="I1597">
        <v>358239</v>
      </c>
      <c r="J1597">
        <v>132.9</v>
      </c>
    </row>
    <row r="1598" spans="1:10" x14ac:dyDescent="0.2">
      <c r="A1598">
        <v>2024</v>
      </c>
      <c r="B1598" s="1" t="s">
        <v>10</v>
      </c>
      <c r="C1598" s="1" t="s">
        <v>12</v>
      </c>
      <c r="D1598">
        <v>0</v>
      </c>
      <c r="E1598">
        <v>0</v>
      </c>
      <c r="F1598">
        <v>3753</v>
      </c>
      <c r="G1598">
        <v>136500</v>
      </c>
      <c r="H1598">
        <v>151737</v>
      </c>
      <c r="I1598">
        <v>141738</v>
      </c>
      <c r="J1598">
        <v>132.9</v>
      </c>
    </row>
    <row r="1599" spans="1:10" x14ac:dyDescent="0.2">
      <c r="A1599">
        <v>2024</v>
      </c>
      <c r="B1599" s="1" t="s">
        <v>10</v>
      </c>
      <c r="C1599" s="1" t="s">
        <v>13</v>
      </c>
      <c r="D1599">
        <v>0</v>
      </c>
      <c r="E1599">
        <v>0</v>
      </c>
      <c r="F1599">
        <v>23120</v>
      </c>
      <c r="G1599">
        <v>227023</v>
      </c>
      <c r="H1599">
        <v>237363</v>
      </c>
      <c r="I1599">
        <v>235735</v>
      </c>
      <c r="J1599">
        <v>132.9</v>
      </c>
    </row>
    <row r="1600" spans="1:10" x14ac:dyDescent="0.2">
      <c r="A1600">
        <v>2024</v>
      </c>
      <c r="B1600" s="1" t="s">
        <v>10</v>
      </c>
      <c r="C1600" s="1" t="s">
        <v>14</v>
      </c>
      <c r="D1600">
        <v>0</v>
      </c>
      <c r="E1600">
        <v>0</v>
      </c>
      <c r="F1600">
        <v>14107</v>
      </c>
      <c r="G1600">
        <v>185000</v>
      </c>
      <c r="H1600">
        <v>198478</v>
      </c>
      <c r="I1600">
        <v>192099</v>
      </c>
      <c r="J1600">
        <v>132.9</v>
      </c>
    </row>
    <row r="1601" spans="1:10" x14ac:dyDescent="0.2">
      <c r="A1601">
        <v>2024</v>
      </c>
      <c r="B1601" s="1" t="s">
        <v>15</v>
      </c>
      <c r="C1601" s="1" t="s">
        <v>11</v>
      </c>
      <c r="D1601">
        <v>0</v>
      </c>
      <c r="E1601">
        <v>0</v>
      </c>
      <c r="F1601">
        <v>28004</v>
      </c>
      <c r="G1601">
        <v>462500</v>
      </c>
      <c r="H1601">
        <v>548061</v>
      </c>
      <c r="I1601">
        <v>480248</v>
      </c>
      <c r="J1601">
        <v>132.9</v>
      </c>
    </row>
    <row r="1602" spans="1:10" x14ac:dyDescent="0.2">
      <c r="A1602">
        <v>2024</v>
      </c>
      <c r="B1602" s="1" t="s">
        <v>15</v>
      </c>
      <c r="C1602" s="1" t="s">
        <v>12</v>
      </c>
      <c r="D1602">
        <v>0</v>
      </c>
      <c r="E1602">
        <v>0</v>
      </c>
      <c r="F1602">
        <v>12370</v>
      </c>
      <c r="G1602">
        <v>215000</v>
      </c>
      <c r="H1602">
        <v>238127</v>
      </c>
      <c r="I1602">
        <v>223251</v>
      </c>
      <c r="J1602">
        <v>132.9</v>
      </c>
    </row>
    <row r="1603" spans="1:10" x14ac:dyDescent="0.2">
      <c r="A1603">
        <v>2024</v>
      </c>
      <c r="B1603" s="1" t="s">
        <v>15</v>
      </c>
      <c r="C1603" s="1" t="s">
        <v>13</v>
      </c>
      <c r="D1603">
        <v>0</v>
      </c>
      <c r="E1603">
        <v>0</v>
      </c>
      <c r="F1603">
        <v>24705</v>
      </c>
      <c r="G1603">
        <v>340000</v>
      </c>
      <c r="H1603">
        <v>377058</v>
      </c>
      <c r="I1603">
        <v>353047</v>
      </c>
      <c r="J1603">
        <v>132.9</v>
      </c>
    </row>
    <row r="1604" spans="1:10" x14ac:dyDescent="0.2">
      <c r="A1604">
        <v>2024</v>
      </c>
      <c r="B1604" s="1" t="s">
        <v>15</v>
      </c>
      <c r="C1604" s="1" t="s">
        <v>14</v>
      </c>
      <c r="D1604">
        <v>0</v>
      </c>
      <c r="E1604">
        <v>0</v>
      </c>
      <c r="F1604">
        <v>20679</v>
      </c>
      <c r="G1604">
        <v>300000</v>
      </c>
      <c r="H1604">
        <v>327022</v>
      </c>
      <c r="I1604">
        <v>311512</v>
      </c>
      <c r="J1604">
        <v>132.9</v>
      </c>
    </row>
    <row r="1605" spans="1:10" x14ac:dyDescent="0.2">
      <c r="A1605">
        <v>2024</v>
      </c>
      <c r="B1605" s="1" t="s">
        <v>16</v>
      </c>
      <c r="C1605" s="1" t="s">
        <v>11</v>
      </c>
      <c r="D1605">
        <v>0</v>
      </c>
      <c r="E1605">
        <v>0</v>
      </c>
      <c r="F1605">
        <v>3942</v>
      </c>
      <c r="G1605">
        <v>900000</v>
      </c>
      <c r="H1605">
        <v>1274943</v>
      </c>
      <c r="I1605">
        <v>934537</v>
      </c>
      <c r="J1605">
        <v>132.9</v>
      </c>
    </row>
    <row r="1606" spans="1:10" x14ac:dyDescent="0.2">
      <c r="A1606">
        <v>2024</v>
      </c>
      <c r="B1606" s="1" t="s">
        <v>16</v>
      </c>
      <c r="C1606" s="1" t="s">
        <v>12</v>
      </c>
      <c r="D1606">
        <v>0</v>
      </c>
      <c r="E1606">
        <v>0</v>
      </c>
      <c r="F1606">
        <v>44613</v>
      </c>
      <c r="G1606">
        <v>450000</v>
      </c>
      <c r="H1606">
        <v>598237</v>
      </c>
      <c r="I1606">
        <v>467269</v>
      </c>
      <c r="J1606">
        <v>132.9</v>
      </c>
    </row>
    <row r="1607" spans="1:10" x14ac:dyDescent="0.2">
      <c r="A1607">
        <v>2024</v>
      </c>
      <c r="B1607" s="1" t="s">
        <v>16</v>
      </c>
      <c r="C1607" s="1" t="s">
        <v>13</v>
      </c>
      <c r="D1607">
        <v>0</v>
      </c>
      <c r="E1607">
        <v>0</v>
      </c>
      <c r="F1607">
        <v>12452</v>
      </c>
      <c r="G1607">
        <v>615000</v>
      </c>
      <c r="H1607">
        <v>795213</v>
      </c>
      <c r="I1607">
        <v>638600</v>
      </c>
      <c r="J1607">
        <v>132.9</v>
      </c>
    </row>
    <row r="1608" spans="1:10" x14ac:dyDescent="0.2">
      <c r="A1608">
        <v>2024</v>
      </c>
      <c r="B1608" s="1" t="s">
        <v>16</v>
      </c>
      <c r="C1608" s="1" t="s">
        <v>14</v>
      </c>
      <c r="D1608">
        <v>0</v>
      </c>
      <c r="E1608">
        <v>0</v>
      </c>
      <c r="F1608">
        <v>22583</v>
      </c>
      <c r="G1608">
        <v>592500</v>
      </c>
      <c r="H1608">
        <v>817940</v>
      </c>
      <c r="I1608">
        <v>615237</v>
      </c>
      <c r="J1608">
        <v>132.9</v>
      </c>
    </row>
    <row r="1609" spans="1:10" x14ac:dyDescent="0.2">
      <c r="A1609">
        <v>2024</v>
      </c>
      <c r="B1609" s="1" t="s">
        <v>17</v>
      </c>
      <c r="C1609" s="1" t="s">
        <v>11</v>
      </c>
      <c r="D1609">
        <v>0</v>
      </c>
      <c r="E1609">
        <v>0</v>
      </c>
      <c r="F1609">
        <v>8997</v>
      </c>
      <c r="G1609">
        <v>292995</v>
      </c>
      <c r="H1609">
        <v>330312</v>
      </c>
      <c r="I1609">
        <v>304239</v>
      </c>
      <c r="J1609">
        <v>132.9</v>
      </c>
    </row>
    <row r="1610" spans="1:10" x14ac:dyDescent="0.2">
      <c r="A1610">
        <v>2024</v>
      </c>
      <c r="B1610" s="1" t="s">
        <v>17</v>
      </c>
      <c r="C1610" s="1" t="s">
        <v>12</v>
      </c>
      <c r="D1610">
        <v>0</v>
      </c>
      <c r="E1610">
        <v>0</v>
      </c>
      <c r="F1610">
        <v>3431</v>
      </c>
      <c r="G1610">
        <v>105000</v>
      </c>
      <c r="H1610">
        <v>122891</v>
      </c>
      <c r="I1610">
        <v>109029</v>
      </c>
      <c r="J1610">
        <v>132.9</v>
      </c>
    </row>
    <row r="1611" spans="1:10" x14ac:dyDescent="0.2">
      <c r="A1611">
        <v>2024</v>
      </c>
      <c r="B1611" s="1" t="s">
        <v>17</v>
      </c>
      <c r="C1611" s="1" t="s">
        <v>13</v>
      </c>
      <c r="D1611">
        <v>0</v>
      </c>
      <c r="E1611">
        <v>0</v>
      </c>
      <c r="F1611">
        <v>12499</v>
      </c>
      <c r="G1611">
        <v>167000</v>
      </c>
      <c r="H1611">
        <v>184628</v>
      </c>
      <c r="I1611">
        <v>173409</v>
      </c>
      <c r="J1611">
        <v>132.9</v>
      </c>
    </row>
    <row r="1612" spans="1:10" x14ac:dyDescent="0.2">
      <c r="A1612">
        <v>2024</v>
      </c>
      <c r="B1612" s="1" t="s">
        <v>17</v>
      </c>
      <c r="C1612" s="1" t="s">
        <v>14</v>
      </c>
      <c r="D1612">
        <v>0</v>
      </c>
      <c r="E1612">
        <v>0</v>
      </c>
      <c r="F1612">
        <v>11701</v>
      </c>
      <c r="G1612">
        <v>125000</v>
      </c>
      <c r="H1612">
        <v>146557</v>
      </c>
      <c r="I1612">
        <v>129797</v>
      </c>
      <c r="J1612">
        <v>132.9</v>
      </c>
    </row>
    <row r="1613" spans="1:10" x14ac:dyDescent="0.2">
      <c r="A1613">
        <v>2024</v>
      </c>
      <c r="B1613" s="1" t="s">
        <v>18</v>
      </c>
      <c r="C1613" s="1" t="s">
        <v>11</v>
      </c>
      <c r="D1613">
        <v>0</v>
      </c>
      <c r="E1613">
        <v>0</v>
      </c>
      <c r="F1613">
        <v>21568</v>
      </c>
      <c r="G1613">
        <v>360000</v>
      </c>
      <c r="H1613">
        <v>419484</v>
      </c>
      <c r="I1613">
        <v>373815</v>
      </c>
      <c r="J1613">
        <v>132.9</v>
      </c>
    </row>
    <row r="1614" spans="1:10" x14ac:dyDescent="0.2">
      <c r="A1614">
        <v>2024</v>
      </c>
      <c r="B1614" s="1" t="s">
        <v>18</v>
      </c>
      <c r="C1614" s="1" t="s">
        <v>12</v>
      </c>
      <c r="D1614">
        <v>0</v>
      </c>
      <c r="E1614">
        <v>0</v>
      </c>
      <c r="F1614">
        <v>11485</v>
      </c>
      <c r="G1614">
        <v>150000</v>
      </c>
      <c r="H1614">
        <v>180673</v>
      </c>
      <c r="I1614">
        <v>155756</v>
      </c>
      <c r="J1614">
        <v>132.9</v>
      </c>
    </row>
    <row r="1615" spans="1:10" x14ac:dyDescent="0.2">
      <c r="A1615">
        <v>2024</v>
      </c>
      <c r="B1615" s="1" t="s">
        <v>18</v>
      </c>
      <c r="C1615" s="1" t="s">
        <v>13</v>
      </c>
      <c r="D1615">
        <v>0</v>
      </c>
      <c r="E1615">
        <v>0</v>
      </c>
      <c r="F1615">
        <v>34640</v>
      </c>
      <c r="G1615">
        <v>225688</v>
      </c>
      <c r="H1615">
        <v>249691</v>
      </c>
      <c r="I1615">
        <v>234348</v>
      </c>
      <c r="J1615">
        <v>132.9</v>
      </c>
    </row>
    <row r="1616" spans="1:10" x14ac:dyDescent="0.2">
      <c r="A1616">
        <v>2024</v>
      </c>
      <c r="B1616" s="1" t="s">
        <v>18</v>
      </c>
      <c r="C1616" s="1" t="s">
        <v>14</v>
      </c>
      <c r="D1616">
        <v>0</v>
      </c>
      <c r="E1616">
        <v>0</v>
      </c>
      <c r="F1616">
        <v>29300</v>
      </c>
      <c r="G1616">
        <v>157000</v>
      </c>
      <c r="H1616">
        <v>178084</v>
      </c>
      <c r="I1616">
        <v>163025</v>
      </c>
      <c r="J1616">
        <v>132.9</v>
      </c>
    </row>
    <row r="1617" spans="1:10" x14ac:dyDescent="0.2">
      <c r="A1617">
        <v>2024</v>
      </c>
      <c r="B1617" s="1" t="s">
        <v>19</v>
      </c>
      <c r="C1617" s="1" t="s">
        <v>11</v>
      </c>
      <c r="D1617">
        <v>0</v>
      </c>
      <c r="E1617">
        <v>0</v>
      </c>
      <c r="F1617">
        <v>35491</v>
      </c>
      <c r="G1617">
        <v>590000</v>
      </c>
      <c r="H1617">
        <v>708738</v>
      </c>
      <c r="I1617">
        <v>612641</v>
      </c>
      <c r="J1617">
        <v>132.9</v>
      </c>
    </row>
    <row r="1618" spans="1:10" x14ac:dyDescent="0.2">
      <c r="A1618">
        <v>2024</v>
      </c>
      <c r="B1618" s="1" t="s">
        <v>19</v>
      </c>
      <c r="C1618" s="1" t="s">
        <v>12</v>
      </c>
      <c r="D1618">
        <v>0</v>
      </c>
      <c r="E1618">
        <v>0</v>
      </c>
      <c r="F1618">
        <v>25771</v>
      </c>
      <c r="G1618">
        <v>230000</v>
      </c>
      <c r="H1618">
        <v>256929</v>
      </c>
      <c r="I1618">
        <v>238826</v>
      </c>
      <c r="J1618">
        <v>132.9</v>
      </c>
    </row>
    <row r="1619" spans="1:10" x14ac:dyDescent="0.2">
      <c r="A1619">
        <v>2024</v>
      </c>
      <c r="B1619" s="1" t="s">
        <v>19</v>
      </c>
      <c r="C1619" s="1" t="s">
        <v>13</v>
      </c>
      <c r="D1619">
        <v>0</v>
      </c>
      <c r="E1619">
        <v>0</v>
      </c>
      <c r="F1619">
        <v>33788</v>
      </c>
      <c r="G1619">
        <v>395000</v>
      </c>
      <c r="H1619">
        <v>433859</v>
      </c>
      <c r="I1619">
        <v>410158</v>
      </c>
      <c r="J1619">
        <v>132.9</v>
      </c>
    </row>
    <row r="1620" spans="1:10" x14ac:dyDescent="0.2">
      <c r="A1620">
        <v>2024</v>
      </c>
      <c r="B1620" s="1" t="s">
        <v>19</v>
      </c>
      <c r="C1620" s="1" t="s">
        <v>14</v>
      </c>
      <c r="D1620">
        <v>0</v>
      </c>
      <c r="E1620">
        <v>0</v>
      </c>
      <c r="F1620">
        <v>30582</v>
      </c>
      <c r="G1620">
        <v>325000</v>
      </c>
      <c r="H1620">
        <v>359494</v>
      </c>
      <c r="I1620">
        <v>337472</v>
      </c>
      <c r="J1620">
        <v>132.9</v>
      </c>
    </row>
    <row r="1621" spans="1:10" x14ac:dyDescent="0.2">
      <c r="A1621">
        <v>2024</v>
      </c>
      <c r="B1621" s="1" t="s">
        <v>20</v>
      </c>
      <c r="C1621" s="1" t="s">
        <v>11</v>
      </c>
      <c r="D1621">
        <v>0</v>
      </c>
      <c r="E1621">
        <v>0</v>
      </c>
      <c r="F1621">
        <v>25506</v>
      </c>
      <c r="G1621">
        <v>449997</v>
      </c>
      <c r="H1621">
        <v>525282</v>
      </c>
      <c r="I1621">
        <v>467266</v>
      </c>
      <c r="J1621">
        <v>132.9</v>
      </c>
    </row>
    <row r="1622" spans="1:10" x14ac:dyDescent="0.2">
      <c r="A1622">
        <v>2024</v>
      </c>
      <c r="B1622" s="1" t="s">
        <v>20</v>
      </c>
      <c r="C1622" s="1" t="s">
        <v>12</v>
      </c>
      <c r="D1622">
        <v>0</v>
      </c>
      <c r="E1622">
        <v>0</v>
      </c>
      <c r="F1622">
        <v>14185</v>
      </c>
      <c r="G1622">
        <v>191000</v>
      </c>
      <c r="H1622">
        <v>228884</v>
      </c>
      <c r="I1622">
        <v>198330</v>
      </c>
      <c r="J1622">
        <v>132.9</v>
      </c>
    </row>
    <row r="1623" spans="1:10" x14ac:dyDescent="0.2">
      <c r="A1623">
        <v>2024</v>
      </c>
      <c r="B1623" s="1" t="s">
        <v>20</v>
      </c>
      <c r="C1623" s="1" t="s">
        <v>13</v>
      </c>
      <c r="D1623">
        <v>0</v>
      </c>
      <c r="E1623">
        <v>0</v>
      </c>
      <c r="F1623">
        <v>21238</v>
      </c>
      <c r="G1623">
        <v>300000</v>
      </c>
      <c r="H1623">
        <v>332929</v>
      </c>
      <c r="I1623">
        <v>311512</v>
      </c>
      <c r="J1623">
        <v>132.9</v>
      </c>
    </row>
    <row r="1624" spans="1:10" x14ac:dyDescent="0.2">
      <c r="A1624">
        <v>2024</v>
      </c>
      <c r="B1624" s="1" t="s">
        <v>20</v>
      </c>
      <c r="C1624" s="1" t="s">
        <v>14</v>
      </c>
      <c r="D1624">
        <v>0</v>
      </c>
      <c r="E1624">
        <v>0</v>
      </c>
      <c r="F1624">
        <v>22933</v>
      </c>
      <c r="G1624">
        <v>260000</v>
      </c>
      <c r="H1624">
        <v>294030</v>
      </c>
      <c r="I1624">
        <v>269977</v>
      </c>
      <c r="J1624">
        <v>132.9</v>
      </c>
    </row>
    <row r="1625" spans="1:10" x14ac:dyDescent="0.2">
      <c r="A1625">
        <v>2024</v>
      </c>
      <c r="B1625" s="1" t="s">
        <v>21</v>
      </c>
      <c r="C1625" s="1" t="s">
        <v>11</v>
      </c>
      <c r="D1625">
        <v>0</v>
      </c>
      <c r="E1625">
        <v>0</v>
      </c>
      <c r="F1625">
        <v>11342</v>
      </c>
      <c r="G1625">
        <v>325000</v>
      </c>
      <c r="H1625">
        <v>354225</v>
      </c>
      <c r="I1625">
        <v>337472</v>
      </c>
      <c r="J1625">
        <v>132.9</v>
      </c>
    </row>
    <row r="1626" spans="1:10" x14ac:dyDescent="0.2">
      <c r="A1626">
        <v>2024</v>
      </c>
      <c r="B1626" s="1" t="s">
        <v>21</v>
      </c>
      <c r="C1626" s="1" t="s">
        <v>12</v>
      </c>
      <c r="D1626">
        <v>0</v>
      </c>
      <c r="E1626">
        <v>0</v>
      </c>
      <c r="F1626">
        <v>2861</v>
      </c>
      <c r="G1626">
        <v>144500</v>
      </c>
      <c r="H1626">
        <v>158270</v>
      </c>
      <c r="I1626">
        <v>150045</v>
      </c>
      <c r="J1626">
        <v>132.9</v>
      </c>
    </row>
    <row r="1627" spans="1:10" x14ac:dyDescent="0.2">
      <c r="A1627">
        <v>2024</v>
      </c>
      <c r="B1627" s="1" t="s">
        <v>21</v>
      </c>
      <c r="C1627" s="1" t="s">
        <v>13</v>
      </c>
      <c r="D1627">
        <v>0</v>
      </c>
      <c r="E1627">
        <v>0</v>
      </c>
      <c r="F1627">
        <v>11885</v>
      </c>
      <c r="G1627">
        <v>209995</v>
      </c>
      <c r="H1627">
        <v>225145</v>
      </c>
      <c r="I1627">
        <v>218053</v>
      </c>
      <c r="J1627">
        <v>132.9</v>
      </c>
    </row>
    <row r="1628" spans="1:10" x14ac:dyDescent="0.2">
      <c r="A1628">
        <v>2024</v>
      </c>
      <c r="B1628" s="1" t="s">
        <v>21</v>
      </c>
      <c r="C1628" s="1" t="s">
        <v>14</v>
      </c>
      <c r="D1628">
        <v>0</v>
      </c>
      <c r="E1628">
        <v>0</v>
      </c>
      <c r="F1628">
        <v>12571</v>
      </c>
      <c r="G1628">
        <v>158500</v>
      </c>
      <c r="H1628">
        <v>177057</v>
      </c>
      <c r="I1628">
        <v>164582</v>
      </c>
      <c r="J1628">
        <v>132.9</v>
      </c>
    </row>
    <row r="1629" spans="1:10" x14ac:dyDescent="0.2">
      <c r="A1629">
        <v>2024</v>
      </c>
      <c r="B1629" s="1" t="s">
        <v>22</v>
      </c>
      <c r="C1629" s="1" t="s">
        <v>11</v>
      </c>
      <c r="D1629">
        <v>0</v>
      </c>
      <c r="E1629">
        <v>0</v>
      </c>
      <c r="F1629">
        <v>19559</v>
      </c>
      <c r="G1629">
        <v>385000</v>
      </c>
      <c r="H1629">
        <v>441223</v>
      </c>
      <c r="I1629">
        <v>399774</v>
      </c>
      <c r="J1629">
        <v>132.9</v>
      </c>
    </row>
    <row r="1630" spans="1:10" x14ac:dyDescent="0.2">
      <c r="A1630">
        <v>2024</v>
      </c>
      <c r="B1630" s="1" t="s">
        <v>22</v>
      </c>
      <c r="C1630" s="1" t="s">
        <v>12</v>
      </c>
      <c r="D1630">
        <v>0</v>
      </c>
      <c r="E1630">
        <v>0</v>
      </c>
      <c r="F1630">
        <v>7683</v>
      </c>
      <c r="G1630">
        <v>140000</v>
      </c>
      <c r="H1630">
        <v>162499</v>
      </c>
      <c r="I1630">
        <v>145372</v>
      </c>
      <c r="J1630">
        <v>132.9</v>
      </c>
    </row>
    <row r="1631" spans="1:10" x14ac:dyDescent="0.2">
      <c r="A1631">
        <v>2024</v>
      </c>
      <c r="B1631" s="1" t="s">
        <v>22</v>
      </c>
      <c r="C1631" s="1" t="s">
        <v>13</v>
      </c>
      <c r="D1631">
        <v>0</v>
      </c>
      <c r="E1631">
        <v>0</v>
      </c>
      <c r="F1631">
        <v>24907</v>
      </c>
      <c r="G1631">
        <v>245000</v>
      </c>
      <c r="H1631">
        <v>260348</v>
      </c>
      <c r="I1631">
        <v>254402</v>
      </c>
      <c r="J1631">
        <v>132.9</v>
      </c>
    </row>
    <row r="1632" spans="1:10" x14ac:dyDescent="0.2">
      <c r="A1632">
        <v>2024</v>
      </c>
      <c r="B1632" s="1" t="s">
        <v>22</v>
      </c>
      <c r="C1632" s="1" t="s">
        <v>14</v>
      </c>
      <c r="D1632">
        <v>0</v>
      </c>
      <c r="E1632">
        <v>0</v>
      </c>
      <c r="F1632">
        <v>18066</v>
      </c>
      <c r="G1632">
        <v>200000</v>
      </c>
      <c r="H1632">
        <v>214590</v>
      </c>
      <c r="I1632">
        <v>207675</v>
      </c>
      <c r="J1632">
        <v>132.9</v>
      </c>
    </row>
    <row r="1633" spans="1:10" x14ac:dyDescent="0.2">
      <c r="A1633">
        <v>2024</v>
      </c>
      <c r="B1633" s="1" t="s">
        <v>23</v>
      </c>
      <c r="C1633" s="1" t="s">
        <v>11</v>
      </c>
      <c r="D1633">
        <v>0</v>
      </c>
      <c r="E1633">
        <v>0</v>
      </c>
      <c r="F1633">
        <v>18123</v>
      </c>
      <c r="G1633">
        <v>340000</v>
      </c>
      <c r="H1633">
        <v>390419</v>
      </c>
      <c r="I1633">
        <v>353047</v>
      </c>
      <c r="J1633">
        <v>132.9</v>
      </c>
    </row>
    <row r="1634" spans="1:10" x14ac:dyDescent="0.2">
      <c r="A1634">
        <v>2024</v>
      </c>
      <c r="B1634" s="1" t="s">
        <v>23</v>
      </c>
      <c r="C1634" s="1" t="s">
        <v>12</v>
      </c>
      <c r="D1634">
        <v>0</v>
      </c>
      <c r="E1634">
        <v>0</v>
      </c>
      <c r="F1634">
        <v>6431</v>
      </c>
      <c r="G1634">
        <v>140000</v>
      </c>
      <c r="H1634">
        <v>166875</v>
      </c>
      <c r="I1634">
        <v>145372</v>
      </c>
      <c r="J1634">
        <v>132.9</v>
      </c>
    </row>
    <row r="1635" spans="1:10" x14ac:dyDescent="0.2">
      <c r="A1635">
        <v>2024</v>
      </c>
      <c r="B1635" s="1" t="s">
        <v>23</v>
      </c>
      <c r="C1635" s="1" t="s">
        <v>13</v>
      </c>
      <c r="D1635">
        <v>0</v>
      </c>
      <c r="E1635">
        <v>0</v>
      </c>
      <c r="F1635">
        <v>27118</v>
      </c>
      <c r="G1635">
        <v>205000</v>
      </c>
      <c r="H1635">
        <v>227301</v>
      </c>
      <c r="I1635">
        <v>212867</v>
      </c>
      <c r="J1635">
        <v>132.9</v>
      </c>
    </row>
    <row r="1636" spans="1:10" x14ac:dyDescent="0.2">
      <c r="A1636">
        <v>2024</v>
      </c>
      <c r="B1636" s="1" t="s">
        <v>23</v>
      </c>
      <c r="C1636" s="1" t="s">
        <v>14</v>
      </c>
      <c r="D1636">
        <v>0</v>
      </c>
      <c r="E1636">
        <v>0</v>
      </c>
      <c r="F1636">
        <v>21316</v>
      </c>
      <c r="G1636">
        <v>155000</v>
      </c>
      <c r="H1636">
        <v>178881</v>
      </c>
      <c r="I1636">
        <v>160948</v>
      </c>
      <c r="J1636">
        <v>132.9</v>
      </c>
    </row>
    <row r="1637" spans="1:10" x14ac:dyDescent="0.2">
      <c r="A1637">
        <v>2024</v>
      </c>
      <c r="B1637" s="1" t="s">
        <v>10</v>
      </c>
      <c r="C1637" s="1" t="s">
        <v>24</v>
      </c>
      <c r="D1637">
        <v>0</v>
      </c>
      <c r="E1637">
        <v>1</v>
      </c>
      <c r="F1637">
        <v>67021</v>
      </c>
      <c r="G1637">
        <v>248853</v>
      </c>
      <c r="H1637">
        <v>280719</v>
      </c>
      <c r="I1637">
        <v>258403</v>
      </c>
      <c r="J1637">
        <v>132.9</v>
      </c>
    </row>
    <row r="1638" spans="1:10" x14ac:dyDescent="0.2">
      <c r="A1638">
        <v>2024</v>
      </c>
      <c r="B1638" s="1" t="s">
        <v>15</v>
      </c>
      <c r="C1638" s="1" t="s">
        <v>24</v>
      </c>
      <c r="D1638">
        <v>0</v>
      </c>
      <c r="E1638">
        <v>1</v>
      </c>
      <c r="F1638">
        <v>85758</v>
      </c>
      <c r="G1638">
        <v>345000</v>
      </c>
      <c r="H1638">
        <v>400793</v>
      </c>
      <c r="I1638">
        <v>358239</v>
      </c>
      <c r="J1638">
        <v>132.9</v>
      </c>
    </row>
    <row r="1639" spans="1:10" x14ac:dyDescent="0.2">
      <c r="A1639">
        <v>2024</v>
      </c>
      <c r="B1639" s="1" t="s">
        <v>16</v>
      </c>
      <c r="C1639" s="1" t="s">
        <v>24</v>
      </c>
      <c r="D1639">
        <v>0</v>
      </c>
      <c r="E1639">
        <v>1</v>
      </c>
      <c r="F1639">
        <v>83590</v>
      </c>
      <c r="G1639">
        <v>530000</v>
      </c>
      <c r="H1639">
        <v>718848</v>
      </c>
      <c r="I1639">
        <v>550339</v>
      </c>
      <c r="J1639">
        <v>132.9</v>
      </c>
    </row>
    <row r="1640" spans="1:10" x14ac:dyDescent="0.2">
      <c r="A1640">
        <v>2024</v>
      </c>
      <c r="B1640" s="1" t="s">
        <v>17</v>
      </c>
      <c r="C1640" s="1" t="s">
        <v>24</v>
      </c>
      <c r="D1640">
        <v>0</v>
      </c>
      <c r="E1640">
        <v>1</v>
      </c>
      <c r="F1640">
        <v>36628</v>
      </c>
      <c r="G1640">
        <v>170000</v>
      </c>
      <c r="H1640">
        <v>202468</v>
      </c>
      <c r="I1640">
        <v>176524</v>
      </c>
      <c r="J1640">
        <v>132.9</v>
      </c>
    </row>
    <row r="1641" spans="1:10" x14ac:dyDescent="0.2">
      <c r="A1641">
        <v>2024</v>
      </c>
      <c r="B1641" s="1" t="s">
        <v>18</v>
      </c>
      <c r="C1641" s="1" t="s">
        <v>24</v>
      </c>
      <c r="D1641">
        <v>0</v>
      </c>
      <c r="E1641">
        <v>1</v>
      </c>
      <c r="F1641">
        <v>96993</v>
      </c>
      <c r="G1641">
        <v>220000</v>
      </c>
      <c r="H1641">
        <v>257644</v>
      </c>
      <c r="I1641">
        <v>228442</v>
      </c>
      <c r="J1641">
        <v>132.9</v>
      </c>
    </row>
    <row r="1642" spans="1:10" x14ac:dyDescent="0.2">
      <c r="A1642">
        <v>2024</v>
      </c>
      <c r="B1642" s="1" t="s">
        <v>19</v>
      </c>
      <c r="C1642" s="1" t="s">
        <v>24</v>
      </c>
      <c r="D1642">
        <v>0</v>
      </c>
      <c r="E1642">
        <v>1</v>
      </c>
      <c r="F1642">
        <v>125632</v>
      </c>
      <c r="G1642">
        <v>380000</v>
      </c>
      <c r="H1642">
        <v>457116</v>
      </c>
      <c r="I1642">
        <v>394582</v>
      </c>
      <c r="J1642">
        <v>132.9</v>
      </c>
    </row>
    <row r="1643" spans="1:10" x14ac:dyDescent="0.2">
      <c r="A1643">
        <v>2024</v>
      </c>
      <c r="B1643" s="1" t="s">
        <v>20</v>
      </c>
      <c r="C1643" s="1" t="s">
        <v>24</v>
      </c>
      <c r="D1643">
        <v>0</v>
      </c>
      <c r="E1643">
        <v>1</v>
      </c>
      <c r="F1643">
        <v>83862</v>
      </c>
      <c r="G1643">
        <v>310000</v>
      </c>
      <c r="H1643">
        <v>363196</v>
      </c>
      <c r="I1643">
        <v>321896</v>
      </c>
      <c r="J1643">
        <v>132.9</v>
      </c>
    </row>
    <row r="1644" spans="1:10" x14ac:dyDescent="0.2">
      <c r="A1644">
        <v>2024</v>
      </c>
      <c r="B1644" s="1" t="s">
        <v>21</v>
      </c>
      <c r="C1644" s="1" t="s">
        <v>24</v>
      </c>
      <c r="D1644">
        <v>0</v>
      </c>
      <c r="E1644">
        <v>1</v>
      </c>
      <c r="F1644">
        <v>38659</v>
      </c>
      <c r="G1644">
        <v>210000</v>
      </c>
      <c r="H1644">
        <v>242429</v>
      </c>
      <c r="I1644">
        <v>218059</v>
      </c>
      <c r="J1644">
        <v>132.9</v>
      </c>
    </row>
    <row r="1645" spans="1:10" x14ac:dyDescent="0.2">
      <c r="A1645">
        <v>2024</v>
      </c>
      <c r="B1645" s="1" t="s">
        <v>22</v>
      </c>
      <c r="C1645" s="1" t="s">
        <v>24</v>
      </c>
      <c r="D1645">
        <v>0</v>
      </c>
      <c r="E1645">
        <v>1</v>
      </c>
      <c r="F1645">
        <v>70215</v>
      </c>
      <c r="G1645">
        <v>249999</v>
      </c>
      <c r="H1645">
        <v>288252</v>
      </c>
      <c r="I1645">
        <v>259593</v>
      </c>
      <c r="J1645">
        <v>132.9</v>
      </c>
    </row>
    <row r="1646" spans="1:10" x14ac:dyDescent="0.2">
      <c r="A1646">
        <v>2024</v>
      </c>
      <c r="B1646" s="1" t="s">
        <v>23</v>
      </c>
      <c r="C1646" s="1" t="s">
        <v>24</v>
      </c>
      <c r="D1646">
        <v>0</v>
      </c>
      <c r="E1646">
        <v>1</v>
      </c>
      <c r="F1646">
        <v>72988</v>
      </c>
      <c r="G1646">
        <v>210000</v>
      </c>
      <c r="H1646">
        <v>248338</v>
      </c>
      <c r="I1646">
        <v>218059</v>
      </c>
      <c r="J1646">
        <v>132.9</v>
      </c>
    </row>
    <row r="1647" spans="1:10" x14ac:dyDescent="0.2">
      <c r="A1647">
        <v>2024</v>
      </c>
      <c r="B1647" s="1" t="s">
        <v>25</v>
      </c>
      <c r="C1647" s="1" t="s">
        <v>11</v>
      </c>
      <c r="D1647">
        <v>1</v>
      </c>
      <c r="E1647">
        <v>0</v>
      </c>
      <c r="F1647">
        <v>198636</v>
      </c>
      <c r="G1647">
        <v>415000</v>
      </c>
      <c r="H1647">
        <v>506736</v>
      </c>
      <c r="I1647">
        <v>430926</v>
      </c>
      <c r="J1647">
        <v>132.9</v>
      </c>
    </row>
    <row r="1648" spans="1:10" x14ac:dyDescent="0.2">
      <c r="A1648">
        <v>2024</v>
      </c>
      <c r="B1648" s="1" t="s">
        <v>25</v>
      </c>
      <c r="C1648" s="1" t="s">
        <v>12</v>
      </c>
      <c r="D1648">
        <v>1</v>
      </c>
      <c r="E1648">
        <v>0</v>
      </c>
      <c r="F1648">
        <v>132648</v>
      </c>
      <c r="G1648">
        <v>245000</v>
      </c>
      <c r="H1648">
        <v>342001</v>
      </c>
      <c r="I1648">
        <v>254402</v>
      </c>
      <c r="J1648">
        <v>132.9</v>
      </c>
    </row>
    <row r="1649" spans="1:10" x14ac:dyDescent="0.2">
      <c r="A1649">
        <v>2024</v>
      </c>
      <c r="B1649" s="1" t="s">
        <v>25</v>
      </c>
      <c r="C1649" s="1" t="s">
        <v>13</v>
      </c>
      <c r="D1649">
        <v>1</v>
      </c>
      <c r="E1649">
        <v>0</v>
      </c>
      <c r="F1649">
        <v>226380</v>
      </c>
      <c r="G1649">
        <v>269500</v>
      </c>
      <c r="H1649">
        <v>321254</v>
      </c>
      <c r="I1649">
        <v>279842</v>
      </c>
      <c r="J1649">
        <v>132.9</v>
      </c>
    </row>
    <row r="1650" spans="1:10" x14ac:dyDescent="0.2">
      <c r="A1650">
        <v>2024</v>
      </c>
      <c r="B1650" s="1" t="s">
        <v>25</v>
      </c>
      <c r="C1650" s="1" t="s">
        <v>14</v>
      </c>
      <c r="D1650">
        <v>1</v>
      </c>
      <c r="E1650">
        <v>0</v>
      </c>
      <c r="F1650">
        <v>203853</v>
      </c>
      <c r="G1650">
        <v>235000</v>
      </c>
      <c r="H1650">
        <v>307205</v>
      </c>
      <c r="I1650">
        <v>244018</v>
      </c>
      <c r="J1650">
        <v>132.9</v>
      </c>
    </row>
    <row r="1651" spans="1:10" x14ac:dyDescent="0.2">
      <c r="A1651">
        <v>2024</v>
      </c>
      <c r="B1651" s="1" t="s">
        <v>25</v>
      </c>
      <c r="C1651" s="1" t="s">
        <v>24</v>
      </c>
      <c r="D1651">
        <v>1</v>
      </c>
      <c r="E1651">
        <v>1</v>
      </c>
      <c r="F1651">
        <v>761517</v>
      </c>
      <c r="G1651">
        <v>290000</v>
      </c>
      <c r="H1651">
        <v>369489</v>
      </c>
      <c r="I1651">
        <v>301129</v>
      </c>
      <c r="J1651">
        <v>132.9</v>
      </c>
    </row>
    <row r="1652" spans="1:10" x14ac:dyDescent="0.2">
      <c r="A1652">
        <v>2025</v>
      </c>
      <c r="B1652" s="1" t="s">
        <v>10</v>
      </c>
      <c r="C1652" s="1" t="s">
        <v>11</v>
      </c>
      <c r="D1652">
        <v>0</v>
      </c>
      <c r="E1652">
        <v>0</v>
      </c>
      <c r="F1652">
        <v>24896</v>
      </c>
      <c r="G1652">
        <v>345000</v>
      </c>
      <c r="H1652">
        <v>385844</v>
      </c>
      <c r="I1652">
        <v>345000</v>
      </c>
      <c r="J1652">
        <v>138</v>
      </c>
    </row>
    <row r="1653" spans="1:10" x14ac:dyDescent="0.2">
      <c r="A1653">
        <v>2025</v>
      </c>
      <c r="B1653" s="1" t="s">
        <v>10</v>
      </c>
      <c r="C1653" s="1" t="s">
        <v>12</v>
      </c>
      <c r="D1653">
        <v>0</v>
      </c>
      <c r="E1653">
        <v>0</v>
      </c>
      <c r="F1653">
        <v>3543</v>
      </c>
      <c r="G1653">
        <v>130000</v>
      </c>
      <c r="H1653">
        <v>143539</v>
      </c>
      <c r="I1653">
        <v>130000</v>
      </c>
      <c r="J1653">
        <v>138</v>
      </c>
    </row>
    <row r="1654" spans="1:10" x14ac:dyDescent="0.2">
      <c r="A1654">
        <v>2025</v>
      </c>
      <c r="B1654" s="1" t="s">
        <v>10</v>
      </c>
      <c r="C1654" s="1" t="s">
        <v>13</v>
      </c>
      <c r="D1654">
        <v>0</v>
      </c>
      <c r="E1654">
        <v>0</v>
      </c>
      <c r="F1654">
        <v>22844</v>
      </c>
      <c r="G1654">
        <v>230000</v>
      </c>
      <c r="H1654">
        <v>243136</v>
      </c>
      <c r="I1654">
        <v>230000</v>
      </c>
      <c r="J1654">
        <v>138</v>
      </c>
    </row>
    <row r="1655" spans="1:10" x14ac:dyDescent="0.2">
      <c r="A1655">
        <v>2025</v>
      </c>
      <c r="B1655" s="1" t="s">
        <v>10</v>
      </c>
      <c r="C1655" s="1" t="s">
        <v>14</v>
      </c>
      <c r="D1655">
        <v>0</v>
      </c>
      <c r="E1655">
        <v>0</v>
      </c>
      <c r="F1655">
        <v>14453</v>
      </c>
      <c r="G1655">
        <v>190000</v>
      </c>
      <c r="H1655">
        <v>201461</v>
      </c>
      <c r="I1655">
        <v>190000</v>
      </c>
      <c r="J1655">
        <v>138</v>
      </c>
    </row>
    <row r="1656" spans="1:10" x14ac:dyDescent="0.2">
      <c r="A1656">
        <v>2025</v>
      </c>
      <c r="B1656" s="1" t="s">
        <v>15</v>
      </c>
      <c r="C1656" s="1" t="s">
        <v>11</v>
      </c>
      <c r="D1656">
        <v>0</v>
      </c>
      <c r="E1656">
        <v>0</v>
      </c>
      <c r="F1656">
        <v>26994</v>
      </c>
      <c r="G1656">
        <v>470000</v>
      </c>
      <c r="H1656">
        <v>556039</v>
      </c>
      <c r="I1656">
        <v>470000</v>
      </c>
      <c r="J1656">
        <v>138</v>
      </c>
    </row>
    <row r="1657" spans="1:10" x14ac:dyDescent="0.2">
      <c r="A1657">
        <v>2025</v>
      </c>
      <c r="B1657" s="1" t="s">
        <v>15</v>
      </c>
      <c r="C1657" s="1" t="s">
        <v>12</v>
      </c>
      <c r="D1657">
        <v>0</v>
      </c>
      <c r="E1657">
        <v>0</v>
      </c>
      <c r="F1657">
        <v>11539</v>
      </c>
      <c r="G1657">
        <v>212000</v>
      </c>
      <c r="H1657">
        <v>231535</v>
      </c>
      <c r="I1657">
        <v>212000</v>
      </c>
      <c r="J1657">
        <v>138</v>
      </c>
    </row>
    <row r="1658" spans="1:10" x14ac:dyDescent="0.2">
      <c r="A1658">
        <v>2025</v>
      </c>
      <c r="B1658" s="1" t="s">
        <v>15</v>
      </c>
      <c r="C1658" s="1" t="s">
        <v>13</v>
      </c>
      <c r="D1658">
        <v>0</v>
      </c>
      <c r="E1658">
        <v>0</v>
      </c>
      <c r="F1658">
        <v>24747</v>
      </c>
      <c r="G1658">
        <v>350000</v>
      </c>
      <c r="H1658">
        <v>385517</v>
      </c>
      <c r="I1658">
        <v>350000</v>
      </c>
      <c r="J1658">
        <v>138</v>
      </c>
    </row>
    <row r="1659" spans="1:10" x14ac:dyDescent="0.2">
      <c r="A1659">
        <v>2025</v>
      </c>
      <c r="B1659" s="1" t="s">
        <v>15</v>
      </c>
      <c r="C1659" s="1" t="s">
        <v>14</v>
      </c>
      <c r="D1659">
        <v>0</v>
      </c>
      <c r="E1659">
        <v>0</v>
      </c>
      <c r="F1659">
        <v>21693</v>
      </c>
      <c r="G1659">
        <v>310000</v>
      </c>
      <c r="H1659">
        <v>331090</v>
      </c>
      <c r="I1659">
        <v>310000</v>
      </c>
      <c r="J1659">
        <v>138</v>
      </c>
    </row>
    <row r="1660" spans="1:10" x14ac:dyDescent="0.2">
      <c r="A1660">
        <v>2025</v>
      </c>
      <c r="B1660" s="1" t="s">
        <v>16</v>
      </c>
      <c r="C1660" s="1" t="s">
        <v>11</v>
      </c>
      <c r="D1660">
        <v>0</v>
      </c>
      <c r="E1660">
        <v>0</v>
      </c>
      <c r="F1660">
        <v>3783</v>
      </c>
      <c r="G1660">
        <v>900000</v>
      </c>
      <c r="H1660">
        <v>1292412</v>
      </c>
      <c r="I1660">
        <v>900000</v>
      </c>
      <c r="J1660">
        <v>138</v>
      </c>
    </row>
    <row r="1661" spans="1:10" x14ac:dyDescent="0.2">
      <c r="A1661">
        <v>2025</v>
      </c>
      <c r="B1661" s="1" t="s">
        <v>16</v>
      </c>
      <c r="C1661" s="1" t="s">
        <v>12</v>
      </c>
      <c r="D1661">
        <v>0</v>
      </c>
      <c r="E1661">
        <v>0</v>
      </c>
      <c r="F1661">
        <v>40214</v>
      </c>
      <c r="G1661">
        <v>440000</v>
      </c>
      <c r="H1661">
        <v>546257</v>
      </c>
      <c r="I1661">
        <v>440000</v>
      </c>
      <c r="J1661">
        <v>138</v>
      </c>
    </row>
    <row r="1662" spans="1:10" x14ac:dyDescent="0.2">
      <c r="A1662">
        <v>2025</v>
      </c>
      <c r="B1662" s="1" t="s">
        <v>16</v>
      </c>
      <c r="C1662" s="1" t="s">
        <v>13</v>
      </c>
      <c r="D1662">
        <v>0</v>
      </c>
      <c r="E1662">
        <v>0</v>
      </c>
      <c r="F1662">
        <v>12364</v>
      </c>
      <c r="G1662">
        <v>625000</v>
      </c>
      <c r="H1662">
        <v>788462</v>
      </c>
      <c r="I1662">
        <v>625000</v>
      </c>
      <c r="J1662">
        <v>138</v>
      </c>
    </row>
    <row r="1663" spans="1:10" x14ac:dyDescent="0.2">
      <c r="A1663">
        <v>2025</v>
      </c>
      <c r="B1663" s="1" t="s">
        <v>16</v>
      </c>
      <c r="C1663" s="1" t="s">
        <v>14</v>
      </c>
      <c r="D1663">
        <v>0</v>
      </c>
      <c r="E1663">
        <v>0</v>
      </c>
      <c r="F1663">
        <v>22518</v>
      </c>
      <c r="G1663">
        <v>590000</v>
      </c>
      <c r="H1663">
        <v>795382</v>
      </c>
      <c r="I1663">
        <v>590000</v>
      </c>
      <c r="J1663">
        <v>138</v>
      </c>
    </row>
    <row r="1664" spans="1:10" x14ac:dyDescent="0.2">
      <c r="A1664">
        <v>2025</v>
      </c>
      <c r="B1664" s="1" t="s">
        <v>17</v>
      </c>
      <c r="C1664" s="1" t="s">
        <v>11</v>
      </c>
      <c r="D1664">
        <v>0</v>
      </c>
      <c r="E1664">
        <v>0</v>
      </c>
      <c r="F1664">
        <v>7983</v>
      </c>
      <c r="G1664">
        <v>299999</v>
      </c>
      <c r="H1664">
        <v>336512</v>
      </c>
      <c r="I1664">
        <v>299999</v>
      </c>
      <c r="J1664">
        <v>138</v>
      </c>
    </row>
    <row r="1665" spans="1:10" x14ac:dyDescent="0.2">
      <c r="A1665">
        <v>2025</v>
      </c>
      <c r="B1665" s="1" t="s">
        <v>17</v>
      </c>
      <c r="C1665" s="1" t="s">
        <v>12</v>
      </c>
      <c r="D1665">
        <v>0</v>
      </c>
      <c r="E1665">
        <v>0</v>
      </c>
      <c r="F1665">
        <v>3113</v>
      </c>
      <c r="G1665">
        <v>105000</v>
      </c>
      <c r="H1665">
        <v>125232</v>
      </c>
      <c r="I1665">
        <v>105000</v>
      </c>
      <c r="J1665">
        <v>138</v>
      </c>
    </row>
    <row r="1666" spans="1:10" x14ac:dyDescent="0.2">
      <c r="A1666">
        <v>2025</v>
      </c>
      <c r="B1666" s="1" t="s">
        <v>17</v>
      </c>
      <c r="C1666" s="1" t="s">
        <v>13</v>
      </c>
      <c r="D1666">
        <v>0</v>
      </c>
      <c r="E1666">
        <v>0</v>
      </c>
      <c r="F1666">
        <v>12248</v>
      </c>
      <c r="G1666">
        <v>173500</v>
      </c>
      <c r="H1666">
        <v>193052</v>
      </c>
      <c r="I1666">
        <v>173500</v>
      </c>
      <c r="J1666">
        <v>138</v>
      </c>
    </row>
    <row r="1667" spans="1:10" x14ac:dyDescent="0.2">
      <c r="A1667">
        <v>2025</v>
      </c>
      <c r="B1667" s="1" t="s">
        <v>17</v>
      </c>
      <c r="C1667" s="1" t="s">
        <v>14</v>
      </c>
      <c r="D1667">
        <v>0</v>
      </c>
      <c r="E1667">
        <v>0</v>
      </c>
      <c r="F1667">
        <v>11172</v>
      </c>
      <c r="G1667">
        <v>128065</v>
      </c>
      <c r="H1667">
        <v>153260</v>
      </c>
      <c r="I1667">
        <v>128065</v>
      </c>
      <c r="J1667">
        <v>138</v>
      </c>
    </row>
    <row r="1668" spans="1:10" x14ac:dyDescent="0.2">
      <c r="A1668">
        <v>2025</v>
      </c>
      <c r="B1668" s="1" t="s">
        <v>18</v>
      </c>
      <c r="C1668" s="1" t="s">
        <v>11</v>
      </c>
      <c r="D1668">
        <v>0</v>
      </c>
      <c r="E1668">
        <v>0</v>
      </c>
      <c r="F1668">
        <v>20478</v>
      </c>
      <c r="G1668">
        <v>370000</v>
      </c>
      <c r="H1668">
        <v>431843</v>
      </c>
      <c r="I1668">
        <v>370000</v>
      </c>
      <c r="J1668">
        <v>138</v>
      </c>
    </row>
    <row r="1669" spans="1:10" x14ac:dyDescent="0.2">
      <c r="A1669">
        <v>2025</v>
      </c>
      <c r="B1669" s="1" t="s">
        <v>18</v>
      </c>
      <c r="C1669" s="1" t="s">
        <v>12</v>
      </c>
      <c r="D1669">
        <v>0</v>
      </c>
      <c r="E1669">
        <v>0</v>
      </c>
      <c r="F1669">
        <v>10501</v>
      </c>
      <c r="G1669">
        <v>150000</v>
      </c>
      <c r="H1669">
        <v>176042</v>
      </c>
      <c r="I1669">
        <v>150000</v>
      </c>
      <c r="J1669">
        <v>138</v>
      </c>
    </row>
    <row r="1670" spans="1:10" x14ac:dyDescent="0.2">
      <c r="A1670">
        <v>2025</v>
      </c>
      <c r="B1670" s="1" t="s">
        <v>18</v>
      </c>
      <c r="C1670" s="1" t="s">
        <v>13</v>
      </c>
      <c r="D1670">
        <v>0</v>
      </c>
      <c r="E1670">
        <v>0</v>
      </c>
      <c r="F1670">
        <v>34247</v>
      </c>
      <c r="G1670">
        <v>235000</v>
      </c>
      <c r="H1670">
        <v>259377</v>
      </c>
      <c r="I1670">
        <v>235000</v>
      </c>
      <c r="J1670">
        <v>138</v>
      </c>
    </row>
    <row r="1671" spans="1:10" x14ac:dyDescent="0.2">
      <c r="A1671">
        <v>2025</v>
      </c>
      <c r="B1671" s="1" t="s">
        <v>18</v>
      </c>
      <c r="C1671" s="1" t="s">
        <v>14</v>
      </c>
      <c r="D1671">
        <v>0</v>
      </c>
      <c r="E1671">
        <v>0</v>
      </c>
      <c r="F1671">
        <v>29417</v>
      </c>
      <c r="G1671">
        <v>165000</v>
      </c>
      <c r="H1671">
        <v>187215</v>
      </c>
      <c r="I1671">
        <v>165000</v>
      </c>
      <c r="J1671">
        <v>138</v>
      </c>
    </row>
    <row r="1672" spans="1:10" x14ac:dyDescent="0.2">
      <c r="A1672">
        <v>2025</v>
      </c>
      <c r="B1672" s="1" t="s">
        <v>19</v>
      </c>
      <c r="C1672" s="1" t="s">
        <v>11</v>
      </c>
      <c r="D1672">
        <v>0</v>
      </c>
      <c r="E1672">
        <v>0</v>
      </c>
      <c r="F1672">
        <v>34441</v>
      </c>
      <c r="G1672">
        <v>600000</v>
      </c>
      <c r="H1672">
        <v>714806</v>
      </c>
      <c r="I1672">
        <v>600000</v>
      </c>
      <c r="J1672">
        <v>138</v>
      </c>
    </row>
    <row r="1673" spans="1:10" x14ac:dyDescent="0.2">
      <c r="A1673">
        <v>2025</v>
      </c>
      <c r="B1673" s="1" t="s">
        <v>19</v>
      </c>
      <c r="C1673" s="1" t="s">
        <v>12</v>
      </c>
      <c r="D1673">
        <v>0</v>
      </c>
      <c r="E1673">
        <v>0</v>
      </c>
      <c r="F1673">
        <v>23627</v>
      </c>
      <c r="G1673">
        <v>225000</v>
      </c>
      <c r="H1673">
        <v>249307</v>
      </c>
      <c r="I1673">
        <v>225000</v>
      </c>
      <c r="J1673">
        <v>138</v>
      </c>
    </row>
    <row r="1674" spans="1:10" x14ac:dyDescent="0.2">
      <c r="A1674">
        <v>2025</v>
      </c>
      <c r="B1674" s="1" t="s">
        <v>19</v>
      </c>
      <c r="C1674" s="1" t="s">
        <v>13</v>
      </c>
      <c r="D1674">
        <v>0</v>
      </c>
      <c r="E1674">
        <v>0</v>
      </c>
      <c r="F1674">
        <v>33756</v>
      </c>
      <c r="G1674">
        <v>400000</v>
      </c>
      <c r="H1674">
        <v>440039</v>
      </c>
      <c r="I1674">
        <v>400000</v>
      </c>
      <c r="J1674">
        <v>138</v>
      </c>
    </row>
    <row r="1675" spans="1:10" x14ac:dyDescent="0.2">
      <c r="A1675">
        <v>2025</v>
      </c>
      <c r="B1675" s="1" t="s">
        <v>19</v>
      </c>
      <c r="C1675" s="1" t="s">
        <v>14</v>
      </c>
      <c r="D1675">
        <v>0</v>
      </c>
      <c r="E1675">
        <v>0</v>
      </c>
      <c r="F1675">
        <v>31658</v>
      </c>
      <c r="G1675">
        <v>330000</v>
      </c>
      <c r="H1675">
        <v>362107</v>
      </c>
      <c r="I1675">
        <v>330000</v>
      </c>
      <c r="J1675">
        <v>138</v>
      </c>
    </row>
    <row r="1676" spans="1:10" x14ac:dyDescent="0.2">
      <c r="A1676">
        <v>2025</v>
      </c>
      <c r="B1676" s="1" t="s">
        <v>20</v>
      </c>
      <c r="C1676" s="1" t="s">
        <v>11</v>
      </c>
      <c r="D1676">
        <v>0</v>
      </c>
      <c r="E1676">
        <v>0</v>
      </c>
      <c r="F1676">
        <v>24888</v>
      </c>
      <c r="G1676">
        <v>450000</v>
      </c>
      <c r="H1676">
        <v>520424</v>
      </c>
      <c r="I1676">
        <v>450000</v>
      </c>
      <c r="J1676">
        <v>138</v>
      </c>
    </row>
    <row r="1677" spans="1:10" x14ac:dyDescent="0.2">
      <c r="A1677">
        <v>2025</v>
      </c>
      <c r="B1677" s="1" t="s">
        <v>20</v>
      </c>
      <c r="C1677" s="1" t="s">
        <v>12</v>
      </c>
      <c r="D1677">
        <v>0</v>
      </c>
      <c r="E1677">
        <v>0</v>
      </c>
      <c r="F1677">
        <v>12862</v>
      </c>
      <c r="G1677">
        <v>186000</v>
      </c>
      <c r="H1677">
        <v>219052</v>
      </c>
      <c r="I1677">
        <v>186000</v>
      </c>
      <c r="J1677">
        <v>138</v>
      </c>
    </row>
    <row r="1678" spans="1:10" x14ac:dyDescent="0.2">
      <c r="A1678">
        <v>2025</v>
      </c>
      <c r="B1678" s="1" t="s">
        <v>20</v>
      </c>
      <c r="C1678" s="1" t="s">
        <v>13</v>
      </c>
      <c r="D1678">
        <v>0</v>
      </c>
      <c r="E1678">
        <v>0</v>
      </c>
      <c r="F1678">
        <v>20644</v>
      </c>
      <c r="G1678">
        <v>305000</v>
      </c>
      <c r="H1678">
        <v>334637</v>
      </c>
      <c r="I1678">
        <v>305000</v>
      </c>
      <c r="J1678">
        <v>138</v>
      </c>
    </row>
    <row r="1679" spans="1:10" x14ac:dyDescent="0.2">
      <c r="A1679">
        <v>2025</v>
      </c>
      <c r="B1679" s="1" t="s">
        <v>20</v>
      </c>
      <c r="C1679" s="1" t="s">
        <v>14</v>
      </c>
      <c r="D1679">
        <v>0</v>
      </c>
      <c r="E1679">
        <v>0</v>
      </c>
      <c r="F1679">
        <v>23505</v>
      </c>
      <c r="G1679">
        <v>265000</v>
      </c>
      <c r="H1679">
        <v>295112</v>
      </c>
      <c r="I1679">
        <v>265000</v>
      </c>
      <c r="J1679">
        <v>138</v>
      </c>
    </row>
    <row r="1680" spans="1:10" x14ac:dyDescent="0.2">
      <c r="A1680">
        <v>2025</v>
      </c>
      <c r="B1680" s="1" t="s">
        <v>21</v>
      </c>
      <c r="C1680" s="1" t="s">
        <v>11</v>
      </c>
      <c r="D1680">
        <v>0</v>
      </c>
      <c r="E1680">
        <v>0</v>
      </c>
      <c r="F1680">
        <v>11221</v>
      </c>
      <c r="G1680">
        <v>328000</v>
      </c>
      <c r="H1680">
        <v>362496</v>
      </c>
      <c r="I1680">
        <v>328000</v>
      </c>
      <c r="J1680">
        <v>138</v>
      </c>
    </row>
    <row r="1681" spans="1:10" x14ac:dyDescent="0.2">
      <c r="A1681">
        <v>2025</v>
      </c>
      <c r="B1681" s="1" t="s">
        <v>21</v>
      </c>
      <c r="C1681" s="1" t="s">
        <v>12</v>
      </c>
      <c r="D1681">
        <v>0</v>
      </c>
      <c r="E1681">
        <v>0</v>
      </c>
      <c r="F1681">
        <v>2662</v>
      </c>
      <c r="G1681">
        <v>145000</v>
      </c>
      <c r="H1681">
        <v>161064</v>
      </c>
      <c r="I1681">
        <v>145000</v>
      </c>
      <c r="J1681">
        <v>138</v>
      </c>
    </row>
    <row r="1682" spans="1:10" x14ac:dyDescent="0.2">
      <c r="A1682">
        <v>2025</v>
      </c>
      <c r="B1682" s="1" t="s">
        <v>21</v>
      </c>
      <c r="C1682" s="1" t="s">
        <v>13</v>
      </c>
      <c r="D1682">
        <v>0</v>
      </c>
      <c r="E1682">
        <v>0</v>
      </c>
      <c r="F1682">
        <v>11421</v>
      </c>
      <c r="G1682">
        <v>212500</v>
      </c>
      <c r="H1682">
        <v>231724</v>
      </c>
      <c r="I1682">
        <v>212500</v>
      </c>
      <c r="J1682">
        <v>138</v>
      </c>
    </row>
    <row r="1683" spans="1:10" x14ac:dyDescent="0.2">
      <c r="A1683">
        <v>2025</v>
      </c>
      <c r="B1683" s="1" t="s">
        <v>21</v>
      </c>
      <c r="C1683" s="1" t="s">
        <v>14</v>
      </c>
      <c r="D1683">
        <v>0</v>
      </c>
      <c r="E1683">
        <v>0</v>
      </c>
      <c r="F1683">
        <v>12615</v>
      </c>
      <c r="G1683">
        <v>165000</v>
      </c>
      <c r="H1683">
        <v>182456</v>
      </c>
      <c r="I1683">
        <v>165000</v>
      </c>
      <c r="J1683">
        <v>138</v>
      </c>
    </row>
    <row r="1684" spans="1:10" x14ac:dyDescent="0.2">
      <c r="A1684">
        <v>2025</v>
      </c>
      <c r="B1684" s="1" t="s">
        <v>22</v>
      </c>
      <c r="C1684" s="1" t="s">
        <v>11</v>
      </c>
      <c r="D1684">
        <v>0</v>
      </c>
      <c r="E1684">
        <v>0</v>
      </c>
      <c r="F1684">
        <v>18474</v>
      </c>
      <c r="G1684">
        <v>392500</v>
      </c>
      <c r="H1684">
        <v>447490</v>
      </c>
      <c r="I1684">
        <v>392500</v>
      </c>
      <c r="J1684">
        <v>138</v>
      </c>
    </row>
    <row r="1685" spans="1:10" x14ac:dyDescent="0.2">
      <c r="A1685">
        <v>2025</v>
      </c>
      <c r="B1685" s="1" t="s">
        <v>22</v>
      </c>
      <c r="C1685" s="1" t="s">
        <v>12</v>
      </c>
      <c r="D1685">
        <v>0</v>
      </c>
      <c r="E1685">
        <v>0</v>
      </c>
      <c r="F1685">
        <v>6596</v>
      </c>
      <c r="G1685">
        <v>140000</v>
      </c>
      <c r="H1685">
        <v>161009</v>
      </c>
      <c r="I1685">
        <v>140000</v>
      </c>
      <c r="J1685">
        <v>138</v>
      </c>
    </row>
    <row r="1686" spans="1:10" x14ac:dyDescent="0.2">
      <c r="A1686">
        <v>2025</v>
      </c>
      <c r="B1686" s="1" t="s">
        <v>22</v>
      </c>
      <c r="C1686" s="1" t="s">
        <v>13</v>
      </c>
      <c r="D1686">
        <v>0</v>
      </c>
      <c r="E1686">
        <v>0</v>
      </c>
      <c r="F1686">
        <v>24636</v>
      </c>
      <c r="G1686">
        <v>250000</v>
      </c>
      <c r="H1686">
        <v>267230</v>
      </c>
      <c r="I1686">
        <v>250000</v>
      </c>
      <c r="J1686">
        <v>138</v>
      </c>
    </row>
    <row r="1687" spans="1:10" x14ac:dyDescent="0.2">
      <c r="A1687">
        <v>2025</v>
      </c>
      <c r="B1687" s="1" t="s">
        <v>22</v>
      </c>
      <c r="C1687" s="1" t="s">
        <v>14</v>
      </c>
      <c r="D1687">
        <v>0</v>
      </c>
      <c r="E1687">
        <v>0</v>
      </c>
      <c r="F1687">
        <v>17717</v>
      </c>
      <c r="G1687">
        <v>205000</v>
      </c>
      <c r="H1687">
        <v>232722</v>
      </c>
      <c r="I1687">
        <v>205000</v>
      </c>
      <c r="J1687">
        <v>138</v>
      </c>
    </row>
    <row r="1688" spans="1:10" x14ac:dyDescent="0.2">
      <c r="A1688">
        <v>2025</v>
      </c>
      <c r="B1688" s="1" t="s">
        <v>23</v>
      </c>
      <c r="C1688" s="1" t="s">
        <v>11</v>
      </c>
      <c r="D1688">
        <v>0</v>
      </c>
      <c r="E1688">
        <v>0</v>
      </c>
      <c r="F1688">
        <v>17125</v>
      </c>
      <c r="G1688">
        <v>350000</v>
      </c>
      <c r="H1688">
        <v>395755</v>
      </c>
      <c r="I1688">
        <v>350000</v>
      </c>
      <c r="J1688">
        <v>138</v>
      </c>
    </row>
    <row r="1689" spans="1:10" x14ac:dyDescent="0.2">
      <c r="A1689">
        <v>2025</v>
      </c>
      <c r="B1689" s="1" t="s">
        <v>23</v>
      </c>
      <c r="C1689" s="1" t="s">
        <v>12</v>
      </c>
      <c r="D1689">
        <v>0</v>
      </c>
      <c r="E1689">
        <v>0</v>
      </c>
      <c r="F1689">
        <v>5547</v>
      </c>
      <c r="G1689">
        <v>137000</v>
      </c>
      <c r="H1689">
        <v>161207</v>
      </c>
      <c r="I1689">
        <v>137000</v>
      </c>
      <c r="J1689">
        <v>138</v>
      </c>
    </row>
    <row r="1690" spans="1:10" x14ac:dyDescent="0.2">
      <c r="A1690">
        <v>2025</v>
      </c>
      <c r="B1690" s="1" t="s">
        <v>23</v>
      </c>
      <c r="C1690" s="1" t="s">
        <v>13</v>
      </c>
      <c r="D1690">
        <v>0</v>
      </c>
      <c r="E1690">
        <v>0</v>
      </c>
      <c r="F1690">
        <v>25925</v>
      </c>
      <c r="G1690">
        <v>212500</v>
      </c>
      <c r="H1690">
        <v>233813</v>
      </c>
      <c r="I1690">
        <v>212500</v>
      </c>
      <c r="J1690">
        <v>138</v>
      </c>
    </row>
    <row r="1691" spans="1:10" x14ac:dyDescent="0.2">
      <c r="A1691">
        <v>2025</v>
      </c>
      <c r="B1691" s="1" t="s">
        <v>23</v>
      </c>
      <c r="C1691" s="1" t="s">
        <v>14</v>
      </c>
      <c r="D1691">
        <v>0</v>
      </c>
      <c r="E1691">
        <v>0</v>
      </c>
      <c r="F1691">
        <v>21236</v>
      </c>
      <c r="G1691">
        <v>165000</v>
      </c>
      <c r="H1691">
        <v>184476</v>
      </c>
      <c r="I1691">
        <v>165000</v>
      </c>
      <c r="J1691">
        <v>138</v>
      </c>
    </row>
    <row r="1692" spans="1:10" x14ac:dyDescent="0.2">
      <c r="A1692">
        <v>2025</v>
      </c>
      <c r="B1692" s="1" t="s">
        <v>10</v>
      </c>
      <c r="C1692" s="1" t="s">
        <v>24</v>
      </c>
      <c r="D1692">
        <v>0</v>
      </c>
      <c r="E1692">
        <v>1</v>
      </c>
      <c r="F1692">
        <v>65736</v>
      </c>
      <c r="G1692">
        <v>250000</v>
      </c>
      <c r="H1692">
        <v>282652</v>
      </c>
      <c r="I1692">
        <v>250000</v>
      </c>
      <c r="J1692">
        <v>138</v>
      </c>
    </row>
    <row r="1693" spans="1:10" x14ac:dyDescent="0.2">
      <c r="A1693">
        <v>2025</v>
      </c>
      <c r="B1693" s="1" t="s">
        <v>15</v>
      </c>
      <c r="C1693" s="1" t="s">
        <v>24</v>
      </c>
      <c r="D1693">
        <v>0</v>
      </c>
      <c r="E1693">
        <v>1</v>
      </c>
      <c r="F1693">
        <v>84973</v>
      </c>
      <c r="G1693">
        <v>350000</v>
      </c>
      <c r="H1693">
        <v>404883</v>
      </c>
      <c r="I1693">
        <v>350000</v>
      </c>
      <c r="J1693">
        <v>138</v>
      </c>
    </row>
    <row r="1694" spans="1:10" x14ac:dyDescent="0.2">
      <c r="A1694">
        <v>2025</v>
      </c>
      <c r="B1694" s="1" t="s">
        <v>16</v>
      </c>
      <c r="C1694" s="1" t="s">
        <v>24</v>
      </c>
      <c r="D1694">
        <v>0</v>
      </c>
      <c r="E1694">
        <v>1</v>
      </c>
      <c r="F1694">
        <v>78879</v>
      </c>
      <c r="G1694">
        <v>528000</v>
      </c>
      <c r="H1694">
        <v>691126</v>
      </c>
      <c r="I1694">
        <v>528000</v>
      </c>
      <c r="J1694">
        <v>138</v>
      </c>
    </row>
    <row r="1695" spans="1:10" x14ac:dyDescent="0.2">
      <c r="A1695">
        <v>2025</v>
      </c>
      <c r="B1695" s="1" t="s">
        <v>17</v>
      </c>
      <c r="C1695" s="1" t="s">
        <v>24</v>
      </c>
      <c r="D1695">
        <v>0</v>
      </c>
      <c r="E1695">
        <v>1</v>
      </c>
      <c r="F1695">
        <v>34516</v>
      </c>
      <c r="G1695">
        <v>172500</v>
      </c>
      <c r="H1695">
        <v>207236</v>
      </c>
      <c r="I1695">
        <v>172500</v>
      </c>
      <c r="J1695">
        <v>138</v>
      </c>
    </row>
    <row r="1696" spans="1:10" x14ac:dyDescent="0.2">
      <c r="A1696">
        <v>2025</v>
      </c>
      <c r="B1696" s="1" t="s">
        <v>18</v>
      </c>
      <c r="C1696" s="1" t="s">
        <v>24</v>
      </c>
      <c r="D1696">
        <v>0</v>
      </c>
      <c r="E1696">
        <v>1</v>
      </c>
      <c r="F1696">
        <v>94643</v>
      </c>
      <c r="G1696">
        <v>225000</v>
      </c>
      <c r="H1696">
        <v>265017</v>
      </c>
      <c r="I1696">
        <v>225000</v>
      </c>
      <c r="J1696">
        <v>138</v>
      </c>
    </row>
    <row r="1697" spans="1:10" x14ac:dyDescent="0.2">
      <c r="A1697">
        <v>2025</v>
      </c>
      <c r="B1697" s="1" t="s">
        <v>19</v>
      </c>
      <c r="C1697" s="1" t="s">
        <v>24</v>
      </c>
      <c r="D1697">
        <v>0</v>
      </c>
      <c r="E1697">
        <v>1</v>
      </c>
      <c r="F1697">
        <v>123482</v>
      </c>
      <c r="G1697">
        <v>385000</v>
      </c>
      <c r="H1697">
        <v>460201</v>
      </c>
      <c r="I1697">
        <v>385000</v>
      </c>
      <c r="J1697">
        <v>138</v>
      </c>
    </row>
    <row r="1698" spans="1:10" x14ac:dyDescent="0.2">
      <c r="A1698">
        <v>2025</v>
      </c>
      <c r="B1698" s="1" t="s">
        <v>20</v>
      </c>
      <c r="C1698" s="1" t="s">
        <v>24</v>
      </c>
      <c r="D1698">
        <v>0</v>
      </c>
      <c r="E1698">
        <v>1</v>
      </c>
      <c r="F1698">
        <v>81899</v>
      </c>
      <c r="G1698">
        <v>310000</v>
      </c>
      <c r="H1698">
        <v>361599</v>
      </c>
      <c r="I1698">
        <v>310000</v>
      </c>
      <c r="J1698">
        <v>138</v>
      </c>
    </row>
    <row r="1699" spans="1:10" x14ac:dyDescent="0.2">
      <c r="A1699">
        <v>2025</v>
      </c>
      <c r="B1699" s="1" t="s">
        <v>21</v>
      </c>
      <c r="C1699" s="1" t="s">
        <v>24</v>
      </c>
      <c r="D1699">
        <v>0</v>
      </c>
      <c r="E1699">
        <v>1</v>
      </c>
      <c r="F1699">
        <v>37919</v>
      </c>
      <c r="G1699">
        <v>215000</v>
      </c>
      <c r="H1699">
        <v>249071</v>
      </c>
      <c r="I1699">
        <v>215000</v>
      </c>
      <c r="J1699">
        <v>138</v>
      </c>
    </row>
    <row r="1700" spans="1:10" x14ac:dyDescent="0.2">
      <c r="A1700">
        <v>2025</v>
      </c>
      <c r="B1700" s="1" t="s">
        <v>22</v>
      </c>
      <c r="C1700" s="1" t="s">
        <v>24</v>
      </c>
      <c r="D1700">
        <v>0</v>
      </c>
      <c r="E1700">
        <v>1</v>
      </c>
      <c r="F1700">
        <v>67423</v>
      </c>
      <c r="G1700">
        <v>253000</v>
      </c>
      <c r="H1700">
        <v>297162</v>
      </c>
      <c r="I1700">
        <v>253000</v>
      </c>
      <c r="J1700">
        <v>138</v>
      </c>
    </row>
    <row r="1701" spans="1:10" x14ac:dyDescent="0.2">
      <c r="A1701">
        <v>2025</v>
      </c>
      <c r="B1701" s="1" t="s">
        <v>23</v>
      </c>
      <c r="C1701" s="1" t="s">
        <v>24</v>
      </c>
      <c r="D1701">
        <v>0</v>
      </c>
      <c r="E1701">
        <v>1</v>
      </c>
      <c r="F1701">
        <v>69833</v>
      </c>
      <c r="G1701">
        <v>215000</v>
      </c>
      <c r="H1701">
        <v>252755</v>
      </c>
      <c r="I1701">
        <v>215000</v>
      </c>
      <c r="J1701">
        <v>138</v>
      </c>
    </row>
    <row r="1702" spans="1:10" x14ac:dyDescent="0.2">
      <c r="A1702">
        <v>2025</v>
      </c>
      <c r="B1702" s="1" t="s">
        <v>25</v>
      </c>
      <c r="C1702" s="1" t="s">
        <v>11</v>
      </c>
      <c r="D1702">
        <v>1</v>
      </c>
      <c r="E1702">
        <v>0</v>
      </c>
      <c r="F1702">
        <v>190353</v>
      </c>
      <c r="G1702">
        <v>420000</v>
      </c>
      <c r="H1702">
        <v>513541</v>
      </c>
      <c r="I1702">
        <v>420000</v>
      </c>
      <c r="J1702">
        <v>138</v>
      </c>
    </row>
    <row r="1703" spans="1:10" x14ac:dyDescent="0.2">
      <c r="A1703">
        <v>2025</v>
      </c>
      <c r="B1703" s="1" t="s">
        <v>25</v>
      </c>
      <c r="C1703" s="1" t="s">
        <v>12</v>
      </c>
      <c r="D1703">
        <v>1</v>
      </c>
      <c r="E1703">
        <v>0</v>
      </c>
      <c r="F1703">
        <v>120274</v>
      </c>
      <c r="G1703">
        <v>240000</v>
      </c>
      <c r="H1703">
        <v>320110</v>
      </c>
      <c r="I1703">
        <v>240000</v>
      </c>
      <c r="J1703">
        <v>138</v>
      </c>
    </row>
    <row r="1704" spans="1:10" x14ac:dyDescent="0.2">
      <c r="A1704">
        <v>2025</v>
      </c>
      <c r="B1704" s="1" t="s">
        <v>25</v>
      </c>
      <c r="C1704" s="1" t="s">
        <v>13</v>
      </c>
      <c r="D1704">
        <v>1</v>
      </c>
      <c r="E1704">
        <v>0</v>
      </c>
      <c r="F1704">
        <v>222854</v>
      </c>
      <c r="G1704">
        <v>275000</v>
      </c>
      <c r="H1704">
        <v>328249</v>
      </c>
      <c r="I1704">
        <v>275000</v>
      </c>
      <c r="J1704">
        <v>138</v>
      </c>
    </row>
    <row r="1705" spans="1:10" x14ac:dyDescent="0.2">
      <c r="A1705">
        <v>2025</v>
      </c>
      <c r="B1705" s="1" t="s">
        <v>25</v>
      </c>
      <c r="C1705" s="1" t="s">
        <v>14</v>
      </c>
      <c r="D1705">
        <v>1</v>
      </c>
      <c r="E1705">
        <v>0</v>
      </c>
      <c r="F1705">
        <v>206016</v>
      </c>
      <c r="G1705">
        <v>240000</v>
      </c>
      <c r="H1705">
        <v>310529</v>
      </c>
      <c r="I1705">
        <v>240000</v>
      </c>
      <c r="J1705">
        <v>138</v>
      </c>
    </row>
    <row r="1706" spans="1:10" x14ac:dyDescent="0.2">
      <c r="A1706">
        <v>2025</v>
      </c>
      <c r="B1706" s="1" t="s">
        <v>25</v>
      </c>
      <c r="C1706" s="1" t="s">
        <v>24</v>
      </c>
      <c r="D1706">
        <v>1</v>
      </c>
      <c r="E1706">
        <v>1</v>
      </c>
      <c r="F1706">
        <v>739497</v>
      </c>
      <c r="G1706">
        <v>295000</v>
      </c>
      <c r="H1706">
        <v>369685</v>
      </c>
      <c r="I1706">
        <v>295000</v>
      </c>
      <c r="J1706">
        <v>138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3CD994-2B0D-CE45-824F-69205FE38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Affordability</vt:lpstr>
      <vt:lpstr>Lists</vt:lpstr>
      <vt:lpstr>Pivot</vt:lpstr>
      <vt:lpstr>PivotSource</vt:lpstr>
      <vt:lpstr>Merged</vt:lpstr>
      <vt:lpstr>DistrictExport</vt:lpstr>
      <vt:lpstr>EarningsExport</vt:lpstr>
      <vt:lpstr>PriceExport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Petrashko</dc:creator>
  <cp:lastModifiedBy>Paul Petrashko</cp:lastModifiedBy>
  <dcterms:created xsi:type="dcterms:W3CDTF">2026-06-29T16:34:01Z</dcterms:created>
  <dcterms:modified xsi:type="dcterms:W3CDTF">2026-07-14T14:35:33Z</dcterms:modified>
</cp:coreProperties>
</file>